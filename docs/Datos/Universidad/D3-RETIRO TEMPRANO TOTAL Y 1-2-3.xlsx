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ntiago\Desktop\Universidad\Once\PdG 1\Turing-Tutor-IA\docs\Datos\Universidad\"/>
    </mc:Choice>
  </mc:AlternateContent>
  <xr:revisionPtr revIDLastSave="0" documentId="13_ncr:1_{826B045C-BFA3-40BE-AC70-5AEE33FB2B8D}" xr6:coauthVersionLast="47" xr6:coauthVersionMax="47" xr10:uidLastSave="{00000000-0000-0000-0000-000000000000}"/>
  <bookViews>
    <workbookView xWindow="-108" yWindow="-108" windowWidth="23256" windowHeight="13176" tabRatio="866" firstSheet="2" activeTab="16" xr2:uid="{00000000-000D-0000-FFFF-FFFF00000000}"/>
  </bookViews>
  <sheets>
    <sheet name="Icesi sin ADN 1-2-3 (cálculo me" sheetId="46" state="hidden" r:id="rId1"/>
    <sheet name="Icesi sin ADN (cálculo metas)" sheetId="45" state="hidden" r:id="rId2"/>
    <sheet name="1d. Retiro temprano." sheetId="1" r:id="rId3"/>
    <sheet name="3c.Retiro temprano 1, 2 y 3 " sheetId="2" r:id="rId4"/>
    <sheet name="FNE" sheetId="3" state="hidden" r:id="rId5"/>
    <sheet name="EA" sheetId="43" state="hidden" r:id="rId6"/>
    <sheet name="EE" sheetId="44" state="hidden" r:id="rId7"/>
    <sheet name="ADD" sheetId="9" state="hidden" r:id="rId8"/>
    <sheet name="ANT" sheetId="22" state="hidden" r:id="rId9"/>
    <sheet name="ECO" sheetId="11" state="hidden" r:id="rId10"/>
    <sheet name="ENI" sheetId="12" state="hidden" r:id="rId11"/>
    <sheet name="MIP" sheetId="13" state="hidden" r:id="rId12"/>
    <sheet name="COFI" sheetId="14" state="hidden" r:id="rId13"/>
    <sheet name="FIN" sheetId="47" state="hidden" r:id="rId14"/>
    <sheet name="FIDCA" sheetId="49" r:id="rId15"/>
    <sheet name="IND" sheetId="15" state="hidden" r:id="rId16"/>
    <sheet name="SIS" sheetId="16" r:id="rId17"/>
    <sheet name="TEL" sheetId="17" r:id="rId18"/>
    <sheet name="DMI" sheetId="19" state="hidden" r:id="rId19"/>
    <sheet name="DIS" sheetId="18" state="hidden" r:id="rId20"/>
    <sheet name="IBQ" sheetId="20" state="hidden" r:id="rId21"/>
    <sheet name="BIO" sheetId="27" state="hidden" r:id="rId22"/>
    <sheet name="QUI" sheetId="28" state="hidden" r:id="rId23"/>
    <sheet name="QUF" sheetId="29" state="hidden" r:id="rId24"/>
    <sheet name="FCH" sheetId="50" state="hidden" r:id="rId25"/>
    <sheet name="DER" sheetId="21" state="hidden" r:id="rId26"/>
    <sheet name="CIP" sheetId="23" state="hidden" r:id="rId27"/>
    <sheet name="PSI" sheetId="24" state="hidden" r:id="rId28"/>
    <sheet name="SOC" sheetId="25" state="hidden" r:id="rId29"/>
    <sheet name="MUS" sheetId="26" state="hidden" r:id="rId30"/>
    <sheet name="COM" sheetId="48" state="hidden" r:id="rId31"/>
    <sheet name="LBP" sheetId="36" state="hidden" r:id="rId32"/>
    <sheet name="LAT" sheetId="37" state="hidden" r:id="rId33"/>
    <sheet name="LEI" sheetId="38" state="hidden" r:id="rId34"/>
    <sheet name="LCS" sheetId="40" state="hidden" r:id="rId35"/>
    <sheet name="LCN" sheetId="39" state="hidden" r:id="rId36"/>
    <sheet name="LYL" sheetId="41" state="hidden" r:id="rId37"/>
    <sheet name="FCS" sheetId="8" state="hidden" r:id="rId38"/>
    <sheet name="FING" sheetId="7" state="hidden" r:id="rId39"/>
    <sheet name="FCN" sheetId="5" state="hidden" r:id="rId40"/>
    <sheet name="FDCS" sheetId="4" state="hidden" r:id="rId41"/>
    <sheet name="ECE" sheetId="6" state="hidden" r:id="rId42"/>
  </sheets>
  <externalReferences>
    <externalReference r:id="rId43"/>
    <externalReference r:id="rId44"/>
  </externalReferences>
  <definedNames>
    <definedName name="_xlnm._FilterDatabase" localSheetId="3" hidden="1">'3c.Retiro temprano 1, 2 y 3 '!$B$2:$I$25</definedName>
    <definedName name="_xlnm._FilterDatabase" localSheetId="1" hidden="1">'Icesi sin ADN (cálculo metas)'!$A$1:$H$84</definedName>
    <definedName name="_xlnm._FilterDatabase" localSheetId="0" hidden="1">'Icesi sin ADN 1-2-3 (cálculo me'!$A$1:$H$4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6" l="1"/>
  <c r="E27" i="1"/>
  <c r="D27" i="1"/>
  <c r="C27" i="1"/>
  <c r="D26" i="16"/>
  <c r="C26" i="16"/>
  <c r="B26" i="16"/>
  <c r="S9" i="50"/>
  <c r="Q9" i="50"/>
  <c r="O9" i="50"/>
  <c r="H9" i="50"/>
  <c r="F9" i="50"/>
  <c r="D9" i="50"/>
  <c r="S8" i="49"/>
  <c r="Q8" i="49"/>
  <c r="O8" i="49"/>
  <c r="H8" i="49"/>
  <c r="F8" i="49"/>
  <c r="D8" i="49"/>
  <c r="T25" i="8"/>
  <c r="R25" i="8"/>
  <c r="P25" i="8"/>
  <c r="H25" i="8"/>
  <c r="F25" i="8"/>
  <c r="D25" i="8"/>
  <c r="H25" i="15"/>
  <c r="D25" i="15"/>
  <c r="T25" i="15"/>
  <c r="P25" i="15"/>
  <c r="D13" i="47"/>
  <c r="F13" i="47"/>
  <c r="H13" i="47"/>
  <c r="T26" i="13"/>
  <c r="R26" i="13"/>
  <c r="P26" i="13"/>
  <c r="H26" i="13"/>
  <c r="F26" i="13"/>
  <c r="D26" i="13"/>
  <c r="T26" i="12"/>
  <c r="R26" i="12"/>
  <c r="P26" i="12"/>
  <c r="H26" i="12"/>
  <c r="F26" i="12"/>
  <c r="D26" i="12"/>
  <c r="T26" i="11"/>
  <c r="R26" i="11"/>
  <c r="P26" i="11"/>
  <c r="H26" i="11"/>
  <c r="F26" i="11"/>
  <c r="D26" i="11"/>
  <c r="T25" i="22"/>
  <c r="R25" i="22"/>
  <c r="P25" i="22"/>
  <c r="F25" i="22"/>
  <c r="H25" i="22"/>
  <c r="D25" i="22"/>
  <c r="G26" i="1"/>
  <c r="I26" i="1"/>
  <c r="E26" i="1"/>
  <c r="I29" i="3"/>
  <c r="F25" i="3"/>
  <c r="R25" i="3"/>
  <c r="T25" i="3"/>
  <c r="P25" i="3"/>
  <c r="H25" i="3"/>
  <c r="D25" i="3"/>
  <c r="I26" i="2"/>
  <c r="G26" i="2"/>
  <c r="E26" i="2"/>
  <c r="K28" i="8"/>
  <c r="W28" i="8" s="1"/>
  <c r="K28" i="41"/>
  <c r="W28" i="41" s="1"/>
  <c r="K28" i="39"/>
  <c r="W28" i="39" s="1"/>
  <c r="K28" i="40"/>
  <c r="W28" i="40" s="1"/>
  <c r="K28" i="38"/>
  <c r="W28" i="38" s="1"/>
  <c r="K28" i="37"/>
  <c r="W28" i="37" s="1"/>
  <c r="K28" i="36"/>
  <c r="W28" i="36" s="1"/>
  <c r="K28" i="48"/>
  <c r="W28" i="48" s="1"/>
  <c r="K28" i="26"/>
  <c r="W28" i="26" s="1"/>
  <c r="K28" i="25"/>
  <c r="W28" i="25" s="1"/>
  <c r="K28" i="24"/>
  <c r="W28" i="24" s="1"/>
  <c r="K28" i="23"/>
  <c r="W28" i="23" s="1"/>
  <c r="K28" i="22"/>
  <c r="W28" i="22" s="1"/>
  <c r="K28" i="21"/>
  <c r="W28" i="21" s="1"/>
  <c r="B12" i="50"/>
  <c r="M12" i="50" s="1"/>
  <c r="K28" i="29"/>
  <c r="W28" i="29" s="1"/>
  <c r="K28" i="28"/>
  <c r="W28" i="28" s="1"/>
  <c r="K28" i="27"/>
  <c r="W28" i="27" s="1"/>
  <c r="K28" i="20"/>
  <c r="W28" i="20" s="1"/>
  <c r="K28" i="18"/>
  <c r="W28" i="18" s="1"/>
  <c r="K28" i="19"/>
  <c r="W28" i="19" s="1"/>
  <c r="K28" i="17"/>
  <c r="W28" i="17" s="1"/>
  <c r="K28" i="16"/>
  <c r="W28" i="16" s="1"/>
  <c r="K28" i="15"/>
  <c r="W28" i="15" s="1"/>
  <c r="B11" i="49"/>
  <c r="M11" i="49" s="1"/>
  <c r="K16" i="47"/>
  <c r="W16" i="47" s="1"/>
  <c r="K28" i="14"/>
  <c r="W28" i="14" s="1"/>
  <c r="K29" i="13"/>
  <c r="W29" i="13" s="1"/>
  <c r="K29" i="12"/>
  <c r="W29" i="12" s="1"/>
  <c r="K29" i="11"/>
  <c r="W29" i="11" s="1"/>
  <c r="K29" i="9"/>
  <c r="W29" i="9" s="1"/>
  <c r="K28" i="3"/>
  <c r="W28" i="3" s="1"/>
  <c r="F20" i="6" l="1"/>
  <c r="E23" i="3"/>
  <c r="J28" i="8"/>
  <c r="V28" i="8" s="1"/>
  <c r="J28" i="41"/>
  <c r="V28" i="41" s="1"/>
  <c r="J28" i="39"/>
  <c r="V28" i="39" s="1"/>
  <c r="J28" i="40"/>
  <c r="V28" i="40" s="1"/>
  <c r="J28" i="38"/>
  <c r="V28" i="38" s="1"/>
  <c r="M29" i="37"/>
  <c r="J28" i="37"/>
  <c r="V28" i="37" s="1"/>
  <c r="J28" i="36"/>
  <c r="V28" i="36" s="1"/>
  <c r="J28" i="48"/>
  <c r="V28" i="48" s="1"/>
  <c r="J28" i="26"/>
  <c r="V28" i="26" s="1"/>
  <c r="J28" i="25"/>
  <c r="V28" i="25" s="1"/>
  <c r="J28" i="24"/>
  <c r="V28" i="24" s="1"/>
  <c r="J28" i="23"/>
  <c r="V28" i="23" s="1"/>
  <c r="J28" i="22"/>
  <c r="V28" i="22" s="1"/>
  <c r="J28" i="21"/>
  <c r="V28" i="21" s="1"/>
  <c r="A12" i="50"/>
  <c r="L12" i="50" s="1"/>
  <c r="J28" i="29"/>
  <c r="V28" i="29" s="1"/>
  <c r="J28" i="28"/>
  <c r="V28" i="28" s="1"/>
  <c r="J28" i="27"/>
  <c r="V28" i="27" s="1"/>
  <c r="J28" i="20"/>
  <c r="V28" i="20" s="1"/>
  <c r="J28" i="18"/>
  <c r="V28" i="18" s="1"/>
  <c r="J28" i="19"/>
  <c r="V28" i="19" s="1"/>
  <c r="J28" i="17"/>
  <c r="V28" i="17" s="1"/>
  <c r="J28" i="16"/>
  <c r="V28" i="16" s="1"/>
  <c r="J28" i="15"/>
  <c r="V28" i="15" s="1"/>
  <c r="A11" i="49"/>
  <c r="L11" i="49" s="1"/>
  <c r="J16" i="47"/>
  <c r="V16" i="47" s="1"/>
  <c r="J28" i="14"/>
  <c r="V28" i="14" s="1"/>
  <c r="J29" i="13"/>
  <c r="V29" i="13" s="1"/>
  <c r="J29" i="12"/>
  <c r="V29" i="12" s="1"/>
  <c r="J29" i="11"/>
  <c r="V29" i="11" s="1"/>
  <c r="J29" i="9"/>
  <c r="V29" i="9" s="1"/>
  <c r="J28" i="3"/>
  <c r="V28" i="3" s="1"/>
  <c r="K30" i="2"/>
  <c r="Q24" i="8"/>
  <c r="O24" i="8"/>
  <c r="N24" i="8"/>
  <c r="Q23" i="8"/>
  <c r="O23" i="8"/>
  <c r="N23" i="8"/>
  <c r="E24" i="8"/>
  <c r="C24" i="8"/>
  <c r="B24" i="8"/>
  <c r="E23" i="8"/>
  <c r="C23" i="8"/>
  <c r="B23" i="8"/>
  <c r="Q24" i="41" a="1"/>
  <c r="Q24" i="41" s="1"/>
  <c r="O24" i="41" a="1"/>
  <c r="O24" i="41" s="1"/>
  <c r="N24" i="41" a="1"/>
  <c r="N24" i="41" s="1"/>
  <c r="E24" i="41" a="1"/>
  <c r="E24" i="41" s="1"/>
  <c r="C24" i="41" a="1"/>
  <c r="C24" i="41" s="1"/>
  <c r="B24" i="41" a="1"/>
  <c r="B24" i="41" s="1"/>
  <c r="Q23" i="41" a="1"/>
  <c r="Q23" i="41" s="1"/>
  <c r="O23" i="41" a="1"/>
  <c r="O23" i="41" s="1"/>
  <c r="N23" i="41" a="1"/>
  <c r="N23" i="41" s="1"/>
  <c r="E23" i="41" a="1"/>
  <c r="E23" i="41" s="1"/>
  <c r="C23" i="41" a="1"/>
  <c r="C23" i="41" s="1"/>
  <c r="B23" i="41" a="1"/>
  <c r="B23" i="41" s="1"/>
  <c r="Q24" i="39" a="1"/>
  <c r="Q24" i="39" s="1"/>
  <c r="O24" i="39" a="1"/>
  <c r="O24" i="39" s="1"/>
  <c r="N24" i="39" a="1"/>
  <c r="N24" i="39" s="1"/>
  <c r="E24" i="39" a="1"/>
  <c r="E24" i="39" s="1"/>
  <c r="C24" i="39" a="1"/>
  <c r="C24" i="39" s="1"/>
  <c r="B24" i="39" a="1"/>
  <c r="B24" i="39" s="1"/>
  <c r="Q23" i="39" a="1"/>
  <c r="Q23" i="39" s="1"/>
  <c r="O23" i="39" a="1"/>
  <c r="O23" i="39" s="1"/>
  <c r="N23" i="39" a="1"/>
  <c r="N23" i="39" s="1"/>
  <c r="E23" i="39" a="1"/>
  <c r="E23" i="39" s="1"/>
  <c r="C23" i="39" a="1"/>
  <c r="C23" i="39" s="1"/>
  <c r="B23" i="39" a="1"/>
  <c r="B23" i="39" s="1"/>
  <c r="Q24" i="40" a="1"/>
  <c r="Q24" i="40" s="1"/>
  <c r="O24" i="40" a="1"/>
  <c r="O24" i="40" s="1"/>
  <c r="N24" i="40" a="1"/>
  <c r="N24" i="40" s="1"/>
  <c r="E24" i="40" a="1"/>
  <c r="E24" i="40" s="1"/>
  <c r="C24" i="40" a="1"/>
  <c r="C24" i="40" s="1"/>
  <c r="B24" i="40" a="1"/>
  <c r="B24" i="40" s="1"/>
  <c r="Q23" i="40" a="1"/>
  <c r="Q23" i="40" s="1"/>
  <c r="O23" i="40" a="1"/>
  <c r="O23" i="40" s="1"/>
  <c r="N23" i="40" a="1"/>
  <c r="N23" i="40" s="1"/>
  <c r="E23" i="40" a="1"/>
  <c r="E23" i="40" s="1"/>
  <c r="C23" i="40" a="1"/>
  <c r="C23" i="40" s="1"/>
  <c r="B23" i="40" a="1"/>
  <c r="B23" i="40" s="1"/>
  <c r="Q24" i="38" a="1"/>
  <c r="Q24" i="38" s="1"/>
  <c r="O24" i="38" a="1"/>
  <c r="O24" i="38" s="1"/>
  <c r="N24" i="38" a="1"/>
  <c r="N24" i="38" s="1"/>
  <c r="E24" i="38" a="1"/>
  <c r="E24" i="38" s="1"/>
  <c r="C24" i="38" a="1"/>
  <c r="C24" i="38" s="1"/>
  <c r="B24" i="38" a="1"/>
  <c r="B24" i="38" s="1"/>
  <c r="Q23" i="38" a="1"/>
  <c r="Q23" i="38" s="1"/>
  <c r="O23" i="38" a="1"/>
  <c r="O23" i="38" s="1"/>
  <c r="N23" i="38" a="1"/>
  <c r="N23" i="38" s="1"/>
  <c r="E23" i="38" a="1"/>
  <c r="E23" i="38" s="1"/>
  <c r="C23" i="38" a="1"/>
  <c r="C23" i="38" s="1"/>
  <c r="B23" i="38" a="1"/>
  <c r="B23" i="38" s="1"/>
  <c r="Q24" i="37" a="1"/>
  <c r="Q24" i="37" s="1"/>
  <c r="O24" i="37" a="1"/>
  <c r="O24" i="37" s="1"/>
  <c r="N24" i="37" a="1"/>
  <c r="N24" i="37" s="1"/>
  <c r="E24" i="37" a="1"/>
  <c r="E24" i="37" s="1"/>
  <c r="C24" i="37" a="1"/>
  <c r="C24" i="37" s="1"/>
  <c r="B24" i="37" a="1"/>
  <c r="B24" i="37" s="1"/>
  <c r="Q23" i="37" a="1"/>
  <c r="Q23" i="37" s="1"/>
  <c r="O23" i="37" a="1"/>
  <c r="O23" i="37" s="1"/>
  <c r="N23" i="37" a="1"/>
  <c r="N23" i="37" s="1"/>
  <c r="E23" i="37" a="1"/>
  <c r="E23" i="37" s="1"/>
  <c r="C23" i="37" a="1"/>
  <c r="C23" i="37" s="1"/>
  <c r="B23" i="37" a="1"/>
  <c r="B23" i="37" s="1"/>
  <c r="Q24" i="36" a="1"/>
  <c r="Q24" i="36" s="1"/>
  <c r="O24" i="36" a="1"/>
  <c r="O24" i="36" s="1"/>
  <c r="N24" i="36" a="1"/>
  <c r="N24" i="36" s="1"/>
  <c r="E24" i="36" a="1"/>
  <c r="E24" i="36" s="1"/>
  <c r="C24" i="36" a="1"/>
  <c r="C24" i="36" s="1"/>
  <c r="B24" i="36" a="1"/>
  <c r="B24" i="36" s="1"/>
  <c r="Q23" i="36" a="1"/>
  <c r="Q23" i="36" s="1"/>
  <c r="O23" i="36" a="1"/>
  <c r="O23" i="36" s="1"/>
  <c r="N23" i="36" a="1"/>
  <c r="N23" i="36" s="1"/>
  <c r="E23" i="36" a="1"/>
  <c r="E23" i="36" s="1"/>
  <c r="C23" i="36" a="1"/>
  <c r="C23" i="36" s="1"/>
  <c r="B23" i="36" a="1"/>
  <c r="B23" i="36" s="1"/>
  <c r="Q24" i="48" a="1"/>
  <c r="Q24" i="48" s="1"/>
  <c r="O24" i="48" a="1"/>
  <c r="O24" i="48" s="1"/>
  <c r="N24" i="48" a="1"/>
  <c r="N24" i="48" s="1"/>
  <c r="E24" i="48" a="1"/>
  <c r="E24" i="48" s="1"/>
  <c r="C24" i="48" a="1"/>
  <c r="C24" i="48" s="1"/>
  <c r="B24" i="48" a="1"/>
  <c r="B24" i="48" s="1"/>
  <c r="Q23" i="48" a="1"/>
  <c r="Q23" i="48" s="1"/>
  <c r="O23" i="48" a="1"/>
  <c r="O23" i="48" s="1"/>
  <c r="N23" i="48" a="1"/>
  <c r="N23" i="48" s="1"/>
  <c r="E23" i="48" a="1"/>
  <c r="E23" i="48" s="1"/>
  <c r="C23" i="48" a="1"/>
  <c r="C23" i="48" s="1"/>
  <c r="B23" i="48" a="1"/>
  <c r="B23" i="48" s="1"/>
  <c r="G23" i="48" s="1"/>
  <c r="H23" i="48" s="1"/>
  <c r="Q24" i="26" a="1"/>
  <c r="Q24" i="26" s="1"/>
  <c r="O24" i="26" a="1"/>
  <c r="O24" i="26" s="1"/>
  <c r="N24" i="26" a="1"/>
  <c r="N24" i="26" s="1"/>
  <c r="E24" i="26" a="1"/>
  <c r="E24" i="26" s="1"/>
  <c r="C24" i="26" a="1"/>
  <c r="C24" i="26" s="1"/>
  <c r="B24" i="26" a="1"/>
  <c r="B24" i="26" s="1"/>
  <c r="Q23" i="26" a="1"/>
  <c r="Q23" i="26" s="1"/>
  <c r="O23" i="26" a="1"/>
  <c r="O23" i="26" s="1"/>
  <c r="N23" i="26" a="1"/>
  <c r="N23" i="26" s="1"/>
  <c r="E23" i="26" a="1"/>
  <c r="E23" i="26" s="1"/>
  <c r="C23" i="26" a="1"/>
  <c r="C23" i="26" s="1"/>
  <c r="B23" i="26" a="1"/>
  <c r="B23" i="26" s="1"/>
  <c r="Q24" i="25" a="1"/>
  <c r="Q24" i="25" s="1"/>
  <c r="O24" i="25" a="1"/>
  <c r="O24" i="25" s="1"/>
  <c r="N24" i="25" a="1"/>
  <c r="N24" i="25" s="1"/>
  <c r="E24" i="25" a="1"/>
  <c r="E24" i="25" s="1"/>
  <c r="C24" i="25" a="1"/>
  <c r="C24" i="25" s="1"/>
  <c r="B24" i="25" a="1"/>
  <c r="B24" i="25" s="1"/>
  <c r="Q23" i="25" a="1"/>
  <c r="Q23" i="25" s="1"/>
  <c r="O23" i="25" a="1"/>
  <c r="O23" i="25" s="1"/>
  <c r="N23" i="25" a="1"/>
  <c r="N23" i="25" s="1"/>
  <c r="E23" i="25" a="1"/>
  <c r="E23" i="25" s="1"/>
  <c r="C23" i="25" a="1"/>
  <c r="C23" i="25" s="1"/>
  <c r="B23" i="25" a="1"/>
  <c r="B23" i="25" s="1"/>
  <c r="D24" i="41" l="1"/>
  <c r="K29" i="41" s="1"/>
  <c r="G23" i="39"/>
  <c r="H23" i="39" s="1"/>
  <c r="G23" i="40"/>
  <c r="H23" i="40" s="1"/>
  <c r="S24" i="36"/>
  <c r="T24" i="36" s="1"/>
  <c r="G23" i="26"/>
  <c r="H23" i="26" s="1"/>
  <c r="S24" i="25"/>
  <c r="T24" i="25" s="1"/>
  <c r="S24" i="40"/>
  <c r="T24" i="40" s="1"/>
  <c r="S24" i="39"/>
  <c r="T24" i="39" s="1"/>
  <c r="G24" i="26"/>
  <c r="H24" i="26" s="1"/>
  <c r="V29" i="26"/>
  <c r="P23" i="25"/>
  <c r="R24" i="41"/>
  <c r="G23" i="8"/>
  <c r="H23" i="8" s="1"/>
  <c r="P24" i="41"/>
  <c r="W29" i="41" s="1"/>
  <c r="F23" i="26"/>
  <c r="F23" i="36"/>
  <c r="F23" i="37"/>
  <c r="F23" i="38"/>
  <c r="F23" i="40"/>
  <c r="F23" i="39"/>
  <c r="F23" i="41"/>
  <c r="V29" i="48"/>
  <c r="P23" i="36"/>
  <c r="P23" i="37"/>
  <c r="P23" i="38"/>
  <c r="P23" i="40"/>
  <c r="P23" i="39"/>
  <c r="P23" i="41"/>
  <c r="R23" i="25"/>
  <c r="R23" i="26"/>
  <c r="R23" i="36"/>
  <c r="R23" i="37"/>
  <c r="R23" i="38"/>
  <c r="R23" i="40"/>
  <c r="R23" i="39"/>
  <c r="R23" i="41"/>
  <c r="G24" i="37"/>
  <c r="H24" i="37" s="1"/>
  <c r="G24" i="39"/>
  <c r="H24" i="39" s="1"/>
  <c r="V29" i="8"/>
  <c r="G24" i="41"/>
  <c r="H24" i="41" s="1"/>
  <c r="D24" i="25"/>
  <c r="K29" i="25" s="1"/>
  <c r="D24" i="38"/>
  <c r="K29" i="38" s="1"/>
  <c r="D24" i="26"/>
  <c r="K29" i="26" s="1"/>
  <c r="D24" i="36"/>
  <c r="K29" i="36" s="1"/>
  <c r="D24" i="37"/>
  <c r="K29" i="37" s="1"/>
  <c r="D24" i="40"/>
  <c r="K29" i="40" s="1"/>
  <c r="D24" i="39"/>
  <c r="K29" i="39" s="1"/>
  <c r="F24" i="25"/>
  <c r="F24" i="26"/>
  <c r="F24" i="36"/>
  <c r="F24" i="37"/>
  <c r="F24" i="38"/>
  <c r="F24" i="40"/>
  <c r="F24" i="39"/>
  <c r="F24" i="41"/>
  <c r="P24" i="25"/>
  <c r="W29" i="25" s="1"/>
  <c r="P24" i="37"/>
  <c r="W29" i="37" s="1"/>
  <c r="P24" i="39"/>
  <c r="W29" i="39" s="1"/>
  <c r="R24" i="36"/>
  <c r="R24" i="39"/>
  <c r="P24" i="36"/>
  <c r="W29" i="36" s="1"/>
  <c r="R24" i="25"/>
  <c r="R24" i="37"/>
  <c r="J29" i="25"/>
  <c r="J29" i="26"/>
  <c r="J29" i="48"/>
  <c r="J29" i="36"/>
  <c r="J29" i="37"/>
  <c r="D23" i="38"/>
  <c r="J29" i="40"/>
  <c r="J29" i="39"/>
  <c r="D23" i="41"/>
  <c r="J29" i="8"/>
  <c r="P24" i="26"/>
  <c r="W29" i="26" s="1"/>
  <c r="P24" i="38"/>
  <c r="W29" i="38" s="1"/>
  <c r="R24" i="26"/>
  <c r="R24" i="38"/>
  <c r="F23" i="25"/>
  <c r="P24" i="40"/>
  <c r="W29" i="40" s="1"/>
  <c r="R24" i="40"/>
  <c r="S23" i="37"/>
  <c r="T23" i="37" s="1"/>
  <c r="S23" i="40"/>
  <c r="T23" i="40" s="1"/>
  <c r="S23" i="8"/>
  <c r="T23" i="8" s="1"/>
  <c r="G24" i="8"/>
  <c r="H24" i="8" s="1"/>
  <c r="F23" i="8"/>
  <c r="D23" i="8"/>
  <c r="D24" i="8"/>
  <c r="K29" i="8" s="1"/>
  <c r="S24" i="8"/>
  <c r="T24" i="8" s="1"/>
  <c r="S23" i="41"/>
  <c r="T23" i="41" s="1"/>
  <c r="J29" i="41"/>
  <c r="V29" i="41"/>
  <c r="S24" i="41"/>
  <c r="T24" i="41" s="1"/>
  <c r="G23" i="41"/>
  <c r="H23" i="41" s="1"/>
  <c r="V29" i="39"/>
  <c r="D23" i="39"/>
  <c r="S23" i="39"/>
  <c r="T23" i="39" s="1"/>
  <c r="D23" i="40"/>
  <c r="V29" i="40"/>
  <c r="G24" i="40"/>
  <c r="H24" i="40" s="1"/>
  <c r="S24" i="38"/>
  <c r="T24" i="38" s="1"/>
  <c r="G23" i="38"/>
  <c r="H23" i="38" s="1"/>
  <c r="J29" i="38"/>
  <c r="V29" i="38"/>
  <c r="G24" i="38"/>
  <c r="H24" i="38" s="1"/>
  <c r="G23" i="37"/>
  <c r="H23" i="37" s="1"/>
  <c r="V29" i="37"/>
  <c r="D23" i="37"/>
  <c r="D23" i="36"/>
  <c r="V29" i="36"/>
  <c r="G24" i="48"/>
  <c r="H24" i="48" s="1"/>
  <c r="S23" i="48"/>
  <c r="T23" i="48" s="1"/>
  <c r="D23" i="26"/>
  <c r="P23" i="26"/>
  <c r="D23" i="25"/>
  <c r="V29" i="25"/>
  <c r="S23" i="36"/>
  <c r="T23" i="36" s="1"/>
  <c r="P23" i="8"/>
  <c r="R23" i="8"/>
  <c r="F24" i="8"/>
  <c r="P24" i="8"/>
  <c r="W29" i="8" s="1"/>
  <c r="R24" i="8"/>
  <c r="S23" i="38"/>
  <c r="T23" i="38" s="1"/>
  <c r="S24" i="37"/>
  <c r="T24" i="37" s="1"/>
  <c r="G23" i="36"/>
  <c r="H23" i="36" s="1"/>
  <c r="G24" i="36"/>
  <c r="H24" i="36" s="1"/>
  <c r="P24" i="48"/>
  <c r="W29" i="48" s="1"/>
  <c r="R24" i="48"/>
  <c r="D23" i="48"/>
  <c r="F23" i="48"/>
  <c r="P23" i="48"/>
  <c r="R23" i="48"/>
  <c r="D24" i="48"/>
  <c r="K29" i="48" s="1"/>
  <c r="F24" i="48"/>
  <c r="S24" i="48"/>
  <c r="T24" i="48" s="1"/>
  <c r="S23" i="26"/>
  <c r="T23" i="26" s="1"/>
  <c r="S24" i="26"/>
  <c r="T24" i="26" s="1"/>
  <c r="G23" i="25"/>
  <c r="H23" i="25" s="1"/>
  <c r="S23" i="25"/>
  <c r="T23" i="25" s="1"/>
  <c r="G24" i="25"/>
  <c r="H24" i="25" s="1"/>
  <c r="Q24" i="24" l="1" a="1"/>
  <c r="Q24" i="24" s="1"/>
  <c r="O24" i="24" a="1"/>
  <c r="O24" i="24" s="1"/>
  <c r="N24" i="24" a="1"/>
  <c r="N24" i="24" s="1"/>
  <c r="E24" i="24" a="1"/>
  <c r="E24" i="24" s="1"/>
  <c r="C24" i="24" a="1"/>
  <c r="C24" i="24" s="1"/>
  <c r="B24" i="24" a="1"/>
  <c r="B24" i="24" s="1"/>
  <c r="Q23" i="24" a="1"/>
  <c r="Q23" i="24" s="1"/>
  <c r="O23" i="24" a="1"/>
  <c r="O23" i="24" s="1"/>
  <c r="N23" i="24" a="1"/>
  <c r="N23" i="24" s="1"/>
  <c r="E23" i="24" a="1"/>
  <c r="E23" i="24" s="1"/>
  <c r="C23" i="24" a="1"/>
  <c r="C23" i="24" s="1"/>
  <c r="B23" i="24" a="1"/>
  <c r="B23" i="24" s="1"/>
  <c r="Q24" i="23" a="1"/>
  <c r="Q24" i="23" s="1"/>
  <c r="O24" i="23" a="1"/>
  <c r="O24" i="23" s="1"/>
  <c r="N24" i="23" a="1"/>
  <c r="N24" i="23" s="1"/>
  <c r="E24" i="23" a="1"/>
  <c r="E24" i="23" s="1"/>
  <c r="C24" i="23" a="1"/>
  <c r="C24" i="23" s="1"/>
  <c r="B24" i="23" a="1"/>
  <c r="B24" i="23" s="1"/>
  <c r="Q23" i="23" a="1"/>
  <c r="Q23" i="23" s="1"/>
  <c r="O23" i="23" a="1"/>
  <c r="O23" i="23" s="1"/>
  <c r="N23" i="23" a="1"/>
  <c r="N23" i="23" s="1"/>
  <c r="E23" i="23" a="1"/>
  <c r="E23" i="23" s="1"/>
  <c r="C23" i="23" a="1"/>
  <c r="C23" i="23" s="1"/>
  <c r="B23" i="23" a="1"/>
  <c r="B23" i="23" s="1"/>
  <c r="Q24" i="22" a="1"/>
  <c r="Q24" i="22" s="1"/>
  <c r="O24" i="22" a="1"/>
  <c r="O24" i="22" s="1"/>
  <c r="N24" i="22" a="1"/>
  <c r="N24" i="22" s="1"/>
  <c r="E24" i="22" a="1"/>
  <c r="E24" i="22" s="1"/>
  <c r="C24" i="22" a="1"/>
  <c r="C24" i="22" s="1"/>
  <c r="B24" i="22" a="1"/>
  <c r="B24" i="22" s="1"/>
  <c r="Q23" i="22" a="1"/>
  <c r="Q23" i="22" s="1"/>
  <c r="O23" i="22" a="1"/>
  <c r="O23" i="22" s="1"/>
  <c r="N23" i="22" a="1"/>
  <c r="N23" i="22" s="1"/>
  <c r="E23" i="22" a="1"/>
  <c r="E23" i="22" s="1"/>
  <c r="C23" i="22" a="1"/>
  <c r="C23" i="22" s="1"/>
  <c r="B23" i="22" a="1"/>
  <c r="B23" i="22" s="1"/>
  <c r="Q24" i="21" a="1"/>
  <c r="Q24" i="21" s="1"/>
  <c r="O24" i="21" a="1"/>
  <c r="O24" i="21" s="1"/>
  <c r="N24" i="21" a="1"/>
  <c r="N24" i="21" s="1"/>
  <c r="E24" i="21" a="1"/>
  <c r="E24" i="21" s="1"/>
  <c r="C24" i="21" a="1"/>
  <c r="C24" i="21" s="1"/>
  <c r="B24" i="21" a="1"/>
  <c r="B24" i="21" s="1"/>
  <c r="Q23" i="21" a="1"/>
  <c r="Q23" i="21" s="1"/>
  <c r="O23" i="21" a="1"/>
  <c r="O23" i="21" s="1"/>
  <c r="N23" i="21" a="1"/>
  <c r="N23" i="21" s="1"/>
  <c r="E23" i="21" a="1"/>
  <c r="E23" i="21" s="1"/>
  <c r="C23" i="21" a="1"/>
  <c r="C23" i="21" s="1"/>
  <c r="B23" i="21" a="1"/>
  <c r="B23" i="21" s="1"/>
  <c r="C7" i="50"/>
  <c r="E8" i="50"/>
  <c r="C8" i="50"/>
  <c r="B8" i="50"/>
  <c r="E7" i="50"/>
  <c r="B7" i="50"/>
  <c r="P8" i="50"/>
  <c r="N8" i="50"/>
  <c r="M8" i="50"/>
  <c r="P7" i="50"/>
  <c r="N7" i="50"/>
  <c r="M7" i="50"/>
  <c r="Q24" i="29" a="1"/>
  <c r="Q24" i="29" s="1"/>
  <c r="O24" i="29" a="1"/>
  <c r="O24" i="29" s="1"/>
  <c r="N24" i="29" a="1"/>
  <c r="N24" i="29" s="1"/>
  <c r="E24" i="29" a="1"/>
  <c r="E24" i="29" s="1"/>
  <c r="C24" i="29" a="1"/>
  <c r="C24" i="29" s="1"/>
  <c r="B24" i="29" a="1"/>
  <c r="B24" i="29" s="1"/>
  <c r="Q23" i="29" a="1"/>
  <c r="Q23" i="29" s="1"/>
  <c r="O23" i="29" a="1"/>
  <c r="O23" i="29" s="1"/>
  <c r="N23" i="29" a="1"/>
  <c r="N23" i="29" s="1"/>
  <c r="E23" i="29" a="1"/>
  <c r="E23" i="29" s="1"/>
  <c r="C23" i="29" a="1"/>
  <c r="C23" i="29" s="1"/>
  <c r="B23" i="29" a="1"/>
  <c r="B23" i="29" s="1"/>
  <c r="Q24" i="28" a="1"/>
  <c r="Q24" i="28" s="1"/>
  <c r="O24" i="28" a="1"/>
  <c r="O24" i="28" s="1"/>
  <c r="N24" i="28" a="1"/>
  <c r="N24" i="28" s="1"/>
  <c r="E24" i="28" a="1"/>
  <c r="E24" i="28" s="1"/>
  <c r="C24" i="28" a="1"/>
  <c r="C24" i="28" s="1"/>
  <c r="B24" i="28" a="1"/>
  <c r="B24" i="28" s="1"/>
  <c r="Q23" i="28" a="1"/>
  <c r="Q23" i="28" s="1"/>
  <c r="O23" i="28" a="1"/>
  <c r="O23" i="28" s="1"/>
  <c r="N23" i="28" a="1"/>
  <c r="N23" i="28" s="1"/>
  <c r="E23" i="28" a="1"/>
  <c r="E23" i="28" s="1"/>
  <c r="C23" i="28" a="1"/>
  <c r="C23" i="28" s="1"/>
  <c r="B23" i="28" a="1"/>
  <c r="B23" i="28" s="1"/>
  <c r="Q24" i="27" a="1"/>
  <c r="Q24" i="27" s="1"/>
  <c r="O24" i="27" a="1"/>
  <c r="O24" i="27" s="1"/>
  <c r="N24" i="27" a="1"/>
  <c r="N24" i="27" s="1"/>
  <c r="E24" i="27" a="1"/>
  <c r="E24" i="27" s="1"/>
  <c r="C24" i="27" a="1"/>
  <c r="C24" i="27" s="1"/>
  <c r="B24" i="27" a="1"/>
  <c r="B24" i="27" s="1"/>
  <c r="Q23" i="27" a="1"/>
  <c r="Q23" i="27" s="1"/>
  <c r="O23" i="27" a="1"/>
  <c r="O23" i="27" s="1"/>
  <c r="N23" i="27" a="1"/>
  <c r="N23" i="27" s="1"/>
  <c r="E23" i="27" a="1"/>
  <c r="E23" i="27" s="1"/>
  <c r="C23" i="27" a="1"/>
  <c r="C23" i="27" s="1"/>
  <c r="B23" i="27" a="1"/>
  <c r="B23" i="27" s="1"/>
  <c r="Q24" i="20" a="1"/>
  <c r="Q24" i="20" s="1"/>
  <c r="O24" i="20" a="1"/>
  <c r="O24" i="20" s="1"/>
  <c r="N24" i="20" a="1"/>
  <c r="N24" i="20" s="1"/>
  <c r="E24" i="20" a="1"/>
  <c r="E24" i="20" s="1"/>
  <c r="C24" i="20" a="1"/>
  <c r="C24" i="20" s="1"/>
  <c r="B24" i="20" a="1"/>
  <c r="B24" i="20" s="1"/>
  <c r="Q23" i="20" a="1"/>
  <c r="Q23" i="20" s="1"/>
  <c r="O23" i="20" a="1"/>
  <c r="O23" i="20" s="1"/>
  <c r="N23" i="20" a="1"/>
  <c r="N23" i="20" s="1"/>
  <c r="E23" i="20" a="1"/>
  <c r="E23" i="20" s="1"/>
  <c r="C23" i="20" a="1"/>
  <c r="C23" i="20" s="1"/>
  <c r="B23" i="20" a="1"/>
  <c r="B23" i="20" s="1"/>
  <c r="Q24" i="18" a="1"/>
  <c r="Q24" i="18" s="1"/>
  <c r="O24" i="18" a="1"/>
  <c r="O24" i="18" s="1"/>
  <c r="N24" i="18" a="1"/>
  <c r="N24" i="18" s="1"/>
  <c r="E24" i="18" a="1"/>
  <c r="E24" i="18" s="1"/>
  <c r="C24" i="18" a="1"/>
  <c r="C24" i="18" s="1"/>
  <c r="B24" i="18" a="1"/>
  <c r="B24" i="18" s="1"/>
  <c r="Q23" i="18" a="1"/>
  <c r="Q23" i="18" s="1"/>
  <c r="O23" i="18" a="1"/>
  <c r="O23" i="18" s="1"/>
  <c r="N23" i="18" a="1"/>
  <c r="N23" i="18" s="1"/>
  <c r="E23" i="18" a="1"/>
  <c r="E23" i="18" s="1"/>
  <c r="C23" i="18" a="1"/>
  <c r="C23" i="18" s="1"/>
  <c r="B23" i="18" a="1"/>
  <c r="B23" i="18" s="1"/>
  <c r="Q24" i="19" a="1"/>
  <c r="Q24" i="19" s="1"/>
  <c r="O24" i="19" a="1"/>
  <c r="O24" i="19" s="1"/>
  <c r="N24" i="19" a="1"/>
  <c r="N24" i="19" s="1"/>
  <c r="E24" i="19" a="1"/>
  <c r="E24" i="19" s="1"/>
  <c r="C24" i="19" a="1"/>
  <c r="C24" i="19" s="1"/>
  <c r="B24" i="19" a="1"/>
  <c r="B24" i="19" s="1"/>
  <c r="Q23" i="19" a="1"/>
  <c r="Q23" i="19" s="1"/>
  <c r="O23" i="19" a="1"/>
  <c r="O23" i="19" s="1"/>
  <c r="N23" i="19" a="1"/>
  <c r="N23" i="19" s="1"/>
  <c r="E23" i="19" a="1"/>
  <c r="E23" i="19" s="1"/>
  <c r="C23" i="19" a="1"/>
  <c r="C23" i="19" s="1"/>
  <c r="B23" i="19" a="1"/>
  <c r="B23" i="19" s="1"/>
  <c r="Q24" i="17" a="1"/>
  <c r="Q24" i="17" s="1"/>
  <c r="O24" i="17" a="1"/>
  <c r="O24" i="17" s="1"/>
  <c r="N24" i="17" a="1"/>
  <c r="N24" i="17" s="1"/>
  <c r="E24" i="17" a="1"/>
  <c r="E24" i="17" s="1"/>
  <c r="C24" i="17" a="1"/>
  <c r="C24" i="17" s="1"/>
  <c r="B24" i="17" a="1"/>
  <c r="B24" i="17" s="1"/>
  <c r="Q23" i="17" a="1"/>
  <c r="Q23" i="17" s="1"/>
  <c r="O23" i="17" a="1"/>
  <c r="O23" i="17" s="1"/>
  <c r="N23" i="17" a="1"/>
  <c r="N23" i="17" s="1"/>
  <c r="E23" i="17" a="1"/>
  <c r="E23" i="17" s="1"/>
  <c r="C23" i="17" a="1"/>
  <c r="C23" i="17" s="1"/>
  <c r="B23" i="17" a="1"/>
  <c r="B23" i="17" s="1"/>
  <c r="Q24" i="16" a="1"/>
  <c r="Q24" i="16" s="1"/>
  <c r="O24" i="16" a="1"/>
  <c r="O24" i="16" s="1"/>
  <c r="N24" i="16" a="1"/>
  <c r="N24" i="16" s="1"/>
  <c r="E24" i="16" a="1"/>
  <c r="E24" i="16" s="1"/>
  <c r="C24" i="16" a="1"/>
  <c r="C24" i="16" s="1"/>
  <c r="B24" i="16" a="1"/>
  <c r="B24" i="16" s="1"/>
  <c r="Q23" i="16" a="1"/>
  <c r="Q23" i="16" s="1"/>
  <c r="O23" i="16" a="1"/>
  <c r="O23" i="16" s="1"/>
  <c r="N23" i="16" a="1"/>
  <c r="N23" i="16" s="1"/>
  <c r="E23" i="16" a="1"/>
  <c r="E23" i="16" s="1"/>
  <c r="C23" i="16" a="1"/>
  <c r="C23" i="16" s="1"/>
  <c r="B23" i="16" a="1"/>
  <c r="B23" i="16" s="1"/>
  <c r="Q24" i="15" a="1"/>
  <c r="Q24" i="15" s="1"/>
  <c r="O24" i="15" a="1"/>
  <c r="O24" i="15" s="1"/>
  <c r="P24" i="15" s="1"/>
  <c r="N24" i="15" a="1"/>
  <c r="N24" i="15" s="1"/>
  <c r="E24" i="15" a="1"/>
  <c r="E24" i="15" s="1"/>
  <c r="C24" i="15" a="1"/>
  <c r="C24" i="15" s="1"/>
  <c r="B24" i="15" a="1"/>
  <c r="B24" i="15" s="1"/>
  <c r="Q23" i="15" a="1"/>
  <c r="Q23" i="15" s="1"/>
  <c r="O23" i="15" a="1"/>
  <c r="O23" i="15" s="1"/>
  <c r="N23" i="15" a="1"/>
  <c r="N23" i="15" s="1"/>
  <c r="E23" i="15" a="1"/>
  <c r="E23" i="15" s="1"/>
  <c r="C23" i="15" a="1"/>
  <c r="C23" i="15" s="1"/>
  <c r="B23" i="15" a="1"/>
  <c r="B23" i="15" s="1"/>
  <c r="P7" i="49"/>
  <c r="P6" i="49"/>
  <c r="M7" i="49"/>
  <c r="N7" i="49"/>
  <c r="N6" i="49"/>
  <c r="M6" i="49"/>
  <c r="E7" i="49"/>
  <c r="E6" i="49"/>
  <c r="B7" i="49"/>
  <c r="C7" i="49"/>
  <c r="C6" i="49"/>
  <c r="B6" i="49"/>
  <c r="Q12" i="47" a="1"/>
  <c r="Q12" i="47" s="1"/>
  <c r="O12" i="47" a="1"/>
  <c r="O12" i="47" s="1"/>
  <c r="N12" i="47" a="1"/>
  <c r="N12" i="47" s="1"/>
  <c r="E12" i="47" a="1"/>
  <c r="E12" i="47" s="1"/>
  <c r="C12" i="47" a="1"/>
  <c r="C12" i="47" s="1"/>
  <c r="B12" i="47" a="1"/>
  <c r="B12" i="47" s="1"/>
  <c r="Q11" i="47" a="1"/>
  <c r="Q11" i="47" s="1"/>
  <c r="O11" i="47" a="1"/>
  <c r="O11" i="47" s="1"/>
  <c r="N11" i="47" a="1"/>
  <c r="N11" i="47" s="1"/>
  <c r="E11" i="47" a="1"/>
  <c r="E11" i="47" s="1"/>
  <c r="C11" i="47" a="1"/>
  <c r="C11" i="47" s="1"/>
  <c r="B11" i="47" a="1"/>
  <c r="B11" i="47" s="1"/>
  <c r="Q24" i="14" a="1"/>
  <c r="Q24" i="14" s="1"/>
  <c r="O24" i="14" a="1"/>
  <c r="O24" i="14" s="1"/>
  <c r="N24" i="14" a="1"/>
  <c r="N24" i="14" s="1"/>
  <c r="E24" i="14" a="1"/>
  <c r="E24" i="14" s="1"/>
  <c r="C24" i="14" a="1"/>
  <c r="C24" i="14" s="1"/>
  <c r="B24" i="14" a="1"/>
  <c r="B24" i="14" s="1"/>
  <c r="Q23" i="14" a="1"/>
  <c r="Q23" i="14" s="1"/>
  <c r="O23" i="14" a="1"/>
  <c r="O23" i="14" s="1"/>
  <c r="N23" i="14" a="1"/>
  <c r="N23" i="14" s="1"/>
  <c r="E23" i="14" a="1"/>
  <c r="E23" i="14" s="1"/>
  <c r="C23" i="14" a="1"/>
  <c r="C23" i="14" s="1"/>
  <c r="B23" i="14" a="1"/>
  <c r="B23" i="14" s="1"/>
  <c r="Q25" i="13" a="1"/>
  <c r="Q25" i="13" s="1"/>
  <c r="O25" i="13" a="1"/>
  <c r="O25" i="13" s="1"/>
  <c r="N25" i="13" a="1"/>
  <c r="N25" i="13" s="1"/>
  <c r="E25" i="13" a="1"/>
  <c r="E25" i="13" s="1"/>
  <c r="C25" i="13" a="1"/>
  <c r="C25" i="13" s="1"/>
  <c r="B25" i="13" a="1"/>
  <c r="B25" i="13" s="1"/>
  <c r="Q24" i="13" a="1"/>
  <c r="Q24" i="13" s="1"/>
  <c r="O24" i="13" a="1"/>
  <c r="O24" i="13" s="1"/>
  <c r="N24" i="13" a="1"/>
  <c r="N24" i="13" s="1"/>
  <c r="E24" i="13" a="1"/>
  <c r="E24" i="13" s="1"/>
  <c r="C24" i="13" a="1"/>
  <c r="C24" i="13" s="1"/>
  <c r="B24" i="13" a="1"/>
  <c r="B24" i="13" s="1"/>
  <c r="Q25" i="12" a="1"/>
  <c r="Q25" i="12" s="1"/>
  <c r="O25" i="12" a="1"/>
  <c r="O25" i="12" s="1"/>
  <c r="N25" i="12" a="1"/>
  <c r="N25" i="12" s="1"/>
  <c r="E25" i="12" a="1"/>
  <c r="E25" i="12" s="1"/>
  <c r="C25" i="12" a="1"/>
  <c r="C25" i="12" s="1"/>
  <c r="B25" i="12" a="1"/>
  <c r="B25" i="12" s="1"/>
  <c r="Q24" i="12" a="1"/>
  <c r="Q24" i="12" s="1"/>
  <c r="O24" i="12" a="1"/>
  <c r="O24" i="12" s="1"/>
  <c r="N24" i="12" a="1"/>
  <c r="N24" i="12" s="1"/>
  <c r="E24" i="12" a="1"/>
  <c r="E24" i="12" s="1"/>
  <c r="C24" i="12" a="1"/>
  <c r="C24" i="12" s="1"/>
  <c r="B24" i="12" a="1"/>
  <c r="B24" i="12" s="1"/>
  <c r="Q25" i="11" a="1"/>
  <c r="Q25" i="11" s="1"/>
  <c r="O25" i="11" a="1"/>
  <c r="O25" i="11" s="1"/>
  <c r="N25" i="11" a="1"/>
  <c r="N25" i="11" s="1"/>
  <c r="E25" i="11" a="1"/>
  <c r="E25" i="11" s="1"/>
  <c r="C25" i="11" a="1"/>
  <c r="C25" i="11" s="1"/>
  <c r="B25" i="11" a="1"/>
  <c r="B25" i="11" s="1"/>
  <c r="Q24" i="11" a="1"/>
  <c r="Q24" i="11" s="1"/>
  <c r="O24" i="11" a="1"/>
  <c r="O24" i="11" s="1"/>
  <c r="N24" i="11" a="1"/>
  <c r="N24" i="11" s="1"/>
  <c r="E24" i="11" a="1"/>
  <c r="E24" i="11" s="1"/>
  <c r="C24" i="11" a="1"/>
  <c r="C24" i="11" s="1"/>
  <c r="B24" i="11" a="1"/>
  <c r="B24" i="11" s="1"/>
  <c r="Q25" i="9" a="1"/>
  <c r="Q25" i="9" s="1"/>
  <c r="Q24" i="9" a="1"/>
  <c r="Q24" i="9" s="1"/>
  <c r="N25" i="9" a="1"/>
  <c r="N25" i="9" s="1"/>
  <c r="O25" i="9" a="1"/>
  <c r="O25" i="9" s="1"/>
  <c r="O24" i="9" a="1"/>
  <c r="O24" i="9" s="1"/>
  <c r="N24" i="9" a="1"/>
  <c r="N24" i="9" s="1"/>
  <c r="E25" i="9" a="1"/>
  <c r="E25" i="9" s="1"/>
  <c r="C25" i="9" a="1"/>
  <c r="C25" i="9" s="1"/>
  <c r="B25" i="9" a="1"/>
  <c r="B25" i="9" s="1"/>
  <c r="E24" i="9" a="1"/>
  <c r="E24" i="9" s="1"/>
  <c r="C24" i="9" a="1"/>
  <c r="C24" i="9" s="1"/>
  <c r="B24" i="9" a="1"/>
  <c r="B24" i="9" s="1"/>
  <c r="Q24" i="3"/>
  <c r="Q23" i="3"/>
  <c r="N24" i="3"/>
  <c r="O24" i="3"/>
  <c r="O23" i="3"/>
  <c r="N23" i="3"/>
  <c r="B23" i="3"/>
  <c r="F23" i="3" s="1"/>
  <c r="E24" i="3"/>
  <c r="C23" i="3"/>
  <c r="C24" i="3"/>
  <c r="B24" i="3"/>
  <c r="R23" i="24" l="1"/>
  <c r="F23" i="23"/>
  <c r="R23" i="19"/>
  <c r="R23" i="16"/>
  <c r="R24" i="12"/>
  <c r="D25" i="9"/>
  <c r="K30" i="9" s="1"/>
  <c r="R24" i="11"/>
  <c r="R11" i="47"/>
  <c r="G25" i="13"/>
  <c r="H25" i="13" s="1"/>
  <c r="G24" i="14"/>
  <c r="H24" i="14" s="1"/>
  <c r="G12" i="47"/>
  <c r="H12" i="47" s="1"/>
  <c r="G24" i="16"/>
  <c r="H24" i="16" s="1"/>
  <c r="G24" i="17"/>
  <c r="H24" i="17" s="1"/>
  <c r="G24" i="19"/>
  <c r="H24" i="19" s="1"/>
  <c r="G24" i="18"/>
  <c r="H24" i="18" s="1"/>
  <c r="G24" i="20"/>
  <c r="H24" i="20" s="1"/>
  <c r="G24" i="28"/>
  <c r="H24" i="28" s="1"/>
  <c r="G24" i="29"/>
  <c r="H24" i="29" s="1"/>
  <c r="G24" i="21"/>
  <c r="H24" i="21" s="1"/>
  <c r="P24" i="20"/>
  <c r="W29" i="20" s="1"/>
  <c r="P24" i="29"/>
  <c r="W29" i="29" s="1"/>
  <c r="P24" i="24"/>
  <c r="W29" i="24" s="1"/>
  <c r="P24" i="3"/>
  <c r="W29" i="3" s="1"/>
  <c r="F24" i="23"/>
  <c r="R24" i="23"/>
  <c r="P25" i="12"/>
  <c r="W30" i="12" s="1"/>
  <c r="P24" i="28"/>
  <c r="W29" i="28" s="1"/>
  <c r="R25" i="12"/>
  <c r="R24" i="28"/>
  <c r="P25" i="9"/>
  <c r="W30" i="9" s="1"/>
  <c r="R25" i="9"/>
  <c r="Q7" i="49"/>
  <c r="O8" i="50"/>
  <c r="M13" i="50" s="1"/>
  <c r="Q8" i="50"/>
  <c r="D7" i="49"/>
  <c r="B12" i="49" s="1"/>
  <c r="Q7" i="50"/>
  <c r="O7" i="49"/>
  <c r="M12" i="49" s="1"/>
  <c r="G8" i="50"/>
  <c r="H8" i="50" s="1"/>
  <c r="A12" i="49"/>
  <c r="D6" i="49"/>
  <c r="L13" i="50"/>
  <c r="O7" i="50"/>
  <c r="F24" i="9"/>
  <c r="F23" i="14"/>
  <c r="F11" i="47"/>
  <c r="F23" i="15"/>
  <c r="F23" i="16"/>
  <c r="F23" i="17"/>
  <c r="F23" i="19"/>
  <c r="F23" i="18"/>
  <c r="F23" i="20"/>
  <c r="F23" i="27"/>
  <c r="F23" i="28"/>
  <c r="F23" i="29"/>
  <c r="F23" i="21"/>
  <c r="F23" i="22"/>
  <c r="F23" i="24"/>
  <c r="D24" i="3"/>
  <c r="K29" i="3" s="1"/>
  <c r="F24" i="11"/>
  <c r="R8" i="50"/>
  <c r="S8" i="50" s="1"/>
  <c r="S23" i="21"/>
  <c r="T23" i="21" s="1"/>
  <c r="D25" i="11"/>
  <c r="K30" i="11" s="1"/>
  <c r="D25" i="12"/>
  <c r="K30" i="12" s="1"/>
  <c r="L12" i="49"/>
  <c r="O6" i="49"/>
  <c r="D24" i="15"/>
  <c r="K29" i="15" s="1"/>
  <c r="D24" i="27"/>
  <c r="K29" i="27" s="1"/>
  <c r="F7" i="50"/>
  <c r="F25" i="12"/>
  <c r="F24" i="20"/>
  <c r="S25" i="13"/>
  <c r="T25" i="13" s="1"/>
  <c r="S12" i="47"/>
  <c r="T12" i="47" s="1"/>
  <c r="S24" i="19"/>
  <c r="T24" i="19" s="1"/>
  <c r="S24" i="18"/>
  <c r="T24" i="18" s="1"/>
  <c r="D8" i="50"/>
  <c r="B13" i="50" s="1"/>
  <c r="R23" i="3"/>
  <c r="Q6" i="49"/>
  <c r="F8" i="50"/>
  <c r="D7" i="50"/>
  <c r="A13" i="50"/>
  <c r="D23" i="24"/>
  <c r="J29" i="24"/>
  <c r="S23" i="24"/>
  <c r="T23" i="24" s="1"/>
  <c r="P23" i="24"/>
  <c r="V29" i="24"/>
  <c r="D24" i="24"/>
  <c r="K29" i="24" s="1"/>
  <c r="F24" i="24"/>
  <c r="R24" i="24"/>
  <c r="J29" i="23"/>
  <c r="D23" i="23"/>
  <c r="S23" i="23"/>
  <c r="T23" i="23" s="1"/>
  <c r="V29" i="23"/>
  <c r="P23" i="23"/>
  <c r="R23" i="23"/>
  <c r="D24" i="23"/>
  <c r="K29" i="23" s="1"/>
  <c r="P24" i="23"/>
  <c r="W29" i="23" s="1"/>
  <c r="D23" i="22"/>
  <c r="J29" i="22"/>
  <c r="S23" i="22"/>
  <c r="T23" i="22" s="1"/>
  <c r="P23" i="22"/>
  <c r="V29" i="22"/>
  <c r="R23" i="22"/>
  <c r="D24" i="22"/>
  <c r="K29" i="22" s="1"/>
  <c r="F24" i="22"/>
  <c r="P24" i="22"/>
  <c r="W29" i="22" s="1"/>
  <c r="R24" i="22"/>
  <c r="D23" i="21"/>
  <c r="J29" i="21"/>
  <c r="P23" i="21"/>
  <c r="V29" i="21"/>
  <c r="R23" i="21"/>
  <c r="D24" i="21"/>
  <c r="K29" i="21" s="1"/>
  <c r="F24" i="21"/>
  <c r="P24" i="21"/>
  <c r="W29" i="21" s="1"/>
  <c r="R24" i="21"/>
  <c r="S23" i="29"/>
  <c r="T23" i="29" s="1"/>
  <c r="R23" i="29"/>
  <c r="D24" i="29"/>
  <c r="K29" i="29" s="1"/>
  <c r="F24" i="29"/>
  <c r="S24" i="29"/>
  <c r="T24" i="29" s="1"/>
  <c r="R24" i="29"/>
  <c r="J29" i="29"/>
  <c r="D23" i="29"/>
  <c r="P23" i="29"/>
  <c r="V29" i="29"/>
  <c r="D23" i="28"/>
  <c r="J29" i="28"/>
  <c r="P23" i="28"/>
  <c r="V29" i="28"/>
  <c r="R23" i="28"/>
  <c r="D24" i="28"/>
  <c r="K29" i="28" s="1"/>
  <c r="F24" i="28"/>
  <c r="J29" i="27"/>
  <c r="D23" i="27"/>
  <c r="V29" i="27"/>
  <c r="P23" i="27"/>
  <c r="R23" i="27"/>
  <c r="G24" i="27"/>
  <c r="H24" i="27" s="1"/>
  <c r="F24" i="27"/>
  <c r="P24" i="27"/>
  <c r="W29" i="27" s="1"/>
  <c r="R24" i="27"/>
  <c r="J29" i="20"/>
  <c r="D23" i="20"/>
  <c r="P23" i="20"/>
  <c r="V29" i="20"/>
  <c r="R23" i="20"/>
  <c r="D24" i="20"/>
  <c r="K29" i="20" s="1"/>
  <c r="R24" i="20"/>
  <c r="D23" i="18"/>
  <c r="J29" i="18"/>
  <c r="V29" i="18"/>
  <c r="P23" i="18"/>
  <c r="R23" i="18"/>
  <c r="D24" i="18"/>
  <c r="K29" i="18" s="1"/>
  <c r="F24" i="18"/>
  <c r="P24" i="18"/>
  <c r="W29" i="18" s="1"/>
  <c r="R24" i="18"/>
  <c r="J29" i="19"/>
  <c r="D23" i="19"/>
  <c r="P23" i="19"/>
  <c r="V29" i="19"/>
  <c r="D24" i="19"/>
  <c r="K29" i="19" s="1"/>
  <c r="F24" i="19"/>
  <c r="P24" i="19"/>
  <c r="W29" i="19" s="1"/>
  <c r="R24" i="19"/>
  <c r="R23" i="17"/>
  <c r="S24" i="17"/>
  <c r="T24" i="17" s="1"/>
  <c r="J29" i="17"/>
  <c r="D23" i="17"/>
  <c r="P23" i="17"/>
  <c r="V29" i="17"/>
  <c r="D24" i="17"/>
  <c r="K29" i="17" s="1"/>
  <c r="F24" i="17"/>
  <c r="P24" i="17"/>
  <c r="W29" i="17" s="1"/>
  <c r="R24" i="17"/>
  <c r="D23" i="16"/>
  <c r="J29" i="16"/>
  <c r="P23" i="16"/>
  <c r="V29" i="16"/>
  <c r="D24" i="16"/>
  <c r="K29" i="16" s="1"/>
  <c r="F24" i="16"/>
  <c r="P24" i="16"/>
  <c r="W29" i="16" s="1"/>
  <c r="R24" i="16"/>
  <c r="D23" i="15"/>
  <c r="J29" i="15"/>
  <c r="V29" i="15"/>
  <c r="P23" i="15"/>
  <c r="R23" i="15"/>
  <c r="G24" i="15"/>
  <c r="H24" i="15" s="1"/>
  <c r="F24" i="15"/>
  <c r="W29" i="15"/>
  <c r="R24" i="15"/>
  <c r="J17" i="47"/>
  <c r="D11" i="47"/>
  <c r="P11" i="47"/>
  <c r="V17" i="47"/>
  <c r="D12" i="47"/>
  <c r="K17" i="47" s="1"/>
  <c r="F12" i="47"/>
  <c r="P12" i="47"/>
  <c r="W17" i="47" s="1"/>
  <c r="R12" i="47"/>
  <c r="J29" i="14"/>
  <c r="D23" i="14"/>
  <c r="P23" i="14"/>
  <c r="V29" i="14"/>
  <c r="R23" i="14"/>
  <c r="D24" i="14"/>
  <c r="K29" i="14" s="1"/>
  <c r="F24" i="14"/>
  <c r="P24" i="14"/>
  <c r="W29" i="14" s="1"/>
  <c r="R24" i="14"/>
  <c r="J30" i="13"/>
  <c r="D24" i="13"/>
  <c r="F24" i="13"/>
  <c r="P24" i="13"/>
  <c r="V30" i="13"/>
  <c r="R24" i="13"/>
  <c r="D25" i="13"/>
  <c r="K30" i="13" s="1"/>
  <c r="F25" i="13"/>
  <c r="P25" i="13"/>
  <c r="W30" i="13" s="1"/>
  <c r="R25" i="13"/>
  <c r="J30" i="12"/>
  <c r="D24" i="12"/>
  <c r="F24" i="12"/>
  <c r="P24" i="12"/>
  <c r="V30" i="12"/>
  <c r="G25" i="12"/>
  <c r="H25" i="12" s="1"/>
  <c r="S25" i="12"/>
  <c r="T25" i="12" s="1"/>
  <c r="D24" i="11"/>
  <c r="J30" i="11"/>
  <c r="V30" i="11"/>
  <c r="P24" i="11"/>
  <c r="F25" i="11"/>
  <c r="P25" i="11"/>
  <c r="W30" i="11" s="1"/>
  <c r="R25" i="11"/>
  <c r="D24" i="9"/>
  <c r="J30" i="9"/>
  <c r="F25" i="9"/>
  <c r="P24" i="9"/>
  <c r="V30" i="9"/>
  <c r="R24" i="9"/>
  <c r="F24" i="3"/>
  <c r="J29" i="3"/>
  <c r="D23" i="3"/>
  <c r="P23" i="3"/>
  <c r="V29" i="3"/>
  <c r="R24" i="3"/>
  <c r="G7" i="49"/>
  <c r="H7" i="49" s="1"/>
  <c r="S24" i="12"/>
  <c r="T24" i="12" s="1"/>
  <c r="S24" i="13"/>
  <c r="T24" i="13" s="1"/>
  <c r="S23" i="14"/>
  <c r="T23" i="14" s="1"/>
  <c r="S11" i="47"/>
  <c r="T11" i="47" s="1"/>
  <c r="S23" i="15"/>
  <c r="T23" i="15" s="1"/>
  <c r="S23" i="16"/>
  <c r="T23" i="16" s="1"/>
  <c r="S23" i="17"/>
  <c r="T23" i="17" s="1"/>
  <c r="S23" i="19"/>
  <c r="T23" i="19" s="1"/>
  <c r="S23" i="18"/>
  <c r="T23" i="18" s="1"/>
  <c r="S23" i="20"/>
  <c r="T23" i="20" s="1"/>
  <c r="S23" i="27"/>
  <c r="T23" i="27" s="1"/>
  <c r="S23" i="28"/>
  <c r="T23" i="28" s="1"/>
  <c r="G23" i="21"/>
  <c r="H23" i="21" s="1"/>
  <c r="G23" i="22"/>
  <c r="H23" i="22" s="1"/>
  <c r="G23" i="23"/>
  <c r="H23" i="23" s="1"/>
  <c r="G23" i="24"/>
  <c r="H23" i="24" s="1"/>
  <c r="G24" i="12"/>
  <c r="H24" i="12" s="1"/>
  <c r="G24" i="13"/>
  <c r="H24" i="13" s="1"/>
  <c r="G23" i="14"/>
  <c r="H23" i="14" s="1"/>
  <c r="G11" i="47"/>
  <c r="H11" i="47" s="1"/>
  <c r="G23" i="15"/>
  <c r="H23" i="15" s="1"/>
  <c r="G23" i="16"/>
  <c r="H23" i="16" s="1"/>
  <c r="G23" i="17"/>
  <c r="H23" i="17" s="1"/>
  <c r="G23" i="19"/>
  <c r="H23" i="19" s="1"/>
  <c r="G23" i="18"/>
  <c r="H23" i="18" s="1"/>
  <c r="G23" i="20"/>
  <c r="H23" i="20" s="1"/>
  <c r="G23" i="27"/>
  <c r="H23" i="27" s="1"/>
  <c r="G23" i="28"/>
  <c r="H23" i="28" s="1"/>
  <c r="G23" i="29"/>
  <c r="H23" i="29" s="1"/>
  <c r="R7" i="50"/>
  <c r="S7" i="50" s="1"/>
  <c r="S24" i="21"/>
  <c r="T24" i="21" s="1"/>
  <c r="S24" i="24"/>
  <c r="T24" i="24" s="1"/>
  <c r="G24" i="24"/>
  <c r="H24" i="24" s="1"/>
  <c r="G24" i="23"/>
  <c r="H24" i="23" s="1"/>
  <c r="S24" i="23"/>
  <c r="T24" i="23" s="1"/>
  <c r="G24" i="22"/>
  <c r="H24" i="22" s="1"/>
  <c r="S24" i="22"/>
  <c r="T24" i="22" s="1"/>
  <c r="G7" i="50"/>
  <c r="H7" i="50" s="1"/>
  <c r="S24" i="28"/>
  <c r="T24" i="28" s="1"/>
  <c r="S24" i="27"/>
  <c r="T24" i="27" s="1"/>
  <c r="S24" i="20"/>
  <c r="T24" i="20" s="1"/>
  <c r="S24" i="16"/>
  <c r="T24" i="16" s="1"/>
  <c r="S24" i="15"/>
  <c r="T24" i="15" s="1"/>
  <c r="R7" i="49"/>
  <c r="S7" i="49" s="1"/>
  <c r="R6" i="49"/>
  <c r="S6" i="49" s="1"/>
  <c r="G6" i="49"/>
  <c r="H6" i="49" s="1"/>
  <c r="F7" i="49"/>
  <c r="F6" i="49"/>
  <c r="S24" i="14"/>
  <c r="T24" i="14" s="1"/>
  <c r="G25" i="11"/>
  <c r="H25" i="11" s="1"/>
  <c r="S25" i="11"/>
  <c r="T25" i="11" s="1"/>
  <c r="G24" i="11"/>
  <c r="H24" i="11" s="1"/>
  <c r="S24" i="11"/>
  <c r="T24" i="11" s="1"/>
  <c r="S25" i="9"/>
  <c r="T25" i="9" s="1"/>
  <c r="S24" i="9"/>
  <c r="T24" i="9" s="1"/>
  <c r="G25" i="9"/>
  <c r="H25" i="9" s="1"/>
  <c r="G24" i="9"/>
  <c r="H24" i="9" s="1"/>
  <c r="S24" i="3"/>
  <c r="T24" i="3" s="1"/>
  <c r="S23" i="3"/>
  <c r="T23" i="3" s="1"/>
  <c r="G24" i="3"/>
  <c r="H24" i="3" s="1"/>
  <c r="G23" i="3"/>
  <c r="H23" i="3" s="1"/>
  <c r="F25" i="2" l="1"/>
  <c r="F24" i="2"/>
  <c r="C25" i="2"/>
  <c r="D25" i="2"/>
  <c r="D24" i="2"/>
  <c r="C24" i="2"/>
  <c r="K31" i="1"/>
  <c r="I25" i="1"/>
  <c r="G25" i="1"/>
  <c r="E25" i="1"/>
  <c r="L31" i="1" s="1"/>
  <c r="I24" i="1"/>
  <c r="G24" i="1"/>
  <c r="E24" i="1"/>
  <c r="E24" i="2" l="1"/>
  <c r="G24" i="2"/>
  <c r="E25" i="2"/>
  <c r="L31" i="2" s="1"/>
  <c r="K31" i="2"/>
  <c r="G25" i="2"/>
  <c r="H24" i="2"/>
  <c r="I24" i="2" s="1"/>
  <c r="H25" i="2"/>
  <c r="I25" i="2" s="1"/>
  <c r="J20" i="6"/>
  <c r="K22" i="5"/>
  <c r="I22" i="5"/>
  <c r="G22" i="5"/>
  <c r="S22" i="4"/>
  <c r="Q22" i="4"/>
  <c r="O22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6" i="4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5" i="7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5" i="3"/>
  <c r="U29" i="41" l="1"/>
  <c r="I29" i="41"/>
  <c r="I29" i="39"/>
  <c r="U29" i="40"/>
  <c r="I29" i="40"/>
  <c r="U29" i="38"/>
  <c r="I29" i="38"/>
  <c r="U29" i="37"/>
  <c r="I29" i="37"/>
  <c r="I29" i="36"/>
  <c r="U29" i="36"/>
  <c r="U29" i="29"/>
  <c r="I29" i="29"/>
  <c r="U29" i="28"/>
  <c r="I29" i="28"/>
  <c r="U29" i="27"/>
  <c r="I29" i="27"/>
  <c r="U29" i="48"/>
  <c r="I29" i="48"/>
  <c r="U29" i="26"/>
  <c r="I29" i="26"/>
  <c r="U29" i="25"/>
  <c r="I29" i="25"/>
  <c r="U29" i="24"/>
  <c r="I29" i="24"/>
  <c r="U29" i="23"/>
  <c r="I29" i="23"/>
  <c r="U29" i="22"/>
  <c r="I29" i="22"/>
  <c r="H29" i="22"/>
  <c r="U29" i="21"/>
  <c r="I29" i="21"/>
  <c r="U29" i="20"/>
  <c r="I29" i="20"/>
  <c r="U29" i="18" l="1"/>
  <c r="I29" i="18"/>
  <c r="U29" i="19"/>
  <c r="I29" i="19"/>
  <c r="U29" i="17"/>
  <c r="I29" i="17"/>
  <c r="U29" i="16"/>
  <c r="I29" i="16"/>
  <c r="U29" i="15"/>
  <c r="I29" i="15"/>
  <c r="U17" i="47"/>
  <c r="I17" i="47"/>
  <c r="U29" i="14"/>
  <c r="I29" i="14"/>
  <c r="U30" i="13"/>
  <c r="I30" i="13"/>
  <c r="U30" i="12"/>
  <c r="I30" i="12"/>
  <c r="I30" i="11"/>
  <c r="U30" i="11"/>
  <c r="U30" i="9"/>
  <c r="I30" i="9"/>
  <c r="V24" i="6"/>
  <c r="U29" i="8"/>
  <c r="W26" i="5"/>
  <c r="T26" i="4"/>
  <c r="T25" i="7"/>
  <c r="U29" i="3"/>
  <c r="I29" i="8"/>
  <c r="K24" i="6"/>
  <c r="L26" i="5"/>
  <c r="I26" i="4"/>
  <c r="I25" i="7"/>
  <c r="J31" i="2"/>
  <c r="J31" i="1"/>
  <c r="U29" i="39" l="1"/>
  <c r="T29" i="48"/>
  <c r="S29" i="48"/>
  <c r="R29" i="48"/>
  <c r="H29" i="48"/>
  <c r="G29" i="48"/>
  <c r="F29" i="48"/>
  <c r="Q29" i="48"/>
  <c r="M29" i="48"/>
  <c r="E29" i="48"/>
  <c r="A29" i="48"/>
  <c r="T29" i="41" l="1"/>
  <c r="H29" i="41"/>
  <c r="T29" i="39"/>
  <c r="H29" i="39"/>
  <c r="T29" i="40"/>
  <c r="H29" i="40"/>
  <c r="T29" i="38"/>
  <c r="H29" i="38"/>
  <c r="H29" i="37"/>
  <c r="T29" i="36"/>
  <c r="H29" i="36"/>
  <c r="U24" i="6"/>
  <c r="J24" i="6"/>
  <c r="T29" i="8"/>
  <c r="H29" i="8"/>
  <c r="T29" i="29"/>
  <c r="H29" i="29"/>
  <c r="T29" i="28"/>
  <c r="H29" i="28"/>
  <c r="H29" i="27"/>
  <c r="T29" i="27"/>
  <c r="V26" i="5"/>
  <c r="K26" i="5"/>
  <c r="T29" i="26"/>
  <c r="H29" i="26"/>
  <c r="H29" i="25"/>
  <c r="T29" i="24"/>
  <c r="H29" i="24"/>
  <c r="T29" i="23"/>
  <c r="H29" i="23"/>
  <c r="T29" i="22"/>
  <c r="T29" i="21"/>
  <c r="H29" i="21"/>
  <c r="S26" i="4"/>
  <c r="H26" i="4"/>
  <c r="T29" i="20"/>
  <c r="H29" i="20"/>
  <c r="T29" i="18"/>
  <c r="H29" i="18"/>
  <c r="T29" i="19"/>
  <c r="H29" i="19"/>
  <c r="T29" i="17"/>
  <c r="H29" i="17"/>
  <c r="T29" i="16"/>
  <c r="H29" i="16"/>
  <c r="T29" i="15"/>
  <c r="H29" i="15"/>
  <c r="S25" i="7"/>
  <c r="H25" i="7"/>
  <c r="T17" i="47"/>
  <c r="H17" i="47"/>
  <c r="T29" i="14"/>
  <c r="H29" i="14"/>
  <c r="T30" i="13"/>
  <c r="H30" i="13"/>
  <c r="T30" i="12"/>
  <c r="H30" i="12"/>
  <c r="T30" i="11"/>
  <c r="H30" i="11"/>
  <c r="T30" i="9"/>
  <c r="H30" i="9"/>
  <c r="R11" i="44"/>
  <c r="I11" i="44"/>
  <c r="R11" i="43"/>
  <c r="I11" i="43"/>
  <c r="T29" i="3"/>
  <c r="H29" i="3"/>
  <c r="I31" i="2"/>
  <c r="I31" i="1"/>
  <c r="T29" i="37" l="1"/>
  <c r="T29" i="25"/>
  <c r="Q11" i="44" l="1"/>
  <c r="S17" i="47"/>
  <c r="G17" i="47"/>
  <c r="S29" i="16"/>
  <c r="G29" i="16"/>
  <c r="S29" i="15"/>
  <c r="G25" i="7"/>
  <c r="R29" i="14"/>
  <c r="F29" i="14"/>
  <c r="F30" i="13"/>
  <c r="R30" i="11"/>
  <c r="G30" i="11"/>
  <c r="S29" i="24"/>
  <c r="H11" i="44"/>
  <c r="Q11" i="43"/>
  <c r="H11" i="43"/>
  <c r="S29" i="41"/>
  <c r="G29" i="41"/>
  <c r="G29" i="40"/>
  <c r="S29" i="38"/>
  <c r="G29" i="38"/>
  <c r="S29" i="37"/>
  <c r="G29" i="37"/>
  <c r="G29" i="36"/>
  <c r="S29" i="29"/>
  <c r="G29" i="29"/>
  <c r="S29" i="28"/>
  <c r="G29" i="28"/>
  <c r="S29" i="27"/>
  <c r="G29" i="27"/>
  <c r="S29" i="26"/>
  <c r="G29" i="26"/>
  <c r="S29" i="25"/>
  <c r="G29" i="25"/>
  <c r="G29" i="24"/>
  <c r="S29" i="23"/>
  <c r="G29" i="23"/>
  <c r="S29" i="22"/>
  <c r="G29" i="22"/>
  <c r="S29" i="21"/>
  <c r="G29" i="21"/>
  <c r="S29" i="20"/>
  <c r="G29" i="20"/>
  <c r="S29" i="18"/>
  <c r="G29" i="18"/>
  <c r="S29" i="19"/>
  <c r="G29" i="19"/>
  <c r="S29" i="17"/>
  <c r="G29" i="17"/>
  <c r="G29" i="15"/>
  <c r="S29" i="14"/>
  <c r="G29" i="14"/>
  <c r="S30" i="13"/>
  <c r="G30" i="13"/>
  <c r="S30" i="12"/>
  <c r="G30" i="12"/>
  <c r="S30" i="11"/>
  <c r="S30" i="9"/>
  <c r="G30" i="9"/>
  <c r="T24" i="6"/>
  <c r="I24" i="6"/>
  <c r="S29" i="8"/>
  <c r="G29" i="8"/>
  <c r="U26" i="5"/>
  <c r="J26" i="5"/>
  <c r="R26" i="4"/>
  <c r="G26" i="4"/>
  <c r="R25" i="7"/>
  <c r="S29" i="3"/>
  <c r="G29" i="3"/>
  <c r="C7" i="46"/>
  <c r="B7" i="46"/>
  <c r="C87" i="45"/>
  <c r="B87" i="45"/>
  <c r="H31" i="2"/>
  <c r="H31" i="1"/>
  <c r="M29" i="36"/>
  <c r="P29" i="36"/>
  <c r="Q29" i="36"/>
  <c r="R29" i="36"/>
  <c r="S29" i="40"/>
  <c r="R29" i="26"/>
  <c r="F29" i="36"/>
  <c r="R29" i="41"/>
  <c r="Q29" i="41"/>
  <c r="F29" i="41"/>
  <c r="E29" i="41"/>
  <c r="D29" i="41"/>
  <c r="C29" i="41"/>
  <c r="B29" i="41"/>
  <c r="A29" i="41"/>
  <c r="R29" i="39"/>
  <c r="Q29" i="39"/>
  <c r="P29" i="39"/>
  <c r="O29" i="39"/>
  <c r="N29" i="39"/>
  <c r="M29" i="39"/>
  <c r="D29" i="39"/>
  <c r="C29" i="39"/>
  <c r="B29" i="39"/>
  <c r="F29" i="39"/>
  <c r="E29" i="39"/>
  <c r="A29" i="39"/>
  <c r="R29" i="40"/>
  <c r="Q29" i="40"/>
  <c r="P29" i="40"/>
  <c r="O29" i="40"/>
  <c r="N29" i="40"/>
  <c r="M29" i="40"/>
  <c r="D29" i="40"/>
  <c r="F29" i="40"/>
  <c r="E29" i="40"/>
  <c r="C29" i="40"/>
  <c r="B29" i="40"/>
  <c r="A29" i="40"/>
  <c r="R29" i="38"/>
  <c r="Q29" i="38"/>
  <c r="P29" i="38"/>
  <c r="O29" i="38"/>
  <c r="N29" i="38"/>
  <c r="M29" i="38"/>
  <c r="F29" i="38"/>
  <c r="E29" i="38"/>
  <c r="D29" i="38"/>
  <c r="C29" i="38"/>
  <c r="B29" i="38"/>
  <c r="A29" i="38"/>
  <c r="F29" i="37"/>
  <c r="E29" i="37"/>
  <c r="D29" i="37"/>
  <c r="C29" i="37"/>
  <c r="B29" i="37"/>
  <c r="A29" i="37"/>
  <c r="Q29" i="37"/>
  <c r="O29" i="37"/>
  <c r="N29" i="37"/>
  <c r="R29" i="37"/>
  <c r="P29" i="37"/>
  <c r="E29" i="36"/>
  <c r="D29" i="36"/>
  <c r="R29" i="29"/>
  <c r="Q29" i="29"/>
  <c r="P29" i="29"/>
  <c r="O29" i="29"/>
  <c r="N29" i="29"/>
  <c r="M29" i="29"/>
  <c r="F29" i="29"/>
  <c r="E29" i="29"/>
  <c r="D29" i="29"/>
  <c r="C29" i="29"/>
  <c r="B29" i="29"/>
  <c r="A29" i="29"/>
  <c r="R29" i="28"/>
  <c r="Q29" i="28"/>
  <c r="P29" i="28"/>
  <c r="O29" i="28"/>
  <c r="N29" i="28"/>
  <c r="M29" i="28"/>
  <c r="F29" i="28"/>
  <c r="E29" i="28"/>
  <c r="D29" i="28"/>
  <c r="C29" i="28"/>
  <c r="B29" i="28"/>
  <c r="A29" i="28"/>
  <c r="R29" i="27"/>
  <c r="Q29" i="27"/>
  <c r="P29" i="27"/>
  <c r="O29" i="27"/>
  <c r="N29" i="27"/>
  <c r="M29" i="27"/>
  <c r="F29" i="27"/>
  <c r="F29" i="26"/>
  <c r="O29" i="25"/>
  <c r="R29" i="25"/>
  <c r="Q29" i="25"/>
  <c r="P29" i="25"/>
  <c r="N29" i="25"/>
  <c r="M29" i="25"/>
  <c r="R29" i="24"/>
  <c r="Q29" i="24"/>
  <c r="P29" i="24"/>
  <c r="O29" i="24"/>
  <c r="N29" i="24"/>
  <c r="M29" i="24"/>
  <c r="F29" i="25"/>
  <c r="E29" i="25"/>
  <c r="D29" i="25"/>
  <c r="C29" i="25"/>
  <c r="B29" i="25"/>
  <c r="A29" i="25"/>
  <c r="F29" i="24"/>
  <c r="E29" i="24"/>
  <c r="D29" i="24"/>
  <c r="C29" i="24"/>
  <c r="B29" i="24"/>
  <c r="A29" i="24"/>
  <c r="F29" i="23"/>
  <c r="R29" i="23"/>
  <c r="Q29" i="23"/>
  <c r="P29" i="23"/>
  <c r="O29" i="23"/>
  <c r="N29" i="23"/>
  <c r="M29" i="23"/>
  <c r="E29" i="23"/>
  <c r="D29" i="23"/>
  <c r="C29" i="23"/>
  <c r="B29" i="23"/>
  <c r="A29" i="23"/>
  <c r="R29" i="22"/>
  <c r="Q29" i="22"/>
  <c r="P29" i="22"/>
  <c r="O29" i="22"/>
  <c r="N29" i="22"/>
  <c r="M29" i="22"/>
  <c r="F29" i="22"/>
  <c r="E29" i="22"/>
  <c r="D29" i="22"/>
  <c r="C29" i="22"/>
  <c r="B29" i="22"/>
  <c r="A29" i="22"/>
  <c r="R29" i="21"/>
  <c r="Q29" i="21"/>
  <c r="P29" i="21"/>
  <c r="O29" i="21"/>
  <c r="N29" i="21"/>
  <c r="M29" i="21"/>
  <c r="F29" i="21"/>
  <c r="E29" i="21"/>
  <c r="D29" i="21"/>
  <c r="C29" i="21"/>
  <c r="B29" i="21"/>
  <c r="A29" i="21"/>
  <c r="R29" i="20"/>
  <c r="Q29" i="20"/>
  <c r="P29" i="20"/>
  <c r="F29" i="20"/>
  <c r="E29" i="20"/>
  <c r="D29" i="20"/>
  <c r="R29" i="18"/>
  <c r="Q29" i="18"/>
  <c r="P29" i="18"/>
  <c r="O29" i="18"/>
  <c r="N29" i="18"/>
  <c r="M29" i="18"/>
  <c r="F29" i="18"/>
  <c r="E29" i="18"/>
  <c r="D29" i="18"/>
  <c r="C29" i="18"/>
  <c r="B29" i="18"/>
  <c r="A29" i="18"/>
  <c r="R29" i="19"/>
  <c r="Q29" i="19"/>
  <c r="P29" i="19"/>
  <c r="O29" i="19"/>
  <c r="N29" i="19"/>
  <c r="M29" i="19"/>
  <c r="F29" i="19"/>
  <c r="E29" i="19"/>
  <c r="D29" i="19"/>
  <c r="C29" i="19"/>
  <c r="B29" i="19"/>
  <c r="A29" i="19"/>
  <c r="R29" i="17"/>
  <c r="F29" i="17"/>
  <c r="E29" i="17"/>
  <c r="D29" i="17"/>
  <c r="C29" i="17"/>
  <c r="B29" i="17"/>
  <c r="A29" i="17"/>
  <c r="R29" i="16"/>
  <c r="Q29" i="16"/>
  <c r="P29" i="16"/>
  <c r="O29" i="16"/>
  <c r="N29" i="16"/>
  <c r="M29" i="16"/>
  <c r="F29" i="16"/>
  <c r="E29" i="16"/>
  <c r="D29" i="16"/>
  <c r="C29" i="16"/>
  <c r="B29" i="16"/>
  <c r="A29" i="16"/>
  <c r="R29" i="15"/>
  <c r="Q29" i="15"/>
  <c r="P29" i="15"/>
  <c r="O29" i="15"/>
  <c r="N29" i="15"/>
  <c r="M29" i="15"/>
  <c r="F29" i="15"/>
  <c r="R30" i="13"/>
  <c r="Q30" i="13"/>
  <c r="P30" i="13"/>
  <c r="O30" i="13"/>
  <c r="N30" i="13"/>
  <c r="M30" i="13"/>
  <c r="E30" i="13"/>
  <c r="D30" i="13"/>
  <c r="C30" i="13"/>
  <c r="B30" i="13"/>
  <c r="A30" i="13"/>
  <c r="R30" i="12"/>
  <c r="Q30" i="12"/>
  <c r="P30" i="12"/>
  <c r="O30" i="12"/>
  <c r="N30" i="12"/>
  <c r="M30" i="12"/>
  <c r="F30" i="12"/>
  <c r="E30" i="12"/>
  <c r="D30" i="12"/>
  <c r="C30" i="12"/>
  <c r="B30" i="12"/>
  <c r="F30" i="11"/>
  <c r="E30" i="11"/>
  <c r="D30" i="11"/>
  <c r="C30" i="11"/>
  <c r="B30" i="11"/>
  <c r="A30" i="11"/>
  <c r="R30" i="9"/>
  <c r="Q30" i="9"/>
  <c r="P30" i="9"/>
  <c r="O30" i="9"/>
  <c r="N30" i="9"/>
  <c r="M30" i="9"/>
  <c r="F30" i="9"/>
  <c r="S24" i="6"/>
  <c r="H24" i="6"/>
  <c r="R29" i="8"/>
  <c r="F29" i="8"/>
  <c r="T26" i="5"/>
  <c r="I26" i="5"/>
  <c r="Q26" i="4"/>
  <c r="F26" i="4"/>
  <c r="Q25" i="7"/>
  <c r="F25" i="7"/>
  <c r="R29" i="3"/>
  <c r="F29" i="3"/>
  <c r="G31" i="2"/>
  <c r="G31" i="1"/>
  <c r="S26" i="5"/>
  <c r="E29" i="27"/>
  <c r="Q29" i="17"/>
  <c r="E29" i="15"/>
  <c r="Q29" i="14"/>
  <c r="E29" i="14"/>
  <c r="Q30" i="11"/>
  <c r="E30" i="9"/>
  <c r="R24" i="6"/>
  <c r="G24" i="6"/>
  <c r="Q29" i="8"/>
  <c r="E29" i="8"/>
  <c r="Q29" i="3"/>
  <c r="E29" i="3"/>
  <c r="H26" i="5"/>
  <c r="P26" i="4"/>
  <c r="E26" i="4"/>
  <c r="P25" i="7"/>
  <c r="E25" i="7"/>
  <c r="M29" i="41"/>
  <c r="Q24" i="6"/>
  <c r="N24" i="6"/>
  <c r="M29" i="8"/>
  <c r="O26" i="5"/>
  <c r="M29" i="26"/>
  <c r="L26" i="4"/>
  <c r="M29" i="20"/>
  <c r="M29" i="17"/>
  <c r="O25" i="7"/>
  <c r="N25" i="7"/>
  <c r="M25" i="7"/>
  <c r="L25" i="7"/>
  <c r="M29" i="14"/>
  <c r="M30" i="11"/>
  <c r="M29" i="3"/>
  <c r="A29" i="36"/>
  <c r="E24" i="6"/>
  <c r="D24" i="6"/>
  <c r="C24" i="6"/>
  <c r="A29" i="8"/>
  <c r="A29" i="27"/>
  <c r="D26" i="5"/>
  <c r="A29" i="26"/>
  <c r="A26" i="4"/>
  <c r="A29" i="20"/>
  <c r="A29" i="15"/>
  <c r="A25" i="7"/>
  <c r="A29" i="14"/>
  <c r="A30" i="12"/>
  <c r="A30" i="9"/>
  <c r="A29" i="3"/>
  <c r="Q29" i="26"/>
  <c r="P29" i="17"/>
  <c r="O29" i="17"/>
  <c r="N29" i="17"/>
  <c r="P29" i="14"/>
  <c r="O29" i="14"/>
  <c r="N29" i="14"/>
  <c r="P30" i="11"/>
  <c r="O30" i="11"/>
  <c r="N30" i="11"/>
  <c r="P29" i="3"/>
  <c r="O29" i="3"/>
  <c r="N29" i="3"/>
  <c r="P29" i="8"/>
  <c r="O29" i="8"/>
  <c r="N29" i="8"/>
  <c r="R26" i="5"/>
  <c r="Q26" i="5"/>
  <c r="P26" i="5"/>
  <c r="O26" i="4"/>
  <c r="N26" i="4"/>
  <c r="M26" i="4"/>
  <c r="D29" i="27"/>
  <c r="C29" i="27"/>
  <c r="B29" i="27"/>
  <c r="E29" i="26"/>
  <c r="D29" i="15"/>
  <c r="C29" i="15"/>
  <c r="B29" i="15"/>
  <c r="D29" i="14"/>
  <c r="C29" i="14"/>
  <c r="B29" i="14"/>
  <c r="D30" i="9"/>
  <c r="C30" i="9"/>
  <c r="B30" i="9"/>
  <c r="F24" i="6"/>
  <c r="D29" i="8"/>
  <c r="C29" i="8"/>
  <c r="B29" i="8"/>
  <c r="G26" i="5"/>
  <c r="F26" i="5"/>
  <c r="E26" i="5"/>
  <c r="D26" i="4"/>
  <c r="C26" i="4"/>
  <c r="B26" i="4"/>
  <c r="D25" i="7"/>
  <c r="C25" i="7"/>
  <c r="B25" i="7"/>
  <c r="B29" i="3"/>
  <c r="D29" i="3"/>
  <c r="C29" i="3"/>
  <c r="F31" i="1"/>
  <c r="B31" i="1"/>
  <c r="C31" i="1"/>
  <c r="D31" i="1"/>
  <c r="E31" i="1"/>
  <c r="F31" i="2"/>
  <c r="E31" i="2"/>
  <c r="D31" i="2"/>
  <c r="C31" i="2"/>
  <c r="B3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<sst xmlns="http://schemas.openxmlformats.org/spreadsheetml/2006/main" count="3156" uniqueCount="247">
  <si>
    <t>Periodo de ingreso  - Estudiante</t>
  </si>
  <si>
    <t>No. Estudiantes</t>
  </si>
  <si>
    <t>No. Retirados Universidad</t>
  </si>
  <si>
    <t>No. Graduados Universidad</t>
  </si>
  <si>
    <t>Est. Activos Universidad</t>
  </si>
  <si>
    <t>% Retiro Universidad</t>
  </si>
  <si>
    <t>% Graduados Universidad</t>
  </si>
  <si>
    <t>% Activos Universidad</t>
  </si>
  <si>
    <t>201910</t>
  </si>
  <si>
    <t>201920</t>
  </si>
  <si>
    <t>202010</t>
  </si>
  <si>
    <t>197920</t>
  </si>
  <si>
    <t>198010</t>
  </si>
  <si>
    <t>198020</t>
  </si>
  <si>
    <t>198110</t>
  </si>
  <si>
    <t>198120</t>
  </si>
  <si>
    <t>198210</t>
  </si>
  <si>
    <t>198220</t>
  </si>
  <si>
    <t>198310</t>
  </si>
  <si>
    <t>198320</t>
  </si>
  <si>
    <t>198410</t>
  </si>
  <si>
    <t>198420</t>
  </si>
  <si>
    <t>198510</t>
  </si>
  <si>
    <t>198520</t>
  </si>
  <si>
    <t>198610</t>
  </si>
  <si>
    <t>198620</t>
  </si>
  <si>
    <t>198710</t>
  </si>
  <si>
    <t>198720</t>
  </si>
  <si>
    <t>198810</t>
  </si>
  <si>
    <t>198820</t>
  </si>
  <si>
    <t>198910</t>
  </si>
  <si>
    <t>198920</t>
  </si>
  <si>
    <t>199010</t>
  </si>
  <si>
    <t>199020</t>
  </si>
  <si>
    <t>199110</t>
  </si>
  <si>
    <t>199120</t>
  </si>
  <si>
    <t>199210</t>
  </si>
  <si>
    <t>199220</t>
  </si>
  <si>
    <t>199310</t>
  </si>
  <si>
    <t>199320</t>
  </si>
  <si>
    <t>199410</t>
  </si>
  <si>
    <t>199420</t>
  </si>
  <si>
    <t>199510</t>
  </si>
  <si>
    <t>199520</t>
  </si>
  <si>
    <t>199610</t>
  </si>
  <si>
    <t>199620</t>
  </si>
  <si>
    <t>199710</t>
  </si>
  <si>
    <t>199720</t>
  </si>
  <si>
    <t>199810</t>
  </si>
  <si>
    <t>199820</t>
  </si>
  <si>
    <t>199910</t>
  </si>
  <si>
    <t>199920</t>
  </si>
  <si>
    <t>200010</t>
  </si>
  <si>
    <t>200020</t>
  </si>
  <si>
    <t>200110</t>
  </si>
  <si>
    <t>200120</t>
  </si>
  <si>
    <t>200210</t>
  </si>
  <si>
    <t>200220</t>
  </si>
  <si>
    <t>200310</t>
  </si>
  <si>
    <t>200320</t>
  </si>
  <si>
    <t>200410</t>
  </si>
  <si>
    <t>200420</t>
  </si>
  <si>
    <t>200510</t>
  </si>
  <si>
    <t>200520</t>
  </si>
  <si>
    <t>200610</t>
  </si>
  <si>
    <t>200620</t>
  </si>
  <si>
    <t>200710</t>
  </si>
  <si>
    <t>200720</t>
  </si>
  <si>
    <t>200810</t>
  </si>
  <si>
    <t>200820</t>
  </si>
  <si>
    <t>200910</t>
  </si>
  <si>
    <t>200920</t>
  </si>
  <si>
    <t>201010</t>
  </si>
  <si>
    <t>201020</t>
  </si>
  <si>
    <t>201110</t>
  </si>
  <si>
    <t>201120</t>
  </si>
  <si>
    <t>201210</t>
  </si>
  <si>
    <t>201220</t>
  </si>
  <si>
    <t>201310</t>
  </si>
  <si>
    <t>201320</t>
  </si>
  <si>
    <t>201410</t>
  </si>
  <si>
    <t>201420</t>
  </si>
  <si>
    <t>201510</t>
  </si>
  <si>
    <t>201520</t>
  </si>
  <si>
    <t>201610</t>
  </si>
  <si>
    <t>201620</t>
  </si>
  <si>
    <t>201710</t>
  </si>
  <si>
    <t>201720</t>
  </si>
  <si>
    <t>201810</t>
  </si>
  <si>
    <t>201820</t>
  </si>
  <si>
    <t>202020</t>
  </si>
  <si>
    <t>RETIRO TEMPRANO INSTITUCIONAL*</t>
  </si>
  <si>
    <t>* No incluye estudiantes de Administración Noctura ni estudiantes internacionales</t>
  </si>
  <si>
    <t>No. Estudiantes al periodo de ingreso</t>
  </si>
  <si>
    <t>No. Retirados al iniciar el 4to semestre</t>
  </si>
  <si>
    <t xml:space="preserve">% Retiro al iniciar el 4to semestre </t>
  </si>
  <si>
    <t>No. Graduados al iniciar el 4to semestre</t>
  </si>
  <si>
    <t>% Graduados al iniciar el 4to semestre</t>
  </si>
  <si>
    <t>Est. Activos al iniciar 4to semestre</t>
  </si>
  <si>
    <t>% Activos de estudiantes activos al iniciar 4to semestre</t>
  </si>
  <si>
    <t>Indicador institucional - 1d. Retiro temprano
% de retiro de las cohortes con 3 semestres de estudio calculado en una ventana de 1 año</t>
  </si>
  <si>
    <t>Promedio ponderado con MED y sin ADN</t>
  </si>
  <si>
    <t>**2014
122-131</t>
  </si>
  <si>
    <t>2015
132-141</t>
  </si>
  <si>
    <t>2016
142-151</t>
  </si>
  <si>
    <t>2017
152-161</t>
  </si>
  <si>
    <t>2018
162-171</t>
  </si>
  <si>
    <t>2019
172-181</t>
  </si>
  <si>
    <t>2020
182-191</t>
  </si>
  <si>
    <t>2021
192-201</t>
  </si>
  <si>
    <t>2022
202-211</t>
  </si>
  <si>
    <t>2023
212-221</t>
  </si>
  <si>
    <t>** para el ano 2014 solo se tomó el porcentaje de retiro del periodo 131 porque no se contaba con el porcentaje del periodo 122</t>
  </si>
  <si>
    <t>RETIRO TEMPRANO INSTITUCIONAL (Estratos 1, 2 y 3)*</t>
  </si>
  <si>
    <t xml:space="preserve">Indicador institucional - 3b. Retiro temprano 1, 2 y 3
% de retiro de las cohortes con 3 semestres de estudio calculado en una ventana de 1 año </t>
  </si>
  <si>
    <t>RETIRO TEMPRANO FCAE</t>
  </si>
  <si>
    <t>RETIRO TEMPRANO FCAE-ESTRATOS 1,2 Y 3</t>
  </si>
  <si>
    <t>*2014
122-131</t>
  </si>
  <si>
    <t>* para el año 2014 solo se tomó el porcentaje de retiro del periodo 131 porque no se contaba con el porcentaje del periodo 122</t>
  </si>
  <si>
    <t>Fecha de actualización: marzo de 2022</t>
  </si>
  <si>
    <t xml:space="preserve">RETIRO TEMPRANO ESCUELA DE ADMINISTRACIÓN (FCAE) </t>
  </si>
  <si>
    <t>2014
122-131</t>
  </si>
  <si>
    <t>**2020
182-191</t>
  </si>
  <si>
    <r>
      <t xml:space="preserve">**2020
</t>
    </r>
    <r>
      <rPr>
        <b/>
        <sz val="8"/>
        <color theme="1"/>
        <rFont val="Arial"/>
        <family val="2"/>
      </rPr>
      <t>182-191</t>
    </r>
  </si>
  <si>
    <t>-</t>
  </si>
  <si>
    <t xml:space="preserve">** la desagregación a nivel de escuelas se empieza a realizar desde el 2020-1, pues las escuelas nacieron en el 2019. </t>
  </si>
  <si>
    <t>La Escuela de Administración contiene los programas de Administración de Empresas (diurna y nocturna) y Mercadeo y Publicidad Internacional.</t>
  </si>
  <si>
    <t>RETIRO TEMPRANO ESCUELA DE ECONOMÍA (FCAE)</t>
  </si>
  <si>
    <t xml:space="preserve">La escuela de Economía contiene los programas de: Economía y Negocios Internacionales, Economía y Contaduría y Finanzas. </t>
  </si>
  <si>
    <t>RETIRO TEMPRANO ADD</t>
  </si>
  <si>
    <t>RETIRO TEMPRANO ADD-ESTRATOS 1, 2 Y 3</t>
  </si>
  <si>
    <t>No. Retirados</t>
  </si>
  <si>
    <t>% Retiro</t>
  </si>
  <si>
    <t>No. Graduados</t>
  </si>
  <si>
    <t>% Graduados</t>
  </si>
  <si>
    <t>Est. Activos</t>
  </si>
  <si>
    <t>% Activos</t>
  </si>
  <si>
    <t>RETIRO TEMPRANO ECO</t>
  </si>
  <si>
    <t>RETIRO TEMPRANO ECO-ESTRATOS 1, 2 Y 3</t>
  </si>
  <si>
    <t>RETIRO TEMPRANO ENI</t>
  </si>
  <si>
    <t>RETIRO TEMPRANO ENI-ESTRATOS 1, 2 Y 3</t>
  </si>
  <si>
    <t>RETIRO TEMPRANO MIP</t>
  </si>
  <si>
    <t>RETIRO TEMPRANO MIP-ESTRATOS 1, 2 Y 3</t>
  </si>
  <si>
    <t>RETIRO TEMPRANO COFI</t>
  </si>
  <si>
    <t>RETIRO TEMPRANO COFI-ESTRATOS 1, 2 Y 3</t>
  </si>
  <si>
    <t>RETIRO TEMPRANO FIN</t>
  </si>
  <si>
    <t>RETIRO TEMPRANO FIN-ESTRATOS 1, 2 Y 3</t>
  </si>
  <si>
    <t>*2020
182-191</t>
  </si>
  <si>
    <t>* el dato del 2020 solo está promediando la cohorte 191</t>
  </si>
  <si>
    <t>RETIRO TEMPRANO FING</t>
  </si>
  <si>
    <t>RETIRO TEMPRANO FING-ESTRATOS 1,2 Y 3</t>
  </si>
  <si>
    <t>RETIRO TEMPRANO FIDCA</t>
  </si>
  <si>
    <t>RETIRO TEMPRANO FIDCA-ESTRATOS 1,2 Y 3</t>
  </si>
  <si>
    <t>RETIRO TEMPRANO IND</t>
  </si>
  <si>
    <t>RETIRO TEMPRANO IND-ESTRATOS 1, 2 Y 3</t>
  </si>
  <si>
    <t>RETIRO TEMPRANO SIS</t>
  </si>
  <si>
    <t>RETIRO TEMPRANO TEL</t>
  </si>
  <si>
    <t>RETIRO TEMPRANO DMI</t>
  </si>
  <si>
    <t>RETIRO TEMPRANO DMI-ESTRATOS 1, 2 Y 3</t>
  </si>
  <si>
    <t>RETIRO TEMPRANO DIS</t>
  </si>
  <si>
    <t>RETIRO TEMPRANO DIS-ESTRATOS 1, 2 Y 3</t>
  </si>
  <si>
    <t>RETIRO TEMPRANO IBQ</t>
  </si>
  <si>
    <t>RETIRO TEMPRANO IBQ-ESTRATOS 1, 2 Y 3</t>
  </si>
  <si>
    <t>RETIRO TEMPRANO FCN</t>
  </si>
  <si>
    <t>RETIRO TEMPRANO FCN-ESTRATOS 1,2 Y 3</t>
  </si>
  <si>
    <t>Archivo de Qlikview contra el que hay que revisar</t>
  </si>
  <si>
    <t>Nombre del archivo</t>
  </si>
  <si>
    <t>2014-2</t>
  </si>
  <si>
    <t>DP8-Fuente 13 desercion consulta sept 2014</t>
  </si>
  <si>
    <t>2015-1 (mar-15)</t>
  </si>
  <si>
    <t>Dp4-Deserción por cohorte V4</t>
  </si>
  <si>
    <t>2015-2 (sept-15)</t>
  </si>
  <si>
    <t>Dp4-Deserción por cohorte V5</t>
  </si>
  <si>
    <t>2016-1 (mar-16)</t>
  </si>
  <si>
    <t>Dp4-Deserción por cohorte V7</t>
  </si>
  <si>
    <t>2016-2 (sept-16)</t>
  </si>
  <si>
    <t>Dp4-Deserción por cohorte V8 (2)</t>
  </si>
  <si>
    <t>2017-1 (mar-17)</t>
  </si>
  <si>
    <t>Dp4-Deserción por cohorte V9</t>
  </si>
  <si>
    <t>2017-2 (sept-17)</t>
  </si>
  <si>
    <t>Dp4-Deserción por cohorte V10</t>
  </si>
  <si>
    <t>2018-1</t>
  </si>
  <si>
    <t>Deserción consulta 2018-1</t>
  </si>
  <si>
    <t>2018-2 (mar-19)</t>
  </si>
  <si>
    <t>Retiro universidad fcn (fuente boletín)</t>
  </si>
  <si>
    <t>2019-1 (Ago-2019)</t>
  </si>
  <si>
    <t>2019-2 (Ene-2020)</t>
  </si>
  <si>
    <t>Deserción consulta 2019-2</t>
  </si>
  <si>
    <t>2020-1 (junio 2020)</t>
  </si>
  <si>
    <t>Retiro universidad (fuente boletín)</t>
  </si>
  <si>
    <t>2020-2 (Nov 2020)</t>
  </si>
  <si>
    <t>RETIRO TEMPRANO BIO</t>
  </si>
  <si>
    <t>RETIRO TEMPRANO BIO-ESTRATOS 1, 2 Y 3</t>
  </si>
  <si>
    <t>RETIRO TEMPRANO QUI</t>
  </si>
  <si>
    <t>RETIRO TEMPRANO QUI-ESTRATOS 1, 2 Y 3</t>
  </si>
  <si>
    <t>RETIRO TEMPRANO QUF</t>
  </si>
  <si>
    <t>RETIRO TEMPRANO QUF ESTRATOS 1, 2 Y 3</t>
  </si>
  <si>
    <t>RETIRO TEMPRANO FDCS</t>
  </si>
  <si>
    <t>RETIRO TEMPRANO FDCS-ESTRATOS 1,2 Y 3</t>
  </si>
  <si>
    <t>RETIRO TEMPRANO FCH</t>
  </si>
  <si>
    <t>RETIRO TEMPRANO FCH-ESTRATOS 1,2 Y 3</t>
  </si>
  <si>
    <t>RETIRO TEMPRANO DER</t>
  </si>
  <si>
    <t>RETIRO TEMPRANO DER-ESTRATOS 1, 2 Y 3</t>
  </si>
  <si>
    <t>RETIRO TEMPRANO ANT</t>
  </si>
  <si>
    <t>RETIRO TEMPRANO ANT-ESTRATOS 1, 2 Y 3</t>
  </si>
  <si>
    <t>RETIRO TEMPRANO CIP</t>
  </si>
  <si>
    <t>RETIRO TEMPRANO CIP-ESTRATOS 1, 2 Y 3</t>
  </si>
  <si>
    <t>RETIRO TEMPRANO PSI</t>
  </si>
  <si>
    <t>RETIRO TEMPRANO PSI-ESTRATOS 1, 2 Y 3</t>
  </si>
  <si>
    <t>RETIRO TEMPRANO SOC</t>
  </si>
  <si>
    <t>RETIRO TEMPRANO SOC-ESTRATOS 1, 2 Y 3</t>
  </si>
  <si>
    <t>RETIRO TEMPRANO MUS</t>
  </si>
  <si>
    <t>RETIRO TEMPRANO MUS-ESTRATOS 1, 2 Y 3</t>
  </si>
  <si>
    <t>RETIRO TEMPRANO COM</t>
  </si>
  <si>
    <t>RETIRO TEMPRANO COM-ESTRATOS 1, 2 Y 3</t>
  </si>
  <si>
    <t>RETIRO TEMPRANO ECE</t>
  </si>
  <si>
    <t>RETIRO TEMPRANO ECE-ESTRATOS 1,2 Y 3</t>
  </si>
  <si>
    <t>Dp4-Deserción por cohorte V5 (sin estrato 0)</t>
  </si>
  <si>
    <t>Retiro universidad  ece (fuente boletín)</t>
  </si>
  <si>
    <t>RETIRO TEMPRANO LBP</t>
  </si>
  <si>
    <t>RETIRO TEMPRANO LBP ESTRATOS 1, 2 Y 3</t>
  </si>
  <si>
    <t>RETIRO TEMPRANO LAT</t>
  </si>
  <si>
    <t>RETIRO TEMPRANO LAT ESTRATOS 1, 2 Y 3</t>
  </si>
  <si>
    <t>RETIRO TEMPRANO LEI</t>
  </si>
  <si>
    <t>RETIRO TEMPRANO LEI ESTRATOS 1, 2 Y 3</t>
  </si>
  <si>
    <t>RETIRO TEMPRANO LCS</t>
  </si>
  <si>
    <t>RETIRO TEMPRANO LCS ESTRATOS 1, 2 Y 3</t>
  </si>
  <si>
    <t>RETIRO TEMPRANO LCN</t>
  </si>
  <si>
    <t>RETIRO TEMPRANO LCN ESTRATOS 1, 2 Y 3</t>
  </si>
  <si>
    <t>RETIRO TEMPRANO LYL</t>
  </si>
  <si>
    <t>RETIRO TEMPRANO LYL ESTRATOS 1, 2 Y 3</t>
  </si>
  <si>
    <t>RETIRO TEMPRANO FCS</t>
  </si>
  <si>
    <t>RETIRO TEMPRANO FCS-ESTRATOS 1,2 Y 3</t>
  </si>
  <si>
    <t>2024-1***
222</t>
  </si>
  <si>
    <t>***Para el periodo 2024-1 sólo se tomo el procentaje de 202220 que a esa fecha de medición cumple 3 semestres de estudio cursado y están en su cuarto semestre.</t>
  </si>
  <si>
    <t>** Para el periodo 2024-1 sólo se tomo el procentaje de 202220 que a esa fecha de medición cumple 3 semestres de estudio cursado y están en su cuarto semestre.</t>
  </si>
  <si>
    <t>* Para el periodo 2024-1 sólo se tomo el procentaje de 202220 que a esa fecha de medición cumple 3 semestres de estudio cursado y están en su cuarto semestre.</t>
  </si>
  <si>
    <t>*Para el periodo 2024-1 sólo se tomo el procentaje de 202220 que a esa fecha de medición cumple 3 semestres de estudio cursado y están en su cuarto semestre.</t>
  </si>
  <si>
    <t>Fecha última actualización: febrero 2024</t>
  </si>
  <si>
    <t>202310</t>
  </si>
  <si>
    <t>Fecha de corte: grados 2024-2.</t>
  </si>
  <si>
    <t>RETIRO TEMPRANO SIS-ESTRATOS 1, 2 Y 3</t>
  </si>
  <si>
    <t>% Retiro Temprano</t>
  </si>
  <si>
    <t>Interpretación:</t>
  </si>
  <si>
    <t>De acuerdo con la Política institucional de permanencia y graduación estudiantil de la Universidad Icesi, deserción estudiantil se refiere a la suspensión de la trayectoria académica del estudiante. Ahora bien, si esta suspensión ocurre durante los primeros tres periodos académicos, se clasificará como deserción temprana.</t>
  </si>
  <si>
    <t>% Retiro Temprano SIS</t>
  </si>
  <si>
    <t>% Retiro Temprano 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</si>
</sst>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"/>
    <numFmt numFmtId="165" formatCode="#,##0.0%"/>
    <numFmt numFmtId="166" formatCode="0.0%"/>
    <numFmt numFmtId="167" formatCode="###0.00"/>
    <numFmt numFmtId="168" formatCode="#.0#############E+###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indexed="63"/>
      <name val="Arial"/>
      <family val="2"/>
    </font>
    <font>
      <sz val="8"/>
      <name val="Arial"/>
      <family val="2"/>
    </font>
    <font>
      <b/>
      <sz val="8"/>
      <color indexed="63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EL"/>
    </font>
    <font>
      <sz val="8"/>
      <name val="AriEL"/>
    </font>
    <font>
      <b/>
      <sz val="8"/>
      <color theme="1"/>
      <name val="AriEL"/>
    </font>
    <font>
      <b/>
      <sz val="8"/>
      <color theme="0"/>
      <name val="AriEL"/>
    </font>
    <font>
      <b/>
      <sz val="11"/>
      <color theme="1"/>
      <name val="Calibri"/>
      <family val="2"/>
      <scheme val="minor"/>
    </font>
    <font>
      <b/>
      <sz val="8"/>
      <name val="AriEL"/>
    </font>
    <font>
      <sz val="8"/>
      <name val="Tahoma"/>
      <family val="2"/>
    </font>
    <font>
      <b/>
      <sz val="8"/>
      <color theme="0" tint="-4.9989318521683403E-2"/>
      <name val="Arial"/>
      <family val="2"/>
    </font>
    <font>
      <sz val="8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1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7" fillId="3" borderId="0" xfId="0" applyNumberFormat="1" applyFont="1" applyFill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0" fontId="6" fillId="0" borderId="8" xfId="1" applyNumberFormat="1" applyFont="1" applyBorder="1" applyAlignment="1">
      <alignment horizontal="center" vertical="center"/>
    </xf>
    <xf numFmtId="10" fontId="6" fillId="0" borderId="8" xfId="1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3" borderId="0" xfId="0" applyFont="1" applyFill="1"/>
    <xf numFmtId="0" fontId="8" fillId="0" borderId="0" xfId="0" applyFont="1"/>
    <xf numFmtId="10" fontId="6" fillId="0" borderId="7" xfId="1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0" xfId="0" applyFont="1"/>
    <xf numFmtId="10" fontId="6" fillId="0" borderId="5" xfId="1" applyNumberFormat="1" applyFont="1" applyBorder="1" applyAlignment="1">
      <alignment horizontal="center"/>
    </xf>
    <xf numFmtId="164" fontId="4" fillId="3" borderId="0" xfId="0" applyNumberFormat="1" applyFont="1" applyFill="1" applyAlignment="1">
      <alignment horizontal="center" vertical="center"/>
    </xf>
    <xf numFmtId="0" fontId="10" fillId="3" borderId="0" xfId="0" applyFont="1" applyFill="1"/>
    <xf numFmtId="166" fontId="4" fillId="3" borderId="0" xfId="1" applyNumberFormat="1" applyFont="1" applyFill="1" applyBorder="1" applyAlignment="1">
      <alignment horizontal="center"/>
    </xf>
    <xf numFmtId="0" fontId="6" fillId="3" borderId="0" xfId="0" applyFont="1" applyFill="1" applyAlignment="1">
      <alignment vertical="center" wrapText="1"/>
    </xf>
    <xf numFmtId="10" fontId="6" fillId="0" borderId="5" xfId="1" applyNumberFormat="1" applyFont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/>
    </xf>
    <xf numFmtId="164" fontId="0" fillId="0" borderId="0" xfId="0" applyNumberFormat="1"/>
    <xf numFmtId="10" fontId="0" fillId="0" borderId="0" xfId="0" applyNumberFormat="1"/>
    <xf numFmtId="168" fontId="0" fillId="0" borderId="0" xfId="0" applyNumberFormat="1"/>
    <xf numFmtId="0" fontId="8" fillId="6" borderId="10" xfId="0" applyFont="1" applyFill="1" applyBorder="1" applyAlignment="1">
      <alignment wrapText="1"/>
    </xf>
    <xf numFmtId="164" fontId="8" fillId="0" borderId="0" xfId="0" applyNumberFormat="1" applyFont="1" applyAlignment="1">
      <alignment wrapText="1"/>
    </xf>
    <xf numFmtId="168" fontId="8" fillId="0" borderId="0" xfId="0" applyNumberFormat="1" applyFont="1" applyAlignment="1">
      <alignment wrapText="1"/>
    </xf>
    <xf numFmtId="10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164" fontId="6" fillId="0" borderId="0" xfId="0" applyNumberFormat="1" applyFont="1"/>
    <xf numFmtId="10" fontId="6" fillId="0" borderId="0" xfId="0" applyNumberFormat="1" applyFont="1"/>
    <xf numFmtId="168" fontId="6" fillId="0" borderId="0" xfId="0" applyNumberFormat="1" applyFont="1"/>
    <xf numFmtId="10" fontId="6" fillId="0" borderId="0" xfId="1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4" fillId="6" borderId="10" xfId="0" applyFont="1" applyFill="1" applyBorder="1"/>
    <xf numFmtId="164" fontId="4" fillId="3" borderId="5" xfId="0" applyNumberFormat="1" applyFont="1" applyFill="1" applyBorder="1" applyAlignment="1">
      <alignment horizontal="center"/>
    </xf>
    <xf numFmtId="165" fontId="4" fillId="3" borderId="5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49" fontId="5" fillId="3" borderId="5" xfId="0" applyNumberFormat="1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/>
    </xf>
    <xf numFmtId="166" fontId="4" fillId="3" borderId="5" xfId="1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 wrapText="1"/>
    </xf>
    <xf numFmtId="165" fontId="4" fillId="3" borderId="6" xfId="0" applyNumberFormat="1" applyFont="1" applyFill="1" applyBorder="1" applyAlignment="1">
      <alignment horizontal="center"/>
    </xf>
    <xf numFmtId="166" fontId="4" fillId="3" borderId="6" xfId="1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6" fontId="4" fillId="3" borderId="5" xfId="1" applyNumberFormat="1" applyFont="1" applyFill="1" applyBorder="1" applyAlignment="1">
      <alignment horizontal="center"/>
    </xf>
    <xf numFmtId="10" fontId="4" fillId="3" borderId="5" xfId="1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6" fontId="4" fillId="0" borderId="5" xfId="1" applyNumberFormat="1" applyFont="1" applyFill="1" applyBorder="1" applyAlignment="1">
      <alignment horizontal="center" vertical="center"/>
    </xf>
    <xf numFmtId="9" fontId="4" fillId="3" borderId="5" xfId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7" fontId="4" fillId="3" borderId="5" xfId="0" applyNumberFormat="1" applyFont="1" applyFill="1" applyBorder="1" applyAlignment="1">
      <alignment horizontal="center" vertical="center"/>
    </xf>
    <xf numFmtId="0" fontId="4" fillId="3" borderId="5" xfId="1" applyNumberFormat="1" applyFont="1" applyFill="1" applyBorder="1" applyAlignment="1">
      <alignment horizontal="center" vertical="center"/>
    </xf>
    <xf numFmtId="165" fontId="4" fillId="3" borderId="6" xfId="0" applyNumberFormat="1" applyFont="1" applyFill="1" applyBorder="1" applyAlignment="1">
      <alignment horizontal="center" vertical="center"/>
    </xf>
    <xf numFmtId="164" fontId="11" fillId="3" borderId="5" xfId="0" applyNumberFormat="1" applyFont="1" applyFill="1" applyBorder="1" applyAlignment="1">
      <alignment horizontal="center" vertical="center"/>
    </xf>
    <xf numFmtId="166" fontId="11" fillId="3" borderId="5" xfId="1" applyNumberFormat="1" applyFont="1" applyFill="1" applyBorder="1" applyAlignment="1">
      <alignment horizontal="center" vertical="center"/>
    </xf>
    <xf numFmtId="49" fontId="15" fillId="3" borderId="5" xfId="0" applyNumberFormat="1" applyFont="1" applyFill="1" applyBorder="1" applyAlignment="1">
      <alignment horizontal="center" vertical="center" wrapText="1"/>
    </xf>
    <xf numFmtId="164" fontId="11" fillId="3" borderId="5" xfId="0" applyNumberFormat="1" applyFont="1" applyFill="1" applyBorder="1" applyAlignment="1">
      <alignment horizontal="center"/>
    </xf>
    <xf numFmtId="165" fontId="11" fillId="3" borderId="5" xfId="0" applyNumberFormat="1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164" fontId="16" fillId="3" borderId="5" xfId="0" applyNumberFormat="1" applyFont="1" applyFill="1" applyBorder="1" applyAlignment="1">
      <alignment horizontal="center"/>
    </xf>
    <xf numFmtId="165" fontId="16" fillId="3" borderId="5" xfId="0" applyNumberFormat="1" applyFont="1" applyFill="1" applyBorder="1" applyAlignment="1">
      <alignment horizontal="center"/>
    </xf>
    <xf numFmtId="164" fontId="6" fillId="3" borderId="5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/>
    </xf>
    <xf numFmtId="166" fontId="3" fillId="3" borderId="5" xfId="1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66" fontId="6" fillId="3" borderId="5" xfId="1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 wrapText="1"/>
    </xf>
    <xf numFmtId="9" fontId="6" fillId="3" borderId="5" xfId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0" fontId="6" fillId="3" borderId="5" xfId="1" applyNumberFormat="1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/>
    </xf>
    <xf numFmtId="166" fontId="4" fillId="3" borderId="6" xfId="1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6" fontId="3" fillId="3" borderId="6" xfId="1" applyNumberFormat="1" applyFont="1" applyFill="1" applyBorder="1" applyAlignment="1">
      <alignment horizontal="center" vertical="center"/>
    </xf>
    <xf numFmtId="10" fontId="6" fillId="3" borderId="5" xfId="1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4" fontId="18" fillId="3" borderId="5" xfId="0" applyNumberFormat="1" applyFont="1" applyFill="1" applyBorder="1" applyAlignment="1">
      <alignment horizontal="center"/>
    </xf>
    <xf numFmtId="165" fontId="18" fillId="3" borderId="5" xfId="0" applyNumberFormat="1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0" fontId="11" fillId="3" borderId="5" xfId="0" applyFont="1" applyFill="1" applyBorder="1" applyAlignment="1">
      <alignment horizontal="center" vertical="center"/>
    </xf>
    <xf numFmtId="10" fontId="10" fillId="0" borderId="5" xfId="1" applyNumberFormat="1" applyFont="1" applyBorder="1" applyAlignment="1">
      <alignment horizontal="center" vertical="center"/>
    </xf>
    <xf numFmtId="10" fontId="10" fillId="0" borderId="5" xfId="1" applyNumberFormat="1" applyFont="1" applyBorder="1" applyAlignment="1">
      <alignment horizontal="center"/>
    </xf>
    <xf numFmtId="165" fontId="10" fillId="0" borderId="5" xfId="0" applyNumberFormat="1" applyFont="1" applyBorder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166" fontId="4" fillId="3" borderId="0" xfId="1" applyNumberFormat="1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 wrapText="1"/>
    </xf>
    <xf numFmtId="165" fontId="4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/>
    </xf>
    <xf numFmtId="0" fontId="6" fillId="3" borderId="4" xfId="0" applyFont="1" applyFill="1" applyBorder="1" applyAlignment="1">
      <alignment horizontal="center"/>
    </xf>
    <xf numFmtId="166" fontId="6" fillId="3" borderId="6" xfId="1" applyNumberFormat="1" applyFont="1" applyFill="1" applyBorder="1" applyAlignment="1">
      <alignment horizontal="center" vertical="center"/>
    </xf>
    <xf numFmtId="165" fontId="6" fillId="3" borderId="6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166" fontId="6" fillId="3" borderId="0" xfId="1" applyNumberFormat="1" applyFont="1" applyFill="1" applyBorder="1" applyAlignment="1">
      <alignment horizontal="center" vertical="center"/>
    </xf>
    <xf numFmtId="166" fontId="6" fillId="3" borderId="0" xfId="1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49" fontId="9" fillId="3" borderId="0" xfId="0" applyNumberFormat="1" applyFont="1" applyFill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/>
    </xf>
    <xf numFmtId="166" fontId="4" fillId="3" borderId="7" xfId="1" applyNumberFormat="1" applyFont="1" applyFill="1" applyBorder="1" applyAlignment="1">
      <alignment horizontal="center" vertical="center"/>
    </xf>
    <xf numFmtId="10" fontId="4" fillId="3" borderId="0" xfId="1" applyNumberFormat="1" applyFont="1" applyFill="1" applyBorder="1" applyAlignment="1">
      <alignment horizontal="center" vertical="center"/>
    </xf>
    <xf numFmtId="10" fontId="4" fillId="3" borderId="6" xfId="1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/>
    </xf>
    <xf numFmtId="166" fontId="4" fillId="0" borderId="6" xfId="1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 wrapText="1"/>
    </xf>
    <xf numFmtId="165" fontId="6" fillId="3" borderId="0" xfId="0" applyNumberFormat="1" applyFont="1" applyFill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49" fontId="8" fillId="3" borderId="3" xfId="0" applyNumberFormat="1" applyFont="1" applyFill="1" applyBorder="1" applyAlignment="1">
      <alignment horizontal="center" vertical="center" wrapText="1"/>
    </xf>
    <xf numFmtId="165" fontId="6" fillId="3" borderId="6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167" fontId="4" fillId="3" borderId="6" xfId="0" applyNumberFormat="1" applyFont="1" applyFill="1" applyBorder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9" fontId="6" fillId="0" borderId="0" xfId="1" applyFont="1"/>
    <xf numFmtId="9" fontId="4" fillId="3" borderId="0" xfId="1" applyFont="1" applyFill="1" applyBorder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166" fontId="11" fillId="3" borderId="0" xfId="1" applyNumberFormat="1" applyFont="1" applyFill="1" applyBorder="1" applyAlignment="1">
      <alignment horizontal="center" vertical="center"/>
    </xf>
    <xf numFmtId="165" fontId="11" fillId="3" borderId="0" xfId="0" applyNumberFormat="1" applyFont="1" applyFill="1" applyAlignment="1">
      <alignment horizontal="center"/>
    </xf>
    <xf numFmtId="49" fontId="15" fillId="3" borderId="0" xfId="0" applyNumberFormat="1" applyFont="1" applyFill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 wrapText="1"/>
    </xf>
    <xf numFmtId="10" fontId="6" fillId="0" borderId="0" xfId="1" applyNumberFormat="1" applyFont="1"/>
    <xf numFmtId="0" fontId="9" fillId="4" borderId="2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/>
    </xf>
    <xf numFmtId="166" fontId="4" fillId="3" borderId="8" xfId="1" applyNumberFormat="1" applyFont="1" applyFill="1" applyBorder="1" applyAlignment="1">
      <alignment horizontal="center"/>
    </xf>
    <xf numFmtId="166" fontId="4" fillId="3" borderId="25" xfId="1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6" fontId="4" fillId="3" borderId="8" xfId="1" applyNumberFormat="1" applyFont="1" applyFill="1" applyBorder="1" applyAlignment="1">
      <alignment horizontal="center" vertical="center"/>
    </xf>
    <xf numFmtId="166" fontId="4" fillId="3" borderId="25" xfId="1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165" fontId="4" fillId="3" borderId="8" xfId="0" applyNumberFormat="1" applyFont="1" applyFill="1" applyBorder="1" applyAlignment="1">
      <alignment horizontal="center"/>
    </xf>
    <xf numFmtId="165" fontId="4" fillId="3" borderId="25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/>
    </xf>
    <xf numFmtId="165" fontId="6" fillId="3" borderId="8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66" fontId="3" fillId="0" borderId="0" xfId="1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1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1" applyNumberFormat="1" applyFont="1" applyFill="1" applyBorder="1" applyAlignment="1">
      <alignment horizontal="center"/>
    </xf>
    <xf numFmtId="166" fontId="4" fillId="0" borderId="0" xfId="1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6" fillId="0" borderId="5" xfId="1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166" fontId="6" fillId="0" borderId="0" xfId="1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7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6" fillId="0" borderId="0" xfId="0" applyFont="1" applyAlignment="1">
      <alignment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 wrapText="1"/>
    </xf>
    <xf numFmtId="49" fontId="5" fillId="4" borderId="14" xfId="0" applyNumberFormat="1" applyFont="1" applyFill="1" applyBorder="1" applyAlignment="1">
      <alignment horizontal="center" vertical="center" wrapText="1"/>
    </xf>
    <xf numFmtId="49" fontId="5" fillId="4" borderId="1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49" fontId="7" fillId="2" borderId="19" xfId="0" applyNumberFormat="1" applyFont="1" applyFill="1" applyBorder="1" applyAlignment="1">
      <alignment horizontal="center" vertical="center" wrapText="1"/>
    </xf>
    <xf numFmtId="49" fontId="7" fillId="2" borderId="15" xfId="0" applyNumberFormat="1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49" fontId="13" fillId="2" borderId="14" xfId="0" applyNumberFormat="1" applyFont="1" applyFill="1" applyBorder="1" applyAlignment="1">
      <alignment horizontal="center" vertical="center" wrapText="1"/>
    </xf>
    <xf numFmtId="49" fontId="13" fillId="2" borderId="15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49" fontId="7" fillId="2" borderId="20" xfId="0" applyNumberFormat="1" applyFont="1" applyFill="1" applyBorder="1" applyAlignment="1">
      <alignment horizontal="center" vertical="center" wrapText="1"/>
    </xf>
    <xf numFmtId="49" fontId="7" fillId="2" borderId="21" xfId="0" applyNumberFormat="1" applyFont="1" applyFill="1" applyBorder="1" applyAlignment="1">
      <alignment horizontal="center" vertical="center" wrapText="1"/>
    </xf>
    <xf numFmtId="49" fontId="7" fillId="2" borderId="22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9" fontId="6" fillId="0" borderId="0" xfId="1" applyFont="1" applyAlignment="1">
      <alignment horizontal="center"/>
    </xf>
    <xf numFmtId="9" fontId="6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SIS!$D$4</c:f>
              <c:strCache>
                <c:ptCount val="1"/>
                <c:pt idx="0">
                  <c:v>% Retiro Temprano SIS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SIS!$A$16:$A$25</c:f>
              <c:strCache>
                <c:ptCount val="10"/>
                <c:pt idx="0">
                  <c:v>201820</c:v>
                </c:pt>
                <c:pt idx="1">
                  <c:v>201910</c:v>
                </c:pt>
                <c:pt idx="2">
                  <c:v>201920</c:v>
                </c:pt>
                <c:pt idx="3">
                  <c:v>202010</c:v>
                </c:pt>
                <c:pt idx="4">
                  <c:v>202020</c:v>
                </c:pt>
                <c:pt idx="5">
                  <c:v>202110</c:v>
                </c:pt>
                <c:pt idx="6">
                  <c:v>202120</c:v>
                </c:pt>
                <c:pt idx="7">
                  <c:v>202210</c:v>
                </c:pt>
                <c:pt idx="8">
                  <c:v>202220</c:v>
                </c:pt>
                <c:pt idx="9">
                  <c:v>202310</c:v>
                </c:pt>
              </c:strCache>
            </c:strRef>
          </c:cat>
          <c:val>
            <c:numRef>
              <c:f>SIS!$D$16:$D$25</c:f>
              <c:numCache>
                <c:formatCode>#,##0.0%</c:formatCode>
                <c:ptCount val="10"/>
                <c:pt idx="0">
                  <c:v>0.17647058823529413</c:v>
                </c:pt>
                <c:pt idx="1">
                  <c:v>0.23076923076923081</c:v>
                </c:pt>
                <c:pt idx="2">
                  <c:v>0.2121212121212121</c:v>
                </c:pt>
                <c:pt idx="3">
                  <c:v>0.1276595744680851</c:v>
                </c:pt>
                <c:pt idx="4">
                  <c:v>0.18421052631578946</c:v>
                </c:pt>
                <c:pt idx="5">
                  <c:v>0.10526315789473679</c:v>
                </c:pt>
                <c:pt idx="6">
                  <c:v>0.24489795918367349</c:v>
                </c:pt>
                <c:pt idx="7" formatCode="0.0%">
                  <c:v>0.15068493150684931</c:v>
                </c:pt>
                <c:pt idx="8" formatCode="0.0%">
                  <c:v>0.15584415584415584</c:v>
                </c:pt>
                <c:pt idx="9" formatCode="0.0%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F-4935-895D-4016D8634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72688"/>
        <c:axId val="66673168"/>
      </c:lineChart>
      <c:catAx>
        <c:axId val="6667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673168"/>
        <c:crosses val="autoZero"/>
        <c:auto val="1"/>
        <c:lblAlgn val="ctr"/>
        <c:lblOffset val="100"/>
        <c:noMultiLvlLbl val="0"/>
      </c:catAx>
      <c:valAx>
        <c:axId val="666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67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TEL!$D$4</c:f>
              <c:strCache>
                <c:ptCount val="1"/>
                <c:pt idx="0">
                  <c:v>% Retiro Temprano TEL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TEL!$A$16:$A$25</c:f>
              <c:strCache>
                <c:ptCount val="10"/>
                <c:pt idx="0">
                  <c:v>201820</c:v>
                </c:pt>
                <c:pt idx="1">
                  <c:v>201910</c:v>
                </c:pt>
                <c:pt idx="2">
                  <c:v>201920</c:v>
                </c:pt>
                <c:pt idx="3">
                  <c:v>202010</c:v>
                </c:pt>
                <c:pt idx="4">
                  <c:v>202020</c:v>
                </c:pt>
                <c:pt idx="5">
                  <c:v>202110</c:v>
                </c:pt>
                <c:pt idx="6">
                  <c:v>202120</c:v>
                </c:pt>
                <c:pt idx="7">
                  <c:v>202210</c:v>
                </c:pt>
                <c:pt idx="8">
                  <c:v>202220</c:v>
                </c:pt>
                <c:pt idx="9">
                  <c:v>202310</c:v>
                </c:pt>
              </c:strCache>
            </c:strRef>
          </c:cat>
          <c:val>
            <c:numRef>
              <c:f>TEL!$D$16:$D$25</c:f>
              <c:numCache>
                <c:formatCode>#,##0.0%</c:formatCode>
                <c:ptCount val="10"/>
                <c:pt idx="0">
                  <c:v>0.3125</c:v>
                </c:pt>
                <c:pt idx="1">
                  <c:v>0.27272727272727271</c:v>
                </c:pt>
                <c:pt idx="2">
                  <c:v>0.14285714285714279</c:v>
                </c:pt>
                <c:pt idx="3">
                  <c:v>9.5238095238095233E-2</c:v>
                </c:pt>
                <c:pt idx="4">
                  <c:v>0.22222222222222221</c:v>
                </c:pt>
                <c:pt idx="5">
                  <c:v>0</c:v>
                </c:pt>
                <c:pt idx="6">
                  <c:v>0</c:v>
                </c:pt>
                <c:pt idx="7" formatCode="0.0%">
                  <c:v>0.22222222222222221</c:v>
                </c:pt>
                <c:pt idx="8" formatCode="0.0%">
                  <c:v>0.27272727272727271</c:v>
                </c:pt>
                <c:pt idx="9" formatCode="0.0%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B2-4828-9C91-261E9741EE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7426592"/>
        <c:axId val="577419392"/>
      </c:lineChart>
      <c:catAx>
        <c:axId val="57742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419392"/>
        <c:crosses val="autoZero"/>
        <c:auto val="1"/>
        <c:lblAlgn val="ctr"/>
        <c:lblOffset val="100"/>
        <c:noMultiLvlLbl val="0"/>
      </c:catAx>
      <c:valAx>
        <c:axId val="57741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42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31</xdr:row>
      <xdr:rowOff>26670</xdr:rowOff>
    </xdr:from>
    <xdr:to>
      <xdr:col>8</xdr:col>
      <xdr:colOff>365760</xdr:colOff>
      <xdr:row>52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1A322-BBAC-BFBE-D7F1-2B16BE422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31</xdr:row>
      <xdr:rowOff>49530</xdr:rowOff>
    </xdr:from>
    <xdr:to>
      <xdr:col>7</xdr:col>
      <xdr:colOff>7620</xdr:colOff>
      <xdr:row>52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078121-2DEC-D164-2857-209E80893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esiedu.sharepoint.com/sites/direccion-academica/251/2514512%20Desercin/2023-2/DESERCION_2111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esiedu.sharepoint.com/sites/direccion-academica/251/2514512%20Desercin/2024-1/DESERCION_1904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ESI"/>
      <sheetName val="ICESI 123"/>
      <sheetName val="ICESI SIN ADN"/>
      <sheetName val="ICESI SIN ADN 123"/>
      <sheetName val="ICESI SIN ADN NI MED"/>
      <sheetName val="ICESI SIN ADN NI MED 123"/>
      <sheetName val="MED"/>
      <sheetName val="MED 123"/>
      <sheetName val="PROGRAMA"/>
      <sheetName val="PROGRAMA 123"/>
      <sheetName val="FCAE"/>
      <sheetName val="FIDCA"/>
      <sheetName val="FCH"/>
      <sheetName val="FCS"/>
      <sheetName val="FCAE 123"/>
      <sheetName val="FIDCA 123"/>
      <sheetName val="FCH 123"/>
      <sheetName val="FCS 123"/>
    </sheetNames>
    <sheetDataSet>
      <sheetData sheetId="0"/>
      <sheetData sheetId="1"/>
      <sheetData sheetId="2"/>
      <sheetData sheetId="3">
        <row r="1">
          <cell r="A1" t="str">
            <v>Periodo de ingreso  - Estudiante</v>
          </cell>
          <cell r="B1" t="str">
            <v>No. Estudiantes</v>
          </cell>
          <cell r="C1" t="str">
            <v>No. Retirados Universidad</v>
          </cell>
          <cell r="D1" t="str">
            <v>No. Graduados Universidad</v>
          </cell>
        </row>
        <row r="2">
          <cell r="A2" t="str">
            <v>198610</v>
          </cell>
          <cell r="B2">
            <v>1</v>
          </cell>
          <cell r="C2">
            <v>1</v>
          </cell>
          <cell r="D2">
            <v>0</v>
          </cell>
        </row>
        <row r="3">
          <cell r="A3" t="str">
            <v>199020</v>
          </cell>
          <cell r="B3">
            <v>1</v>
          </cell>
          <cell r="C3">
            <v>1</v>
          </cell>
          <cell r="D3">
            <v>0</v>
          </cell>
        </row>
        <row r="4">
          <cell r="A4" t="str">
            <v>199310</v>
          </cell>
          <cell r="B4">
            <v>1</v>
          </cell>
          <cell r="C4">
            <v>0</v>
          </cell>
          <cell r="D4">
            <v>1</v>
          </cell>
        </row>
        <row r="5">
          <cell r="A5" t="str">
            <v>199320</v>
          </cell>
          <cell r="B5">
            <v>1</v>
          </cell>
          <cell r="C5">
            <v>0</v>
          </cell>
          <cell r="D5">
            <v>1</v>
          </cell>
        </row>
        <row r="6">
          <cell r="A6" t="str">
            <v>199410</v>
          </cell>
          <cell r="B6">
            <v>3</v>
          </cell>
          <cell r="C6">
            <v>2</v>
          </cell>
          <cell r="D6">
            <v>1</v>
          </cell>
        </row>
        <row r="7">
          <cell r="A7" t="str">
            <v>199420</v>
          </cell>
          <cell r="B7">
            <v>2</v>
          </cell>
          <cell r="C7">
            <v>2</v>
          </cell>
          <cell r="D7">
            <v>0</v>
          </cell>
        </row>
        <row r="8">
          <cell r="A8" t="str">
            <v>199510</v>
          </cell>
          <cell r="B8">
            <v>4</v>
          </cell>
          <cell r="C8">
            <v>1</v>
          </cell>
          <cell r="D8">
            <v>3</v>
          </cell>
        </row>
        <row r="9">
          <cell r="A9" t="str">
            <v>199520</v>
          </cell>
          <cell r="B9">
            <v>13</v>
          </cell>
          <cell r="C9">
            <v>1</v>
          </cell>
          <cell r="D9">
            <v>12</v>
          </cell>
        </row>
        <row r="10">
          <cell r="A10" t="str">
            <v>199610</v>
          </cell>
          <cell r="B10">
            <v>1</v>
          </cell>
          <cell r="C10">
            <v>0</v>
          </cell>
          <cell r="D10">
            <v>1</v>
          </cell>
        </row>
        <row r="11">
          <cell r="A11" t="str">
            <v>199620</v>
          </cell>
          <cell r="B11">
            <v>31</v>
          </cell>
          <cell r="C11">
            <v>13</v>
          </cell>
          <cell r="D11">
            <v>18</v>
          </cell>
        </row>
        <row r="12">
          <cell r="A12" t="str">
            <v>199710</v>
          </cell>
          <cell r="B12">
            <v>9</v>
          </cell>
          <cell r="C12">
            <v>4</v>
          </cell>
          <cell r="D12">
            <v>5</v>
          </cell>
        </row>
        <row r="13">
          <cell r="A13" t="str">
            <v>199720</v>
          </cell>
          <cell r="B13">
            <v>31</v>
          </cell>
          <cell r="C13">
            <v>12</v>
          </cell>
          <cell r="D13">
            <v>19</v>
          </cell>
        </row>
        <row r="14">
          <cell r="A14" t="str">
            <v>199810</v>
          </cell>
          <cell r="B14">
            <v>22</v>
          </cell>
          <cell r="C14">
            <v>9</v>
          </cell>
          <cell r="D14">
            <v>13</v>
          </cell>
        </row>
        <row r="15">
          <cell r="A15" t="str">
            <v>199820</v>
          </cell>
          <cell r="B15">
            <v>60</v>
          </cell>
          <cell r="C15">
            <v>28</v>
          </cell>
          <cell r="D15">
            <v>32</v>
          </cell>
        </row>
        <row r="16">
          <cell r="A16" t="str">
            <v>199910</v>
          </cell>
          <cell r="B16">
            <v>38</v>
          </cell>
          <cell r="C16">
            <v>21</v>
          </cell>
          <cell r="D16">
            <v>17</v>
          </cell>
        </row>
        <row r="17">
          <cell r="A17" t="str">
            <v>199920</v>
          </cell>
          <cell r="B17">
            <v>68</v>
          </cell>
          <cell r="C17">
            <v>29</v>
          </cell>
          <cell r="D17">
            <v>39</v>
          </cell>
        </row>
        <row r="18">
          <cell r="A18" t="str">
            <v>200010</v>
          </cell>
          <cell r="B18">
            <v>31</v>
          </cell>
          <cell r="C18">
            <v>14</v>
          </cell>
          <cell r="D18">
            <v>17</v>
          </cell>
        </row>
        <row r="19">
          <cell r="A19" t="str">
            <v>200020</v>
          </cell>
          <cell r="B19">
            <v>95</v>
          </cell>
          <cell r="C19">
            <v>53</v>
          </cell>
          <cell r="D19">
            <v>42</v>
          </cell>
        </row>
        <row r="20">
          <cell r="A20" t="str">
            <v>200110</v>
          </cell>
          <cell r="B20">
            <v>17</v>
          </cell>
          <cell r="C20">
            <v>5</v>
          </cell>
          <cell r="D20">
            <v>12</v>
          </cell>
        </row>
        <row r="21">
          <cell r="A21" t="str">
            <v>200120</v>
          </cell>
          <cell r="B21">
            <v>68</v>
          </cell>
          <cell r="C21">
            <v>32</v>
          </cell>
          <cell r="D21">
            <v>36</v>
          </cell>
        </row>
        <row r="22">
          <cell r="A22" t="str">
            <v>200210</v>
          </cell>
          <cell r="B22">
            <v>42</v>
          </cell>
          <cell r="C22">
            <v>26</v>
          </cell>
          <cell r="D22">
            <v>16</v>
          </cell>
        </row>
        <row r="23">
          <cell r="A23" t="str">
            <v>200220</v>
          </cell>
          <cell r="B23">
            <v>74</v>
          </cell>
          <cell r="C23">
            <v>42</v>
          </cell>
          <cell r="D23">
            <v>32</v>
          </cell>
        </row>
        <row r="24">
          <cell r="A24" t="str">
            <v>200310</v>
          </cell>
          <cell r="B24">
            <v>43</v>
          </cell>
          <cell r="C24">
            <v>22</v>
          </cell>
          <cell r="D24">
            <v>21</v>
          </cell>
        </row>
        <row r="25">
          <cell r="A25" t="str">
            <v>200320</v>
          </cell>
          <cell r="B25">
            <v>122</v>
          </cell>
          <cell r="C25">
            <v>60</v>
          </cell>
          <cell r="D25">
            <v>62</v>
          </cell>
        </row>
        <row r="26">
          <cell r="A26" t="str">
            <v>200410</v>
          </cell>
          <cell r="B26">
            <v>46</v>
          </cell>
          <cell r="C26">
            <v>19</v>
          </cell>
          <cell r="D26">
            <v>27</v>
          </cell>
        </row>
        <row r="27">
          <cell r="A27" t="str">
            <v>200420</v>
          </cell>
          <cell r="B27">
            <v>116</v>
          </cell>
          <cell r="C27">
            <v>53</v>
          </cell>
          <cell r="D27">
            <v>63</v>
          </cell>
        </row>
        <row r="28">
          <cell r="A28" t="str">
            <v>200510</v>
          </cell>
          <cell r="B28">
            <v>45</v>
          </cell>
          <cell r="C28">
            <v>23</v>
          </cell>
          <cell r="D28">
            <v>22</v>
          </cell>
        </row>
        <row r="29">
          <cell r="A29" t="str">
            <v>200520</v>
          </cell>
          <cell r="B29">
            <v>146</v>
          </cell>
          <cell r="C29">
            <v>70</v>
          </cell>
          <cell r="D29">
            <v>76</v>
          </cell>
        </row>
        <row r="30">
          <cell r="A30" t="str">
            <v>200610</v>
          </cell>
          <cell r="B30">
            <v>75</v>
          </cell>
          <cell r="C30">
            <v>29</v>
          </cell>
          <cell r="D30">
            <v>46</v>
          </cell>
        </row>
        <row r="31">
          <cell r="A31" t="str">
            <v>200620</v>
          </cell>
          <cell r="B31">
            <v>240</v>
          </cell>
          <cell r="C31">
            <v>92</v>
          </cell>
          <cell r="D31">
            <v>148</v>
          </cell>
        </row>
        <row r="32">
          <cell r="A32" t="str">
            <v>200710</v>
          </cell>
          <cell r="B32">
            <v>112</v>
          </cell>
          <cell r="C32">
            <v>51</v>
          </cell>
          <cell r="D32">
            <v>61</v>
          </cell>
        </row>
        <row r="33">
          <cell r="A33" t="str">
            <v>200720</v>
          </cell>
          <cell r="B33">
            <v>238</v>
          </cell>
          <cell r="C33">
            <v>95</v>
          </cell>
          <cell r="D33">
            <v>143</v>
          </cell>
        </row>
        <row r="34">
          <cell r="A34" t="str">
            <v>200810</v>
          </cell>
          <cell r="B34">
            <v>133</v>
          </cell>
          <cell r="C34">
            <v>57</v>
          </cell>
          <cell r="D34">
            <v>76</v>
          </cell>
        </row>
        <row r="35">
          <cell r="A35" t="str">
            <v>200820</v>
          </cell>
          <cell r="B35">
            <v>294</v>
          </cell>
          <cell r="C35">
            <v>97</v>
          </cell>
          <cell r="D35">
            <v>197</v>
          </cell>
        </row>
        <row r="36">
          <cell r="A36" t="str">
            <v>200910</v>
          </cell>
          <cell r="B36">
            <v>154</v>
          </cell>
          <cell r="C36">
            <v>63</v>
          </cell>
          <cell r="D36">
            <v>90</v>
          </cell>
        </row>
        <row r="37">
          <cell r="A37" t="str">
            <v>200920</v>
          </cell>
          <cell r="B37">
            <v>248</v>
          </cell>
          <cell r="C37">
            <v>85</v>
          </cell>
          <cell r="D37">
            <v>163</v>
          </cell>
        </row>
        <row r="38">
          <cell r="A38" t="str">
            <v>201010</v>
          </cell>
          <cell r="B38">
            <v>142</v>
          </cell>
          <cell r="C38">
            <v>61</v>
          </cell>
          <cell r="D38">
            <v>81</v>
          </cell>
        </row>
        <row r="39">
          <cell r="A39" t="str">
            <v>201020</v>
          </cell>
          <cell r="B39">
            <v>211</v>
          </cell>
          <cell r="C39">
            <v>68</v>
          </cell>
          <cell r="D39">
            <v>142</v>
          </cell>
        </row>
        <row r="40">
          <cell r="A40" t="str">
            <v>201110</v>
          </cell>
          <cell r="B40">
            <v>225</v>
          </cell>
          <cell r="C40">
            <v>87</v>
          </cell>
          <cell r="D40">
            <v>136</v>
          </cell>
        </row>
        <row r="41">
          <cell r="A41" t="str">
            <v>201120</v>
          </cell>
          <cell r="B41">
            <v>304</v>
          </cell>
          <cell r="C41">
            <v>96</v>
          </cell>
          <cell r="D41">
            <v>207</v>
          </cell>
        </row>
        <row r="42">
          <cell r="A42" t="str">
            <v>201210</v>
          </cell>
          <cell r="B42">
            <v>299</v>
          </cell>
          <cell r="C42">
            <v>122</v>
          </cell>
          <cell r="D42">
            <v>176</v>
          </cell>
        </row>
        <row r="43">
          <cell r="A43" t="str">
            <v>201220</v>
          </cell>
          <cell r="B43">
            <v>277</v>
          </cell>
          <cell r="C43">
            <v>109</v>
          </cell>
          <cell r="D43">
            <v>166</v>
          </cell>
        </row>
        <row r="44">
          <cell r="A44" t="str">
            <v>201310</v>
          </cell>
          <cell r="B44">
            <v>336</v>
          </cell>
          <cell r="C44">
            <v>117</v>
          </cell>
          <cell r="D44">
            <v>217</v>
          </cell>
        </row>
        <row r="45">
          <cell r="A45" t="str">
            <v>201320</v>
          </cell>
          <cell r="B45">
            <v>277</v>
          </cell>
          <cell r="C45">
            <v>88</v>
          </cell>
          <cell r="D45">
            <v>187</v>
          </cell>
        </row>
        <row r="46">
          <cell r="A46" t="str">
            <v>201410</v>
          </cell>
          <cell r="B46">
            <v>324</v>
          </cell>
          <cell r="C46">
            <v>106</v>
          </cell>
          <cell r="D46">
            <v>218</v>
          </cell>
        </row>
        <row r="47">
          <cell r="A47" t="str">
            <v>201420</v>
          </cell>
          <cell r="B47">
            <v>343</v>
          </cell>
          <cell r="C47">
            <v>120</v>
          </cell>
          <cell r="D47">
            <v>222</v>
          </cell>
        </row>
        <row r="48">
          <cell r="A48" t="str">
            <v>201510</v>
          </cell>
          <cell r="B48">
            <v>675</v>
          </cell>
          <cell r="C48">
            <v>166</v>
          </cell>
          <cell r="D48">
            <v>499</v>
          </cell>
        </row>
        <row r="49">
          <cell r="A49" t="str">
            <v>201520</v>
          </cell>
          <cell r="B49">
            <v>266</v>
          </cell>
          <cell r="C49">
            <v>82</v>
          </cell>
          <cell r="D49">
            <v>177</v>
          </cell>
        </row>
        <row r="50">
          <cell r="A50" t="str">
            <v>201610</v>
          </cell>
          <cell r="B50">
            <v>793</v>
          </cell>
          <cell r="C50">
            <v>232</v>
          </cell>
          <cell r="D50">
            <v>549</v>
          </cell>
        </row>
        <row r="51">
          <cell r="A51" t="str">
            <v>201620</v>
          </cell>
          <cell r="B51">
            <v>283</v>
          </cell>
          <cell r="C51">
            <v>96</v>
          </cell>
          <cell r="D51">
            <v>182</v>
          </cell>
        </row>
        <row r="52">
          <cell r="A52" t="str">
            <v>201710</v>
          </cell>
          <cell r="B52">
            <v>633</v>
          </cell>
          <cell r="C52">
            <v>161</v>
          </cell>
          <cell r="D52">
            <v>440</v>
          </cell>
        </row>
        <row r="53">
          <cell r="A53" t="str">
            <v>201720</v>
          </cell>
          <cell r="B53">
            <v>246</v>
          </cell>
          <cell r="C53">
            <v>59</v>
          </cell>
          <cell r="D53">
            <v>149</v>
          </cell>
        </row>
        <row r="54">
          <cell r="A54" t="str">
            <v>201810</v>
          </cell>
          <cell r="B54">
            <v>443</v>
          </cell>
          <cell r="C54">
            <v>95</v>
          </cell>
          <cell r="D54">
            <v>234</v>
          </cell>
        </row>
        <row r="55">
          <cell r="A55" t="str">
            <v>201820</v>
          </cell>
          <cell r="B55">
            <v>219</v>
          </cell>
          <cell r="C55">
            <v>62</v>
          </cell>
          <cell r="D55">
            <v>73</v>
          </cell>
        </row>
        <row r="56">
          <cell r="A56" t="str">
            <v>201910</v>
          </cell>
          <cell r="B56">
            <v>308</v>
          </cell>
          <cell r="C56">
            <v>48</v>
          </cell>
          <cell r="D56">
            <v>4</v>
          </cell>
        </row>
        <row r="57">
          <cell r="A57" t="str">
            <v>201920</v>
          </cell>
          <cell r="B57">
            <v>193</v>
          </cell>
          <cell r="C57">
            <v>37</v>
          </cell>
          <cell r="D57">
            <v>0</v>
          </cell>
        </row>
        <row r="58">
          <cell r="A58" t="str">
            <v>202010</v>
          </cell>
          <cell r="B58">
            <v>417</v>
          </cell>
          <cell r="C58">
            <v>52</v>
          </cell>
          <cell r="D58">
            <v>0</v>
          </cell>
        </row>
        <row r="59">
          <cell r="A59" t="str">
            <v>202020</v>
          </cell>
          <cell r="B59">
            <v>168</v>
          </cell>
          <cell r="C59">
            <v>27</v>
          </cell>
          <cell r="D59">
            <v>0</v>
          </cell>
        </row>
        <row r="60">
          <cell r="A60" t="str">
            <v>202110</v>
          </cell>
          <cell r="B60">
            <v>276</v>
          </cell>
          <cell r="C60">
            <v>34</v>
          </cell>
          <cell r="D60">
            <v>0</v>
          </cell>
        </row>
        <row r="61">
          <cell r="A61" t="str">
            <v>202120</v>
          </cell>
          <cell r="B61">
            <v>249</v>
          </cell>
          <cell r="C61">
            <v>27</v>
          </cell>
          <cell r="D61">
            <v>0</v>
          </cell>
        </row>
        <row r="62">
          <cell r="A62" t="str">
            <v>202210</v>
          </cell>
          <cell r="B62">
            <v>421</v>
          </cell>
          <cell r="C62">
            <v>37</v>
          </cell>
          <cell r="D62">
            <v>0</v>
          </cell>
        </row>
        <row r="63">
          <cell r="A63" t="str">
            <v>202220</v>
          </cell>
          <cell r="B63">
            <v>357</v>
          </cell>
          <cell r="C63">
            <v>37</v>
          </cell>
          <cell r="D63">
            <v>0</v>
          </cell>
        </row>
        <row r="64">
          <cell r="A64" t="str">
            <v>202310</v>
          </cell>
          <cell r="B64">
            <v>393</v>
          </cell>
          <cell r="C64">
            <v>24</v>
          </cell>
          <cell r="D64">
            <v>0</v>
          </cell>
        </row>
      </sheetData>
      <sheetData sheetId="4"/>
      <sheetData sheetId="5"/>
      <sheetData sheetId="6"/>
      <sheetData sheetId="7"/>
      <sheetData sheetId="8">
        <row r="1">
          <cell r="A1" t="str">
            <v>Programa</v>
          </cell>
          <cell r="B1" t="str">
            <v>Periodo de ingreso - programa</v>
          </cell>
          <cell r="C1" t="str">
            <v>No. Estudiantes</v>
          </cell>
          <cell r="D1" t="str">
            <v>No. Retirados Programa</v>
          </cell>
          <cell r="E1" t="str">
            <v>No. Graduados Programa</v>
          </cell>
        </row>
        <row r="2">
          <cell r="A2" t="str">
            <v>ADD</v>
          </cell>
          <cell r="B2" t="str">
            <v>197920</v>
          </cell>
          <cell r="C2">
            <v>40</v>
          </cell>
          <cell r="D2">
            <v>28</v>
          </cell>
          <cell r="E2">
            <v>12</v>
          </cell>
        </row>
        <row r="3">
          <cell r="A3" t="str">
            <v>ADD</v>
          </cell>
          <cell r="B3" t="str">
            <v>198010</v>
          </cell>
          <cell r="C3">
            <v>5</v>
          </cell>
          <cell r="D3">
            <v>1</v>
          </cell>
          <cell r="E3">
            <v>4</v>
          </cell>
        </row>
        <row r="4">
          <cell r="A4" t="str">
            <v>ADD</v>
          </cell>
          <cell r="B4" t="str">
            <v>198020</v>
          </cell>
          <cell r="C4">
            <v>37</v>
          </cell>
          <cell r="D4">
            <v>15</v>
          </cell>
          <cell r="E4">
            <v>22</v>
          </cell>
        </row>
        <row r="5">
          <cell r="A5" t="str">
            <v>ADD</v>
          </cell>
          <cell r="B5" t="str">
            <v>198110</v>
          </cell>
          <cell r="C5">
            <v>4</v>
          </cell>
          <cell r="D5">
            <v>1</v>
          </cell>
          <cell r="E5">
            <v>3</v>
          </cell>
        </row>
        <row r="6">
          <cell r="A6" t="str">
            <v>ADD</v>
          </cell>
          <cell r="B6" t="str">
            <v>198120</v>
          </cell>
          <cell r="C6">
            <v>42</v>
          </cell>
          <cell r="D6">
            <v>13</v>
          </cell>
          <cell r="E6">
            <v>29</v>
          </cell>
        </row>
        <row r="7">
          <cell r="A7" t="str">
            <v>ADD</v>
          </cell>
          <cell r="B7" t="str">
            <v>198210</v>
          </cell>
          <cell r="C7">
            <v>40</v>
          </cell>
          <cell r="D7">
            <v>25</v>
          </cell>
          <cell r="E7">
            <v>15</v>
          </cell>
        </row>
        <row r="8">
          <cell r="A8" t="str">
            <v>ADD</v>
          </cell>
          <cell r="B8" t="str">
            <v>198220</v>
          </cell>
          <cell r="C8">
            <v>52</v>
          </cell>
          <cell r="D8">
            <v>33</v>
          </cell>
          <cell r="E8">
            <v>19</v>
          </cell>
        </row>
        <row r="9">
          <cell r="A9" t="str">
            <v>ADD</v>
          </cell>
          <cell r="B9" t="str">
            <v>198310</v>
          </cell>
          <cell r="C9">
            <v>43</v>
          </cell>
          <cell r="D9">
            <v>24</v>
          </cell>
          <cell r="E9">
            <v>19</v>
          </cell>
        </row>
        <row r="10">
          <cell r="A10" t="str">
            <v>ADD</v>
          </cell>
          <cell r="B10" t="str">
            <v>198320</v>
          </cell>
          <cell r="C10">
            <v>60</v>
          </cell>
          <cell r="D10">
            <v>29</v>
          </cell>
          <cell r="E10">
            <v>31</v>
          </cell>
        </row>
        <row r="11">
          <cell r="A11" t="str">
            <v>ADD</v>
          </cell>
          <cell r="B11" t="str">
            <v>198410</v>
          </cell>
          <cell r="C11">
            <v>58</v>
          </cell>
          <cell r="D11">
            <v>36</v>
          </cell>
          <cell r="E11">
            <v>22</v>
          </cell>
        </row>
        <row r="12">
          <cell r="A12" t="str">
            <v>ADD</v>
          </cell>
          <cell r="B12" t="str">
            <v>198420</v>
          </cell>
          <cell r="C12">
            <v>52</v>
          </cell>
          <cell r="D12">
            <v>27</v>
          </cell>
          <cell r="E12">
            <v>25</v>
          </cell>
        </row>
        <row r="13">
          <cell r="A13" t="str">
            <v>ADD</v>
          </cell>
          <cell r="B13" t="str">
            <v>198510</v>
          </cell>
          <cell r="C13">
            <v>42</v>
          </cell>
          <cell r="D13">
            <v>29</v>
          </cell>
          <cell r="E13">
            <v>13</v>
          </cell>
        </row>
        <row r="14">
          <cell r="A14" t="str">
            <v>ADD</v>
          </cell>
          <cell r="B14" t="str">
            <v>198520</v>
          </cell>
          <cell r="C14">
            <v>61</v>
          </cell>
          <cell r="D14">
            <v>40</v>
          </cell>
          <cell r="E14">
            <v>21</v>
          </cell>
        </row>
        <row r="15">
          <cell r="A15" t="str">
            <v>ADD</v>
          </cell>
          <cell r="B15" t="str">
            <v>198610</v>
          </cell>
          <cell r="C15">
            <v>47</v>
          </cell>
          <cell r="D15">
            <v>26</v>
          </cell>
          <cell r="E15">
            <v>21</v>
          </cell>
        </row>
        <row r="16">
          <cell r="A16" t="str">
            <v>ADD</v>
          </cell>
          <cell r="B16" t="str">
            <v>198620</v>
          </cell>
          <cell r="C16">
            <v>82</v>
          </cell>
          <cell r="D16">
            <v>43</v>
          </cell>
          <cell r="E16">
            <v>39</v>
          </cell>
        </row>
        <row r="17">
          <cell r="A17" t="str">
            <v>ADD</v>
          </cell>
          <cell r="B17" t="str">
            <v>198710</v>
          </cell>
          <cell r="C17">
            <v>64</v>
          </cell>
          <cell r="D17">
            <v>45</v>
          </cell>
          <cell r="E17">
            <v>19</v>
          </cell>
        </row>
        <row r="18">
          <cell r="A18" t="str">
            <v>ADD</v>
          </cell>
          <cell r="B18" t="str">
            <v>198720</v>
          </cell>
          <cell r="C18">
            <v>107</v>
          </cell>
          <cell r="D18">
            <v>63</v>
          </cell>
          <cell r="E18">
            <v>44</v>
          </cell>
        </row>
        <row r="19">
          <cell r="A19" t="str">
            <v>ADD</v>
          </cell>
          <cell r="B19" t="str">
            <v>198810</v>
          </cell>
          <cell r="C19">
            <v>54</v>
          </cell>
          <cell r="D19">
            <v>35</v>
          </cell>
          <cell r="E19">
            <v>19</v>
          </cell>
        </row>
        <row r="20">
          <cell r="A20" t="str">
            <v>ADD</v>
          </cell>
          <cell r="B20" t="str">
            <v>198820</v>
          </cell>
          <cell r="C20">
            <v>95</v>
          </cell>
          <cell r="D20">
            <v>49</v>
          </cell>
          <cell r="E20">
            <v>46</v>
          </cell>
        </row>
        <row r="21">
          <cell r="A21" t="str">
            <v>ADD</v>
          </cell>
          <cell r="B21" t="str">
            <v>198910</v>
          </cell>
          <cell r="C21">
            <v>53</v>
          </cell>
          <cell r="D21">
            <v>32</v>
          </cell>
          <cell r="E21">
            <v>21</v>
          </cell>
        </row>
        <row r="22">
          <cell r="A22" t="str">
            <v>ADD</v>
          </cell>
          <cell r="B22" t="str">
            <v>198920</v>
          </cell>
          <cell r="C22">
            <v>117</v>
          </cell>
          <cell r="D22">
            <v>66</v>
          </cell>
          <cell r="E22">
            <v>51</v>
          </cell>
        </row>
        <row r="23">
          <cell r="A23" t="str">
            <v>ADD</v>
          </cell>
          <cell r="B23" t="str">
            <v>199010</v>
          </cell>
          <cell r="C23">
            <v>69</v>
          </cell>
          <cell r="D23">
            <v>35</v>
          </cell>
          <cell r="E23">
            <v>34</v>
          </cell>
        </row>
        <row r="24">
          <cell r="A24" t="str">
            <v>ADD</v>
          </cell>
          <cell r="B24" t="str">
            <v>199020</v>
          </cell>
          <cell r="C24">
            <v>102</v>
          </cell>
          <cell r="D24">
            <v>60</v>
          </cell>
          <cell r="E24">
            <v>42</v>
          </cell>
        </row>
        <row r="25">
          <cell r="A25" t="str">
            <v>ADD</v>
          </cell>
          <cell r="B25" t="str">
            <v>199110</v>
          </cell>
          <cell r="C25">
            <v>83</v>
          </cell>
          <cell r="D25">
            <v>44</v>
          </cell>
          <cell r="E25">
            <v>39</v>
          </cell>
        </row>
        <row r="26">
          <cell r="A26" t="str">
            <v>ADD</v>
          </cell>
          <cell r="B26" t="str">
            <v>199120</v>
          </cell>
          <cell r="C26">
            <v>92</v>
          </cell>
          <cell r="D26">
            <v>38</v>
          </cell>
          <cell r="E26">
            <v>54</v>
          </cell>
        </row>
        <row r="27">
          <cell r="A27" t="str">
            <v>ADD</v>
          </cell>
          <cell r="B27" t="str">
            <v>199210</v>
          </cell>
          <cell r="C27">
            <v>83</v>
          </cell>
          <cell r="D27">
            <v>42</v>
          </cell>
          <cell r="E27">
            <v>41</v>
          </cell>
        </row>
        <row r="28">
          <cell r="A28" t="str">
            <v>ADD</v>
          </cell>
          <cell r="B28" t="str">
            <v>199220</v>
          </cell>
          <cell r="C28">
            <v>126</v>
          </cell>
          <cell r="D28">
            <v>54</v>
          </cell>
          <cell r="E28">
            <v>72</v>
          </cell>
        </row>
        <row r="29">
          <cell r="A29" t="str">
            <v>ADD</v>
          </cell>
          <cell r="B29" t="str">
            <v>199310</v>
          </cell>
          <cell r="C29">
            <v>74</v>
          </cell>
          <cell r="D29">
            <v>38</v>
          </cell>
          <cell r="E29">
            <v>36</v>
          </cell>
        </row>
        <row r="30">
          <cell r="A30" t="str">
            <v>ADD</v>
          </cell>
          <cell r="B30" t="str">
            <v>199320</v>
          </cell>
          <cell r="C30">
            <v>109</v>
          </cell>
          <cell r="D30">
            <v>44</v>
          </cell>
          <cell r="E30">
            <v>65</v>
          </cell>
        </row>
        <row r="31">
          <cell r="A31" t="str">
            <v>ADD</v>
          </cell>
          <cell r="B31" t="str">
            <v>199410</v>
          </cell>
          <cell r="C31">
            <v>75</v>
          </cell>
          <cell r="D31">
            <v>40</v>
          </cell>
          <cell r="E31">
            <v>35</v>
          </cell>
        </row>
        <row r="32">
          <cell r="A32" t="str">
            <v>ADD</v>
          </cell>
          <cell r="B32" t="str">
            <v>199420</v>
          </cell>
          <cell r="C32">
            <v>124</v>
          </cell>
          <cell r="D32">
            <v>51</v>
          </cell>
          <cell r="E32">
            <v>73</v>
          </cell>
        </row>
        <row r="33">
          <cell r="A33" t="str">
            <v>ADD</v>
          </cell>
          <cell r="B33" t="str">
            <v>199510</v>
          </cell>
          <cell r="C33">
            <v>92</v>
          </cell>
          <cell r="D33">
            <v>49</v>
          </cell>
          <cell r="E33">
            <v>43</v>
          </cell>
        </row>
        <row r="34">
          <cell r="A34" t="str">
            <v>ADD</v>
          </cell>
          <cell r="B34" t="str">
            <v>199520</v>
          </cell>
          <cell r="C34">
            <v>135</v>
          </cell>
          <cell r="D34">
            <v>63</v>
          </cell>
          <cell r="E34">
            <v>72</v>
          </cell>
        </row>
        <row r="35">
          <cell r="A35" t="str">
            <v>ADD</v>
          </cell>
          <cell r="B35" t="str">
            <v>199610</v>
          </cell>
          <cell r="C35">
            <v>80</v>
          </cell>
          <cell r="D35">
            <v>37</v>
          </cell>
          <cell r="E35">
            <v>43</v>
          </cell>
        </row>
        <row r="36">
          <cell r="A36" t="str">
            <v>ADD</v>
          </cell>
          <cell r="B36" t="str">
            <v>199620</v>
          </cell>
          <cell r="C36">
            <v>118</v>
          </cell>
          <cell r="D36">
            <v>59</v>
          </cell>
          <cell r="E36">
            <v>59</v>
          </cell>
        </row>
        <row r="37">
          <cell r="A37" t="str">
            <v>ADD</v>
          </cell>
          <cell r="B37" t="str">
            <v>199710</v>
          </cell>
          <cell r="C37">
            <v>48</v>
          </cell>
          <cell r="D37">
            <v>32</v>
          </cell>
          <cell r="E37">
            <v>16</v>
          </cell>
        </row>
        <row r="38">
          <cell r="A38" t="str">
            <v>ADD</v>
          </cell>
          <cell r="B38" t="str">
            <v>199720</v>
          </cell>
          <cell r="C38">
            <v>90</v>
          </cell>
          <cell r="D38">
            <v>42</v>
          </cell>
          <cell r="E38">
            <v>48</v>
          </cell>
        </row>
        <row r="39">
          <cell r="A39" t="str">
            <v>ADD</v>
          </cell>
          <cell r="B39" t="str">
            <v>199810</v>
          </cell>
          <cell r="C39">
            <v>53</v>
          </cell>
          <cell r="D39">
            <v>33</v>
          </cell>
          <cell r="E39">
            <v>20</v>
          </cell>
        </row>
        <row r="40">
          <cell r="A40" t="str">
            <v>ADD</v>
          </cell>
          <cell r="B40" t="str">
            <v>199820</v>
          </cell>
          <cell r="C40">
            <v>45</v>
          </cell>
          <cell r="D40">
            <v>25</v>
          </cell>
          <cell r="E40">
            <v>20</v>
          </cell>
        </row>
        <row r="41">
          <cell r="A41" t="str">
            <v>ADD</v>
          </cell>
          <cell r="B41" t="str">
            <v>199910</v>
          </cell>
          <cell r="C41">
            <v>30</v>
          </cell>
          <cell r="D41">
            <v>13</v>
          </cell>
          <cell r="E41">
            <v>17</v>
          </cell>
        </row>
        <row r="42">
          <cell r="A42" t="str">
            <v>ADD</v>
          </cell>
          <cell r="B42" t="str">
            <v>199920</v>
          </cell>
          <cell r="C42">
            <v>45</v>
          </cell>
          <cell r="D42">
            <v>25</v>
          </cell>
          <cell r="E42">
            <v>20</v>
          </cell>
        </row>
        <row r="43">
          <cell r="A43" t="str">
            <v>ADD</v>
          </cell>
          <cell r="B43" t="str">
            <v>200010</v>
          </cell>
          <cell r="C43">
            <v>23</v>
          </cell>
          <cell r="D43">
            <v>14</v>
          </cell>
          <cell r="E43">
            <v>9</v>
          </cell>
        </row>
        <row r="44">
          <cell r="A44" t="str">
            <v>ADD</v>
          </cell>
          <cell r="B44" t="str">
            <v>200020</v>
          </cell>
          <cell r="C44">
            <v>44</v>
          </cell>
          <cell r="D44">
            <v>21</v>
          </cell>
          <cell r="E44">
            <v>23</v>
          </cell>
        </row>
        <row r="45">
          <cell r="A45" t="str">
            <v>ADD</v>
          </cell>
          <cell r="B45" t="str">
            <v>200110</v>
          </cell>
          <cell r="C45">
            <v>15</v>
          </cell>
          <cell r="D45">
            <v>6</v>
          </cell>
          <cell r="E45">
            <v>9</v>
          </cell>
        </row>
        <row r="46">
          <cell r="A46" t="str">
            <v>ADD</v>
          </cell>
          <cell r="B46" t="str">
            <v>200120</v>
          </cell>
          <cell r="C46">
            <v>40</v>
          </cell>
          <cell r="D46">
            <v>18</v>
          </cell>
          <cell r="E46">
            <v>21</v>
          </cell>
        </row>
        <row r="47">
          <cell r="A47" t="str">
            <v>ADD</v>
          </cell>
          <cell r="B47" t="str">
            <v>200210</v>
          </cell>
          <cell r="C47">
            <v>26</v>
          </cell>
          <cell r="D47">
            <v>12</v>
          </cell>
          <cell r="E47">
            <v>14</v>
          </cell>
        </row>
        <row r="48">
          <cell r="A48" t="str">
            <v>ADD</v>
          </cell>
          <cell r="B48" t="str">
            <v>200220</v>
          </cell>
          <cell r="C48">
            <v>53</v>
          </cell>
          <cell r="D48">
            <v>26</v>
          </cell>
          <cell r="E48">
            <v>27</v>
          </cell>
        </row>
        <row r="49">
          <cell r="A49" t="str">
            <v>ADD</v>
          </cell>
          <cell r="B49" t="str">
            <v>200310</v>
          </cell>
          <cell r="C49">
            <v>35</v>
          </cell>
          <cell r="D49">
            <v>22</v>
          </cell>
          <cell r="E49">
            <v>13</v>
          </cell>
        </row>
        <row r="50">
          <cell r="A50" t="str">
            <v>ADD</v>
          </cell>
          <cell r="B50" t="str">
            <v>200320</v>
          </cell>
          <cell r="C50">
            <v>72</v>
          </cell>
          <cell r="D50">
            <v>40</v>
          </cell>
          <cell r="E50">
            <v>32</v>
          </cell>
        </row>
        <row r="51">
          <cell r="A51" t="str">
            <v>ADD</v>
          </cell>
          <cell r="B51" t="str">
            <v>200410</v>
          </cell>
          <cell r="C51">
            <v>44</v>
          </cell>
          <cell r="D51">
            <v>21</v>
          </cell>
          <cell r="E51">
            <v>23</v>
          </cell>
        </row>
        <row r="52">
          <cell r="A52" t="str">
            <v>ADD</v>
          </cell>
          <cell r="B52" t="str">
            <v>200420</v>
          </cell>
          <cell r="C52">
            <v>95</v>
          </cell>
          <cell r="D52">
            <v>61</v>
          </cell>
          <cell r="E52">
            <v>34</v>
          </cell>
        </row>
        <row r="53">
          <cell r="A53" t="str">
            <v>ADD</v>
          </cell>
          <cell r="B53" t="str">
            <v>200510</v>
          </cell>
          <cell r="C53">
            <v>33</v>
          </cell>
          <cell r="D53">
            <v>17</v>
          </cell>
          <cell r="E53">
            <v>16</v>
          </cell>
        </row>
        <row r="54">
          <cell r="A54" t="str">
            <v>ADD</v>
          </cell>
          <cell r="B54" t="str">
            <v>200520</v>
          </cell>
          <cell r="C54">
            <v>97</v>
          </cell>
          <cell r="D54">
            <v>39</v>
          </cell>
          <cell r="E54">
            <v>58</v>
          </cell>
        </row>
        <row r="55">
          <cell r="A55" t="str">
            <v>ADD</v>
          </cell>
          <cell r="B55" t="str">
            <v>200610</v>
          </cell>
          <cell r="C55">
            <v>55</v>
          </cell>
          <cell r="D55">
            <v>30</v>
          </cell>
          <cell r="E55">
            <v>25</v>
          </cell>
        </row>
        <row r="56">
          <cell r="A56" t="str">
            <v>ADD</v>
          </cell>
          <cell r="B56" t="str">
            <v>200620</v>
          </cell>
          <cell r="C56">
            <v>94</v>
          </cell>
          <cell r="D56">
            <v>44</v>
          </cell>
          <cell r="E56">
            <v>50</v>
          </cell>
        </row>
        <row r="57">
          <cell r="A57" t="str">
            <v>ADD</v>
          </cell>
          <cell r="B57" t="str">
            <v>200710</v>
          </cell>
          <cell r="C57">
            <v>48</v>
          </cell>
          <cell r="D57">
            <v>26</v>
          </cell>
          <cell r="E57">
            <v>22</v>
          </cell>
        </row>
        <row r="58">
          <cell r="A58" t="str">
            <v>ADD</v>
          </cell>
          <cell r="B58" t="str">
            <v>200720</v>
          </cell>
          <cell r="C58">
            <v>105</v>
          </cell>
          <cell r="D58">
            <v>39</v>
          </cell>
          <cell r="E58">
            <v>66</v>
          </cell>
        </row>
        <row r="59">
          <cell r="A59" t="str">
            <v>ADD</v>
          </cell>
          <cell r="B59" t="str">
            <v>200810</v>
          </cell>
          <cell r="C59">
            <v>53</v>
          </cell>
          <cell r="D59">
            <v>25</v>
          </cell>
          <cell r="E59">
            <v>28</v>
          </cell>
        </row>
        <row r="60">
          <cell r="A60" t="str">
            <v>ADD</v>
          </cell>
          <cell r="B60" t="str">
            <v>200820</v>
          </cell>
          <cell r="C60">
            <v>100</v>
          </cell>
          <cell r="D60">
            <v>43</v>
          </cell>
          <cell r="E60">
            <v>56</v>
          </cell>
        </row>
        <row r="61">
          <cell r="A61" t="str">
            <v>ADD</v>
          </cell>
          <cell r="B61" t="str">
            <v>200910</v>
          </cell>
          <cell r="C61">
            <v>57</v>
          </cell>
          <cell r="D61">
            <v>26</v>
          </cell>
          <cell r="E61">
            <v>31</v>
          </cell>
        </row>
        <row r="62">
          <cell r="A62" t="str">
            <v>ADD</v>
          </cell>
          <cell r="B62" t="str">
            <v>200920</v>
          </cell>
          <cell r="C62">
            <v>80</v>
          </cell>
          <cell r="D62">
            <v>37</v>
          </cell>
          <cell r="E62">
            <v>43</v>
          </cell>
        </row>
        <row r="63">
          <cell r="A63" t="str">
            <v>ADD</v>
          </cell>
          <cell r="B63" t="str">
            <v>201010</v>
          </cell>
          <cell r="C63">
            <v>59</v>
          </cell>
          <cell r="D63">
            <v>26</v>
          </cell>
          <cell r="E63">
            <v>33</v>
          </cell>
        </row>
        <row r="64">
          <cell r="A64" t="str">
            <v>ADD</v>
          </cell>
          <cell r="B64" t="str">
            <v>201020</v>
          </cell>
          <cell r="C64">
            <v>82</v>
          </cell>
          <cell r="D64">
            <v>34</v>
          </cell>
          <cell r="E64">
            <v>48</v>
          </cell>
        </row>
        <row r="65">
          <cell r="A65" t="str">
            <v>ADD</v>
          </cell>
          <cell r="B65" t="str">
            <v>201110</v>
          </cell>
          <cell r="C65">
            <v>60</v>
          </cell>
          <cell r="D65">
            <v>29</v>
          </cell>
          <cell r="E65">
            <v>31</v>
          </cell>
        </row>
        <row r="66">
          <cell r="A66" t="str">
            <v>ADD</v>
          </cell>
          <cell r="B66" t="str">
            <v>201120</v>
          </cell>
          <cell r="C66">
            <v>83</v>
          </cell>
          <cell r="D66">
            <v>24</v>
          </cell>
          <cell r="E66">
            <v>59</v>
          </cell>
        </row>
        <row r="67">
          <cell r="A67" t="str">
            <v>ADD</v>
          </cell>
          <cell r="B67" t="str">
            <v>201210</v>
          </cell>
          <cell r="C67">
            <v>51</v>
          </cell>
          <cell r="D67">
            <v>10</v>
          </cell>
          <cell r="E67">
            <v>41</v>
          </cell>
        </row>
        <row r="68">
          <cell r="A68" t="str">
            <v>ADD</v>
          </cell>
          <cell r="B68" t="str">
            <v>201220</v>
          </cell>
          <cell r="C68">
            <v>68</v>
          </cell>
          <cell r="D68">
            <v>21</v>
          </cell>
          <cell r="E68">
            <v>47</v>
          </cell>
        </row>
        <row r="69">
          <cell r="A69" t="str">
            <v>ADD</v>
          </cell>
          <cell r="B69" t="str">
            <v>201310</v>
          </cell>
          <cell r="C69">
            <v>72</v>
          </cell>
          <cell r="D69">
            <v>24</v>
          </cell>
          <cell r="E69">
            <v>48</v>
          </cell>
        </row>
        <row r="70">
          <cell r="A70" t="str">
            <v>ADD</v>
          </cell>
          <cell r="B70" t="str">
            <v>201320</v>
          </cell>
          <cell r="C70">
            <v>65</v>
          </cell>
          <cell r="D70">
            <v>25</v>
          </cell>
          <cell r="E70">
            <v>40</v>
          </cell>
        </row>
        <row r="71">
          <cell r="A71" t="str">
            <v>ADD</v>
          </cell>
          <cell r="B71" t="str">
            <v>201410</v>
          </cell>
          <cell r="C71">
            <v>71</v>
          </cell>
          <cell r="D71">
            <v>29</v>
          </cell>
          <cell r="E71">
            <v>42</v>
          </cell>
        </row>
        <row r="72">
          <cell r="A72" t="str">
            <v>ADD</v>
          </cell>
          <cell r="B72" t="str">
            <v>201420</v>
          </cell>
          <cell r="C72">
            <v>92</v>
          </cell>
          <cell r="D72">
            <v>32</v>
          </cell>
          <cell r="E72">
            <v>60</v>
          </cell>
        </row>
        <row r="73">
          <cell r="A73" t="str">
            <v>ADD</v>
          </cell>
          <cell r="B73" t="str">
            <v>201510</v>
          </cell>
          <cell r="C73">
            <v>60</v>
          </cell>
          <cell r="D73">
            <v>21</v>
          </cell>
          <cell r="E73">
            <v>39</v>
          </cell>
        </row>
        <row r="74">
          <cell r="A74" t="str">
            <v>ADD</v>
          </cell>
          <cell r="B74" t="str">
            <v>201520</v>
          </cell>
          <cell r="C74">
            <v>93</v>
          </cell>
          <cell r="D74">
            <v>30</v>
          </cell>
          <cell r="E74">
            <v>62</v>
          </cell>
        </row>
        <row r="75">
          <cell r="A75" t="str">
            <v>ADD</v>
          </cell>
          <cell r="B75" t="str">
            <v>201610</v>
          </cell>
          <cell r="C75">
            <v>88</v>
          </cell>
          <cell r="D75">
            <v>37</v>
          </cell>
          <cell r="E75">
            <v>49</v>
          </cell>
        </row>
        <row r="76">
          <cell r="A76" t="str">
            <v>ADD</v>
          </cell>
          <cell r="B76" t="str">
            <v>201620</v>
          </cell>
          <cell r="C76">
            <v>107</v>
          </cell>
          <cell r="D76">
            <v>38</v>
          </cell>
          <cell r="E76">
            <v>63</v>
          </cell>
        </row>
        <row r="77">
          <cell r="A77" t="str">
            <v>ADD</v>
          </cell>
          <cell r="B77" t="str">
            <v>201710</v>
          </cell>
          <cell r="C77">
            <v>63</v>
          </cell>
          <cell r="D77">
            <v>15</v>
          </cell>
          <cell r="E77">
            <v>47</v>
          </cell>
        </row>
        <row r="78">
          <cell r="A78" t="str">
            <v>ADD</v>
          </cell>
          <cell r="B78" t="str">
            <v>201720</v>
          </cell>
          <cell r="C78">
            <v>93</v>
          </cell>
          <cell r="D78">
            <v>30</v>
          </cell>
          <cell r="E78">
            <v>52</v>
          </cell>
        </row>
        <row r="79">
          <cell r="A79" t="str">
            <v>ADD</v>
          </cell>
          <cell r="B79" t="str">
            <v>201810</v>
          </cell>
          <cell r="C79">
            <v>72</v>
          </cell>
          <cell r="D79">
            <v>26</v>
          </cell>
          <cell r="E79">
            <v>33</v>
          </cell>
        </row>
        <row r="80">
          <cell r="A80" t="str">
            <v>ADD</v>
          </cell>
          <cell r="B80" t="str">
            <v>201820</v>
          </cell>
          <cell r="C80">
            <v>74</v>
          </cell>
          <cell r="D80">
            <v>22</v>
          </cell>
          <cell r="E80">
            <v>27</v>
          </cell>
        </row>
        <row r="81">
          <cell r="A81" t="str">
            <v>ADD</v>
          </cell>
          <cell r="B81" t="str">
            <v>201910</v>
          </cell>
          <cell r="C81">
            <v>44</v>
          </cell>
          <cell r="D81">
            <v>15</v>
          </cell>
          <cell r="E81">
            <v>3</v>
          </cell>
        </row>
        <row r="82">
          <cell r="A82" t="str">
            <v>ADD</v>
          </cell>
          <cell r="B82" t="str">
            <v>201920</v>
          </cell>
          <cell r="C82">
            <v>50</v>
          </cell>
          <cell r="D82">
            <v>14</v>
          </cell>
          <cell r="E82">
            <v>0</v>
          </cell>
        </row>
        <row r="83">
          <cell r="A83" t="str">
            <v>ADD</v>
          </cell>
          <cell r="B83" t="str">
            <v>202010</v>
          </cell>
          <cell r="C83">
            <v>47</v>
          </cell>
          <cell r="D83">
            <v>7</v>
          </cell>
          <cell r="E83">
            <v>3</v>
          </cell>
        </row>
        <row r="84">
          <cell r="A84" t="str">
            <v>ADD</v>
          </cell>
          <cell r="B84" t="str">
            <v>202020</v>
          </cell>
          <cell r="C84">
            <v>54</v>
          </cell>
          <cell r="D84">
            <v>13</v>
          </cell>
          <cell r="E84">
            <v>5</v>
          </cell>
        </row>
        <row r="85">
          <cell r="A85" t="str">
            <v>ADD</v>
          </cell>
          <cell r="B85" t="str">
            <v>202110</v>
          </cell>
          <cell r="C85">
            <v>43</v>
          </cell>
          <cell r="D85">
            <v>6</v>
          </cell>
          <cell r="E85">
            <v>1</v>
          </cell>
        </row>
        <row r="86">
          <cell r="A86" t="str">
            <v>ADD</v>
          </cell>
          <cell r="B86" t="str">
            <v>202120</v>
          </cell>
          <cell r="C86">
            <v>38</v>
          </cell>
          <cell r="D86">
            <v>10</v>
          </cell>
          <cell r="E86">
            <v>0</v>
          </cell>
        </row>
        <row r="87">
          <cell r="A87" t="str">
            <v>ADD</v>
          </cell>
          <cell r="B87" t="str">
            <v>202210</v>
          </cell>
          <cell r="C87">
            <v>64</v>
          </cell>
          <cell r="D87">
            <v>18</v>
          </cell>
          <cell r="E87">
            <v>0</v>
          </cell>
        </row>
        <row r="88">
          <cell r="A88" t="str">
            <v>ADD</v>
          </cell>
          <cell r="B88" t="str">
            <v>202220</v>
          </cell>
          <cell r="C88">
            <v>40</v>
          </cell>
          <cell r="D88">
            <v>8</v>
          </cell>
          <cell r="E88">
            <v>0</v>
          </cell>
        </row>
        <row r="89">
          <cell r="A89" t="str">
            <v>ADD</v>
          </cell>
          <cell r="B89" t="str">
            <v>202310</v>
          </cell>
          <cell r="C89">
            <v>41</v>
          </cell>
          <cell r="D89">
            <v>5</v>
          </cell>
          <cell r="E89">
            <v>0</v>
          </cell>
        </row>
        <row r="90">
          <cell r="A90" t="str">
            <v>ADD</v>
          </cell>
          <cell r="B90" t="str">
            <v>202320</v>
          </cell>
          <cell r="C90">
            <v>1</v>
          </cell>
          <cell r="D90">
            <v>0</v>
          </cell>
          <cell r="E90">
            <v>0</v>
          </cell>
        </row>
        <row r="91">
          <cell r="A91" t="str">
            <v>ADN</v>
          </cell>
          <cell r="B91" t="str">
            <v>198010</v>
          </cell>
          <cell r="C91">
            <v>31</v>
          </cell>
          <cell r="D91">
            <v>19</v>
          </cell>
          <cell r="E91">
            <v>12</v>
          </cell>
        </row>
        <row r="92">
          <cell r="A92" t="str">
            <v>ADN</v>
          </cell>
          <cell r="B92" t="str">
            <v>198020</v>
          </cell>
          <cell r="C92">
            <v>2</v>
          </cell>
          <cell r="D92">
            <v>2</v>
          </cell>
          <cell r="E92">
            <v>0</v>
          </cell>
        </row>
        <row r="93">
          <cell r="A93" t="str">
            <v>ADN</v>
          </cell>
          <cell r="B93" t="str">
            <v>198110</v>
          </cell>
          <cell r="C93">
            <v>49</v>
          </cell>
          <cell r="D93">
            <v>30</v>
          </cell>
          <cell r="E93">
            <v>19</v>
          </cell>
        </row>
        <row r="94">
          <cell r="A94" t="str">
            <v>ADN</v>
          </cell>
          <cell r="B94" t="str">
            <v>198120</v>
          </cell>
          <cell r="C94">
            <v>10</v>
          </cell>
          <cell r="D94">
            <v>8</v>
          </cell>
          <cell r="E94">
            <v>2</v>
          </cell>
        </row>
        <row r="95">
          <cell r="A95" t="str">
            <v>ADN</v>
          </cell>
          <cell r="B95" t="str">
            <v>198210</v>
          </cell>
          <cell r="C95">
            <v>45</v>
          </cell>
          <cell r="D95">
            <v>31</v>
          </cell>
          <cell r="E95">
            <v>14</v>
          </cell>
        </row>
        <row r="96">
          <cell r="A96" t="str">
            <v>ADN</v>
          </cell>
          <cell r="B96" t="str">
            <v>198220</v>
          </cell>
          <cell r="C96">
            <v>56</v>
          </cell>
          <cell r="D96">
            <v>44</v>
          </cell>
          <cell r="E96">
            <v>12</v>
          </cell>
        </row>
        <row r="97">
          <cell r="A97" t="str">
            <v>ADN</v>
          </cell>
          <cell r="B97" t="str">
            <v>198310</v>
          </cell>
          <cell r="C97">
            <v>58</v>
          </cell>
          <cell r="D97">
            <v>43</v>
          </cell>
          <cell r="E97">
            <v>15</v>
          </cell>
        </row>
        <row r="98">
          <cell r="A98" t="str">
            <v>ADN</v>
          </cell>
          <cell r="B98" t="str">
            <v>198320</v>
          </cell>
          <cell r="C98">
            <v>57</v>
          </cell>
          <cell r="D98">
            <v>36</v>
          </cell>
          <cell r="E98">
            <v>21</v>
          </cell>
        </row>
        <row r="99">
          <cell r="A99" t="str">
            <v>ADN</v>
          </cell>
          <cell r="B99" t="str">
            <v>198410</v>
          </cell>
          <cell r="C99">
            <v>64</v>
          </cell>
          <cell r="D99">
            <v>39</v>
          </cell>
          <cell r="E99">
            <v>25</v>
          </cell>
        </row>
        <row r="100">
          <cell r="A100" t="str">
            <v>ADN</v>
          </cell>
          <cell r="B100" t="str">
            <v>198420</v>
          </cell>
          <cell r="C100">
            <v>67</v>
          </cell>
          <cell r="D100">
            <v>39</v>
          </cell>
          <cell r="E100">
            <v>28</v>
          </cell>
        </row>
        <row r="101">
          <cell r="A101" t="str">
            <v>ADN</v>
          </cell>
          <cell r="B101" t="str">
            <v>198510</v>
          </cell>
          <cell r="C101">
            <v>69</v>
          </cell>
          <cell r="D101">
            <v>43</v>
          </cell>
          <cell r="E101">
            <v>26</v>
          </cell>
        </row>
        <row r="102">
          <cell r="A102" t="str">
            <v>ADN</v>
          </cell>
          <cell r="B102" t="str">
            <v>198520</v>
          </cell>
          <cell r="C102">
            <v>82</v>
          </cell>
          <cell r="D102">
            <v>48</v>
          </cell>
          <cell r="E102">
            <v>34</v>
          </cell>
        </row>
        <row r="103">
          <cell r="A103" t="str">
            <v>ADN</v>
          </cell>
          <cell r="B103" t="str">
            <v>198610</v>
          </cell>
          <cell r="C103">
            <v>63</v>
          </cell>
          <cell r="D103">
            <v>36</v>
          </cell>
          <cell r="E103">
            <v>27</v>
          </cell>
        </row>
        <row r="104">
          <cell r="A104" t="str">
            <v>ADN</v>
          </cell>
          <cell r="B104" t="str">
            <v>198620</v>
          </cell>
          <cell r="C104">
            <v>63</v>
          </cell>
          <cell r="D104">
            <v>30</v>
          </cell>
          <cell r="E104">
            <v>33</v>
          </cell>
        </row>
        <row r="105">
          <cell r="A105" t="str">
            <v>ADN</v>
          </cell>
          <cell r="B105" t="str">
            <v>198710</v>
          </cell>
          <cell r="C105">
            <v>76</v>
          </cell>
          <cell r="D105">
            <v>40</v>
          </cell>
          <cell r="E105">
            <v>36</v>
          </cell>
        </row>
        <row r="106">
          <cell r="A106" t="str">
            <v>ADN</v>
          </cell>
          <cell r="B106" t="str">
            <v>198720</v>
          </cell>
          <cell r="C106">
            <v>89</v>
          </cell>
          <cell r="D106">
            <v>54</v>
          </cell>
          <cell r="E106">
            <v>35</v>
          </cell>
        </row>
        <row r="107">
          <cell r="A107" t="str">
            <v>ADN</v>
          </cell>
          <cell r="B107" t="str">
            <v>198810</v>
          </cell>
          <cell r="C107">
            <v>108</v>
          </cell>
          <cell r="D107">
            <v>61</v>
          </cell>
          <cell r="E107">
            <v>47</v>
          </cell>
        </row>
        <row r="108">
          <cell r="A108" t="str">
            <v>ADN</v>
          </cell>
          <cell r="B108" t="str">
            <v>198820</v>
          </cell>
          <cell r="C108">
            <v>121</v>
          </cell>
          <cell r="D108">
            <v>67</v>
          </cell>
          <cell r="E108">
            <v>54</v>
          </cell>
        </row>
        <row r="109">
          <cell r="A109" t="str">
            <v>ADN</v>
          </cell>
          <cell r="B109" t="str">
            <v>198910</v>
          </cell>
          <cell r="C109">
            <v>115</v>
          </cell>
          <cell r="D109">
            <v>70</v>
          </cell>
          <cell r="E109">
            <v>45</v>
          </cell>
        </row>
        <row r="110">
          <cell r="A110" t="str">
            <v>ADN</v>
          </cell>
          <cell r="B110" t="str">
            <v>198920</v>
          </cell>
          <cell r="C110">
            <v>126</v>
          </cell>
          <cell r="D110">
            <v>65</v>
          </cell>
          <cell r="E110">
            <v>61</v>
          </cell>
        </row>
        <row r="111">
          <cell r="A111" t="str">
            <v>ADN</v>
          </cell>
          <cell r="B111" t="str">
            <v>199010</v>
          </cell>
          <cell r="C111">
            <v>137</v>
          </cell>
          <cell r="D111">
            <v>73</v>
          </cell>
          <cell r="E111">
            <v>64</v>
          </cell>
        </row>
        <row r="112">
          <cell r="A112" t="str">
            <v>ADN</v>
          </cell>
          <cell r="B112" t="str">
            <v>199020</v>
          </cell>
          <cell r="C112">
            <v>109</v>
          </cell>
          <cell r="D112">
            <v>53</v>
          </cell>
          <cell r="E112">
            <v>56</v>
          </cell>
        </row>
        <row r="113">
          <cell r="A113" t="str">
            <v>ADN</v>
          </cell>
          <cell r="B113" t="str">
            <v>199110</v>
          </cell>
          <cell r="C113">
            <v>115</v>
          </cell>
          <cell r="D113">
            <v>56</v>
          </cell>
          <cell r="E113">
            <v>59</v>
          </cell>
        </row>
        <row r="114">
          <cell r="A114" t="str">
            <v>ADN</v>
          </cell>
          <cell r="B114" t="str">
            <v>199120</v>
          </cell>
          <cell r="C114">
            <v>110</v>
          </cell>
          <cell r="D114">
            <v>40</v>
          </cell>
          <cell r="E114">
            <v>70</v>
          </cell>
        </row>
        <row r="115">
          <cell r="A115" t="str">
            <v>ADN</v>
          </cell>
          <cell r="B115" t="str">
            <v>199210</v>
          </cell>
          <cell r="C115">
            <v>111</v>
          </cell>
          <cell r="D115">
            <v>53</v>
          </cell>
          <cell r="E115">
            <v>58</v>
          </cell>
        </row>
        <row r="116">
          <cell r="A116" t="str">
            <v>ADN</v>
          </cell>
          <cell r="B116" t="str">
            <v>199220</v>
          </cell>
          <cell r="C116">
            <v>112</v>
          </cell>
          <cell r="D116">
            <v>62</v>
          </cell>
          <cell r="E116">
            <v>50</v>
          </cell>
        </row>
        <row r="117">
          <cell r="A117" t="str">
            <v>ADN</v>
          </cell>
          <cell r="B117" t="str">
            <v>199310</v>
          </cell>
          <cell r="C117">
            <v>108</v>
          </cell>
          <cell r="D117">
            <v>59</v>
          </cell>
          <cell r="E117">
            <v>49</v>
          </cell>
        </row>
        <row r="118">
          <cell r="A118" t="str">
            <v>ADN</v>
          </cell>
          <cell r="B118" t="str">
            <v>199320</v>
          </cell>
          <cell r="C118">
            <v>98</v>
          </cell>
          <cell r="D118">
            <v>51</v>
          </cell>
          <cell r="E118">
            <v>47</v>
          </cell>
        </row>
        <row r="119">
          <cell r="A119" t="str">
            <v>ADN</v>
          </cell>
          <cell r="B119" t="str">
            <v>199410</v>
          </cell>
          <cell r="C119">
            <v>111</v>
          </cell>
          <cell r="D119">
            <v>53</v>
          </cell>
          <cell r="E119">
            <v>58</v>
          </cell>
        </row>
        <row r="120">
          <cell r="A120" t="str">
            <v>ADN</v>
          </cell>
          <cell r="B120" t="str">
            <v>199420</v>
          </cell>
          <cell r="C120">
            <v>118</v>
          </cell>
          <cell r="D120">
            <v>47</v>
          </cell>
          <cell r="E120">
            <v>71</v>
          </cell>
        </row>
        <row r="121">
          <cell r="A121" t="str">
            <v>ADN</v>
          </cell>
          <cell r="B121" t="str">
            <v>199510</v>
          </cell>
          <cell r="C121">
            <v>127</v>
          </cell>
          <cell r="D121">
            <v>62</v>
          </cell>
          <cell r="E121">
            <v>65</v>
          </cell>
        </row>
        <row r="122">
          <cell r="A122" t="str">
            <v>ADN</v>
          </cell>
          <cell r="B122" t="str">
            <v>199520</v>
          </cell>
          <cell r="C122">
            <v>99</v>
          </cell>
          <cell r="D122">
            <v>53</v>
          </cell>
          <cell r="E122">
            <v>46</v>
          </cell>
        </row>
        <row r="123">
          <cell r="A123" t="str">
            <v>ADN</v>
          </cell>
          <cell r="B123" t="str">
            <v>199610</v>
          </cell>
          <cell r="C123">
            <v>75</v>
          </cell>
          <cell r="D123">
            <v>31</v>
          </cell>
          <cell r="E123">
            <v>44</v>
          </cell>
        </row>
        <row r="124">
          <cell r="A124" t="str">
            <v>ADN</v>
          </cell>
          <cell r="B124" t="str">
            <v>199620</v>
          </cell>
          <cell r="C124">
            <v>75</v>
          </cell>
          <cell r="D124">
            <v>41</v>
          </cell>
          <cell r="E124">
            <v>34</v>
          </cell>
        </row>
        <row r="125">
          <cell r="A125" t="str">
            <v>ADN</v>
          </cell>
          <cell r="B125" t="str">
            <v>199710</v>
          </cell>
          <cell r="C125">
            <v>52</v>
          </cell>
          <cell r="D125">
            <v>19</v>
          </cell>
          <cell r="E125">
            <v>33</v>
          </cell>
        </row>
        <row r="126">
          <cell r="A126" t="str">
            <v>ADN</v>
          </cell>
          <cell r="B126" t="str">
            <v>199720</v>
          </cell>
          <cell r="C126">
            <v>70</v>
          </cell>
          <cell r="D126">
            <v>37</v>
          </cell>
          <cell r="E126">
            <v>33</v>
          </cell>
        </row>
        <row r="127">
          <cell r="A127" t="str">
            <v>ADN</v>
          </cell>
          <cell r="B127" t="str">
            <v>199810</v>
          </cell>
          <cell r="C127">
            <v>57</v>
          </cell>
          <cell r="D127">
            <v>30</v>
          </cell>
          <cell r="E127">
            <v>27</v>
          </cell>
        </row>
        <row r="128">
          <cell r="A128" t="str">
            <v>ADN</v>
          </cell>
          <cell r="B128" t="str">
            <v>199820</v>
          </cell>
          <cell r="C128">
            <v>56</v>
          </cell>
          <cell r="D128">
            <v>29</v>
          </cell>
          <cell r="E128">
            <v>27</v>
          </cell>
        </row>
        <row r="129">
          <cell r="A129" t="str">
            <v>ADN</v>
          </cell>
          <cell r="B129" t="str">
            <v>199910</v>
          </cell>
          <cell r="C129">
            <v>39</v>
          </cell>
          <cell r="D129">
            <v>22</v>
          </cell>
          <cell r="E129">
            <v>17</v>
          </cell>
        </row>
        <row r="130">
          <cell r="A130" t="str">
            <v>ADN</v>
          </cell>
          <cell r="B130" t="str">
            <v>199920</v>
          </cell>
          <cell r="C130">
            <v>42</v>
          </cell>
          <cell r="D130">
            <v>20</v>
          </cell>
          <cell r="E130">
            <v>22</v>
          </cell>
        </row>
        <row r="131">
          <cell r="A131" t="str">
            <v>ADN</v>
          </cell>
          <cell r="B131" t="str">
            <v>200010</v>
          </cell>
          <cell r="C131">
            <v>17</v>
          </cell>
          <cell r="D131">
            <v>6</v>
          </cell>
          <cell r="E131">
            <v>11</v>
          </cell>
        </row>
        <row r="132">
          <cell r="A132" t="str">
            <v>ADN</v>
          </cell>
          <cell r="B132" t="str">
            <v>200020</v>
          </cell>
          <cell r="C132">
            <v>49</v>
          </cell>
          <cell r="D132">
            <v>30</v>
          </cell>
          <cell r="E132">
            <v>19</v>
          </cell>
        </row>
        <row r="133">
          <cell r="A133" t="str">
            <v>ADN</v>
          </cell>
          <cell r="B133" t="str">
            <v>200110</v>
          </cell>
          <cell r="C133">
            <v>41</v>
          </cell>
          <cell r="D133">
            <v>25</v>
          </cell>
          <cell r="E133">
            <v>16</v>
          </cell>
        </row>
        <row r="134">
          <cell r="A134" t="str">
            <v>ADN</v>
          </cell>
          <cell r="B134" t="str">
            <v>200120</v>
          </cell>
          <cell r="C134">
            <v>58</v>
          </cell>
          <cell r="D134">
            <v>34</v>
          </cell>
          <cell r="E134">
            <v>24</v>
          </cell>
        </row>
        <row r="135">
          <cell r="A135" t="str">
            <v>ADN</v>
          </cell>
          <cell r="B135" t="str">
            <v>200210</v>
          </cell>
          <cell r="C135">
            <v>59</v>
          </cell>
          <cell r="D135">
            <v>35</v>
          </cell>
          <cell r="E135">
            <v>24</v>
          </cell>
        </row>
        <row r="136">
          <cell r="A136" t="str">
            <v>ADN</v>
          </cell>
          <cell r="B136" t="str">
            <v>200220</v>
          </cell>
          <cell r="C136">
            <v>58</v>
          </cell>
          <cell r="D136">
            <v>36</v>
          </cell>
          <cell r="E136">
            <v>22</v>
          </cell>
        </row>
        <row r="137">
          <cell r="A137" t="str">
            <v>ADN</v>
          </cell>
          <cell r="B137" t="str">
            <v>200310</v>
          </cell>
          <cell r="C137">
            <v>66</v>
          </cell>
          <cell r="D137">
            <v>49</v>
          </cell>
          <cell r="E137">
            <v>16</v>
          </cell>
        </row>
        <row r="138">
          <cell r="A138" t="str">
            <v>ADN</v>
          </cell>
          <cell r="B138" t="str">
            <v>200320</v>
          </cell>
          <cell r="C138">
            <v>78</v>
          </cell>
          <cell r="D138">
            <v>54</v>
          </cell>
          <cell r="E138">
            <v>24</v>
          </cell>
        </row>
        <row r="139">
          <cell r="A139" t="str">
            <v>ADN</v>
          </cell>
          <cell r="B139" t="str">
            <v>200410</v>
          </cell>
          <cell r="C139">
            <v>50</v>
          </cell>
          <cell r="D139">
            <v>27</v>
          </cell>
          <cell r="E139">
            <v>23</v>
          </cell>
        </row>
        <row r="140">
          <cell r="A140" t="str">
            <v>ADN</v>
          </cell>
          <cell r="B140" t="str">
            <v>200420</v>
          </cell>
          <cell r="C140">
            <v>76</v>
          </cell>
          <cell r="D140">
            <v>51</v>
          </cell>
          <cell r="E140">
            <v>25</v>
          </cell>
        </row>
        <row r="141">
          <cell r="A141" t="str">
            <v>ADN</v>
          </cell>
          <cell r="B141" t="str">
            <v>200510</v>
          </cell>
          <cell r="C141">
            <v>60</v>
          </cell>
          <cell r="D141">
            <v>49</v>
          </cell>
          <cell r="E141">
            <v>11</v>
          </cell>
        </row>
        <row r="142">
          <cell r="A142" t="str">
            <v>ADN</v>
          </cell>
          <cell r="B142" t="str">
            <v>200520</v>
          </cell>
          <cell r="C142">
            <v>97</v>
          </cell>
          <cell r="D142">
            <v>72</v>
          </cell>
          <cell r="E142">
            <v>25</v>
          </cell>
        </row>
        <row r="143">
          <cell r="A143" t="str">
            <v>ADN</v>
          </cell>
          <cell r="B143" t="str">
            <v>200610</v>
          </cell>
          <cell r="C143">
            <v>64</v>
          </cell>
          <cell r="D143">
            <v>43</v>
          </cell>
          <cell r="E143">
            <v>21</v>
          </cell>
        </row>
        <row r="144">
          <cell r="A144" t="str">
            <v>ADN</v>
          </cell>
          <cell r="B144" t="str">
            <v>200620</v>
          </cell>
          <cell r="C144">
            <v>87</v>
          </cell>
          <cell r="D144">
            <v>57</v>
          </cell>
          <cell r="E144">
            <v>30</v>
          </cell>
        </row>
        <row r="145">
          <cell r="A145" t="str">
            <v>ADN</v>
          </cell>
          <cell r="B145" t="str">
            <v>200710</v>
          </cell>
          <cell r="C145">
            <v>61</v>
          </cell>
          <cell r="D145">
            <v>36</v>
          </cell>
          <cell r="E145">
            <v>25</v>
          </cell>
        </row>
        <row r="146">
          <cell r="A146" t="str">
            <v>ADN</v>
          </cell>
          <cell r="B146" t="str">
            <v>200720</v>
          </cell>
          <cell r="C146">
            <v>65</v>
          </cell>
          <cell r="D146">
            <v>51</v>
          </cell>
          <cell r="E146">
            <v>14</v>
          </cell>
        </row>
        <row r="147">
          <cell r="A147" t="str">
            <v>ADN</v>
          </cell>
          <cell r="B147" t="str">
            <v>200810</v>
          </cell>
          <cell r="C147">
            <v>47</v>
          </cell>
          <cell r="D147">
            <v>31</v>
          </cell>
          <cell r="E147">
            <v>16</v>
          </cell>
        </row>
        <row r="148">
          <cell r="A148" t="str">
            <v>ADN</v>
          </cell>
          <cell r="B148" t="str">
            <v>200820</v>
          </cell>
          <cell r="C148">
            <v>49</v>
          </cell>
          <cell r="D148">
            <v>37</v>
          </cell>
          <cell r="E148">
            <v>12</v>
          </cell>
        </row>
        <row r="149">
          <cell r="A149" t="str">
            <v>ADN</v>
          </cell>
          <cell r="B149" t="str">
            <v>200910</v>
          </cell>
          <cell r="C149">
            <v>42</v>
          </cell>
          <cell r="D149">
            <v>26</v>
          </cell>
          <cell r="E149">
            <v>16</v>
          </cell>
        </row>
        <row r="150">
          <cell r="A150" t="str">
            <v>ADN</v>
          </cell>
          <cell r="B150" t="str">
            <v>200920</v>
          </cell>
          <cell r="C150">
            <v>35</v>
          </cell>
          <cell r="D150">
            <v>25</v>
          </cell>
          <cell r="E150">
            <v>10</v>
          </cell>
        </row>
        <row r="151">
          <cell r="A151" t="str">
            <v>ADN</v>
          </cell>
          <cell r="B151" t="str">
            <v>201010</v>
          </cell>
          <cell r="C151">
            <v>28</v>
          </cell>
          <cell r="D151">
            <v>15</v>
          </cell>
          <cell r="E151">
            <v>13</v>
          </cell>
        </row>
        <row r="152">
          <cell r="A152" t="str">
            <v>ADN</v>
          </cell>
          <cell r="B152" t="str">
            <v>201020</v>
          </cell>
          <cell r="C152">
            <v>24</v>
          </cell>
          <cell r="D152">
            <v>17</v>
          </cell>
          <cell r="E152">
            <v>7</v>
          </cell>
        </row>
        <row r="153">
          <cell r="A153" t="str">
            <v>ADN</v>
          </cell>
          <cell r="B153" t="str">
            <v>201110</v>
          </cell>
          <cell r="C153">
            <v>38</v>
          </cell>
          <cell r="D153">
            <v>21</v>
          </cell>
          <cell r="E153">
            <v>17</v>
          </cell>
        </row>
        <row r="154">
          <cell r="A154" t="str">
            <v>ADN</v>
          </cell>
          <cell r="B154" t="str">
            <v>201120</v>
          </cell>
          <cell r="C154">
            <v>32</v>
          </cell>
          <cell r="D154">
            <v>20</v>
          </cell>
          <cell r="E154">
            <v>12</v>
          </cell>
        </row>
        <row r="155">
          <cell r="A155" t="str">
            <v>ADN</v>
          </cell>
          <cell r="B155" t="str">
            <v>201210</v>
          </cell>
          <cell r="C155">
            <v>24</v>
          </cell>
          <cell r="D155">
            <v>12</v>
          </cell>
          <cell r="E155">
            <v>12</v>
          </cell>
        </row>
        <row r="156">
          <cell r="A156" t="str">
            <v>ADN</v>
          </cell>
          <cell r="B156" t="str">
            <v>201220</v>
          </cell>
          <cell r="C156">
            <v>30</v>
          </cell>
          <cell r="D156">
            <v>19</v>
          </cell>
          <cell r="E156">
            <v>11</v>
          </cell>
        </row>
        <row r="157">
          <cell r="A157" t="str">
            <v>ADN</v>
          </cell>
          <cell r="B157" t="str">
            <v>201310</v>
          </cell>
          <cell r="C157">
            <v>9</v>
          </cell>
          <cell r="D157">
            <v>6</v>
          </cell>
          <cell r="E157">
            <v>3</v>
          </cell>
        </row>
        <row r="158">
          <cell r="A158" t="str">
            <v>ADN</v>
          </cell>
          <cell r="B158" t="str">
            <v>201320</v>
          </cell>
          <cell r="C158">
            <v>12</v>
          </cell>
          <cell r="D158">
            <v>6</v>
          </cell>
          <cell r="E158">
            <v>6</v>
          </cell>
        </row>
        <row r="159">
          <cell r="A159" t="str">
            <v>ADN</v>
          </cell>
          <cell r="B159" t="str">
            <v>201410</v>
          </cell>
          <cell r="C159">
            <v>12</v>
          </cell>
          <cell r="D159">
            <v>4</v>
          </cell>
          <cell r="E159">
            <v>8</v>
          </cell>
        </row>
        <row r="160">
          <cell r="A160" t="str">
            <v>ADN</v>
          </cell>
          <cell r="B160" t="str">
            <v>201420</v>
          </cell>
          <cell r="C160">
            <v>1</v>
          </cell>
          <cell r="D160">
            <v>0</v>
          </cell>
          <cell r="E160">
            <v>1</v>
          </cell>
        </row>
        <row r="161">
          <cell r="A161" t="str">
            <v>ADN</v>
          </cell>
          <cell r="B161" t="str">
            <v>201510</v>
          </cell>
          <cell r="C161">
            <v>4</v>
          </cell>
          <cell r="D161">
            <v>2</v>
          </cell>
          <cell r="E161">
            <v>2</v>
          </cell>
        </row>
        <row r="162">
          <cell r="A162" t="str">
            <v>ADN</v>
          </cell>
          <cell r="B162" t="str">
            <v>201520</v>
          </cell>
          <cell r="C162">
            <v>1</v>
          </cell>
          <cell r="D162">
            <v>0</v>
          </cell>
          <cell r="E162">
            <v>1</v>
          </cell>
        </row>
        <row r="163">
          <cell r="A163" t="str">
            <v>ANT</v>
          </cell>
          <cell r="B163" t="str">
            <v>200620</v>
          </cell>
          <cell r="C163">
            <v>17</v>
          </cell>
          <cell r="D163">
            <v>11</v>
          </cell>
          <cell r="E163">
            <v>6</v>
          </cell>
        </row>
        <row r="164">
          <cell r="A164" t="str">
            <v>ANT</v>
          </cell>
          <cell r="B164" t="str">
            <v>200710</v>
          </cell>
          <cell r="C164">
            <v>3</v>
          </cell>
          <cell r="D164">
            <v>1</v>
          </cell>
          <cell r="E164">
            <v>2</v>
          </cell>
        </row>
        <row r="165">
          <cell r="A165" t="str">
            <v>ANT</v>
          </cell>
          <cell r="B165" t="str">
            <v>200720</v>
          </cell>
          <cell r="C165">
            <v>7</v>
          </cell>
          <cell r="D165">
            <v>2</v>
          </cell>
          <cell r="E165">
            <v>5</v>
          </cell>
        </row>
        <row r="166">
          <cell r="A166" t="str">
            <v>ANT</v>
          </cell>
          <cell r="B166" t="str">
            <v>200810</v>
          </cell>
          <cell r="C166">
            <v>5</v>
          </cell>
          <cell r="D166">
            <v>2</v>
          </cell>
          <cell r="E166">
            <v>3</v>
          </cell>
        </row>
        <row r="167">
          <cell r="A167" t="str">
            <v>ANT</v>
          </cell>
          <cell r="B167" t="str">
            <v>200820</v>
          </cell>
          <cell r="C167">
            <v>6</v>
          </cell>
          <cell r="D167">
            <v>4</v>
          </cell>
          <cell r="E167">
            <v>2</v>
          </cell>
        </row>
        <row r="168">
          <cell r="A168" t="str">
            <v>ANT</v>
          </cell>
          <cell r="B168" t="str">
            <v>200910</v>
          </cell>
          <cell r="C168">
            <v>4</v>
          </cell>
          <cell r="D168">
            <v>2</v>
          </cell>
          <cell r="E168">
            <v>2</v>
          </cell>
        </row>
        <row r="169">
          <cell r="A169" t="str">
            <v>ANT</v>
          </cell>
          <cell r="B169" t="str">
            <v>200920</v>
          </cell>
          <cell r="C169">
            <v>11</v>
          </cell>
          <cell r="D169">
            <v>3</v>
          </cell>
          <cell r="E169">
            <v>8</v>
          </cell>
        </row>
        <row r="170">
          <cell r="A170" t="str">
            <v>ANT</v>
          </cell>
          <cell r="B170" t="str">
            <v>201010</v>
          </cell>
          <cell r="C170">
            <v>8</v>
          </cell>
          <cell r="D170">
            <v>0</v>
          </cell>
          <cell r="E170">
            <v>8</v>
          </cell>
        </row>
        <row r="171">
          <cell r="A171" t="str">
            <v>ANT</v>
          </cell>
          <cell r="B171" t="str">
            <v>201020</v>
          </cell>
          <cell r="C171">
            <v>5</v>
          </cell>
          <cell r="D171">
            <v>3</v>
          </cell>
          <cell r="E171">
            <v>2</v>
          </cell>
        </row>
        <row r="172">
          <cell r="A172" t="str">
            <v>ANT</v>
          </cell>
          <cell r="B172" t="str">
            <v>201110</v>
          </cell>
          <cell r="C172">
            <v>5</v>
          </cell>
          <cell r="D172">
            <v>3</v>
          </cell>
          <cell r="E172">
            <v>2</v>
          </cell>
        </row>
        <row r="173">
          <cell r="A173" t="str">
            <v>ANT</v>
          </cell>
          <cell r="B173" t="str">
            <v>201120</v>
          </cell>
          <cell r="C173">
            <v>14</v>
          </cell>
          <cell r="D173">
            <v>6</v>
          </cell>
          <cell r="E173">
            <v>8</v>
          </cell>
        </row>
        <row r="174">
          <cell r="A174" t="str">
            <v>ANT</v>
          </cell>
          <cell r="B174" t="str">
            <v>201210</v>
          </cell>
          <cell r="C174">
            <v>4</v>
          </cell>
          <cell r="D174">
            <v>1</v>
          </cell>
          <cell r="E174">
            <v>3</v>
          </cell>
        </row>
        <row r="175">
          <cell r="A175" t="str">
            <v>ANT</v>
          </cell>
          <cell r="B175" t="str">
            <v>201220</v>
          </cell>
          <cell r="C175">
            <v>10</v>
          </cell>
          <cell r="D175">
            <v>5</v>
          </cell>
          <cell r="E175">
            <v>5</v>
          </cell>
        </row>
        <row r="176">
          <cell r="A176" t="str">
            <v>ANT</v>
          </cell>
          <cell r="B176" t="str">
            <v>201310</v>
          </cell>
          <cell r="C176">
            <v>10</v>
          </cell>
          <cell r="D176">
            <v>3</v>
          </cell>
          <cell r="E176">
            <v>7</v>
          </cell>
        </row>
        <row r="177">
          <cell r="A177" t="str">
            <v>ANT</v>
          </cell>
          <cell r="B177" t="str">
            <v>201320</v>
          </cell>
          <cell r="C177">
            <v>17</v>
          </cell>
          <cell r="D177">
            <v>3</v>
          </cell>
          <cell r="E177">
            <v>12</v>
          </cell>
        </row>
        <row r="178">
          <cell r="A178" t="str">
            <v>ANT</v>
          </cell>
          <cell r="B178" t="str">
            <v>201410</v>
          </cell>
          <cell r="C178">
            <v>10</v>
          </cell>
          <cell r="D178">
            <v>1</v>
          </cell>
          <cell r="E178">
            <v>9</v>
          </cell>
        </row>
        <row r="179">
          <cell r="A179" t="str">
            <v>ANT</v>
          </cell>
          <cell r="B179" t="str">
            <v>201420</v>
          </cell>
          <cell r="C179">
            <v>12</v>
          </cell>
          <cell r="D179">
            <v>6</v>
          </cell>
          <cell r="E179">
            <v>6</v>
          </cell>
        </row>
        <row r="180">
          <cell r="A180" t="str">
            <v>ANT</v>
          </cell>
          <cell r="B180" t="str">
            <v>201510</v>
          </cell>
          <cell r="C180">
            <v>7</v>
          </cell>
          <cell r="D180">
            <v>3</v>
          </cell>
          <cell r="E180">
            <v>4</v>
          </cell>
        </row>
        <row r="181">
          <cell r="A181" t="str">
            <v>ANT</v>
          </cell>
          <cell r="B181" t="str">
            <v>201520</v>
          </cell>
          <cell r="C181">
            <v>7</v>
          </cell>
          <cell r="D181">
            <v>3</v>
          </cell>
          <cell r="E181">
            <v>4</v>
          </cell>
        </row>
        <row r="182">
          <cell r="A182" t="str">
            <v>ANT</v>
          </cell>
          <cell r="B182" t="str">
            <v>201610</v>
          </cell>
          <cell r="C182">
            <v>6</v>
          </cell>
          <cell r="D182">
            <v>2</v>
          </cell>
          <cell r="E182">
            <v>4</v>
          </cell>
        </row>
        <row r="183">
          <cell r="A183" t="str">
            <v>ANT</v>
          </cell>
          <cell r="B183" t="str">
            <v>201620</v>
          </cell>
          <cell r="C183">
            <v>5</v>
          </cell>
          <cell r="D183">
            <v>2</v>
          </cell>
          <cell r="E183">
            <v>3</v>
          </cell>
        </row>
        <row r="184">
          <cell r="A184" t="str">
            <v>ANT</v>
          </cell>
          <cell r="B184" t="str">
            <v>201710</v>
          </cell>
          <cell r="C184">
            <v>15</v>
          </cell>
          <cell r="D184">
            <v>6</v>
          </cell>
          <cell r="E184">
            <v>9</v>
          </cell>
        </row>
        <row r="185">
          <cell r="A185" t="str">
            <v>ANT</v>
          </cell>
          <cell r="B185" t="str">
            <v>201720</v>
          </cell>
          <cell r="C185">
            <v>11</v>
          </cell>
          <cell r="D185">
            <v>2</v>
          </cell>
          <cell r="E185">
            <v>7</v>
          </cell>
        </row>
        <row r="186">
          <cell r="A186" t="str">
            <v>ANT</v>
          </cell>
          <cell r="B186" t="str">
            <v>201810</v>
          </cell>
          <cell r="C186">
            <v>9</v>
          </cell>
          <cell r="D186">
            <v>6</v>
          </cell>
          <cell r="E186">
            <v>2</v>
          </cell>
        </row>
        <row r="187">
          <cell r="A187" t="str">
            <v>ANT</v>
          </cell>
          <cell r="B187" t="str">
            <v>201820</v>
          </cell>
          <cell r="C187">
            <v>8</v>
          </cell>
          <cell r="D187">
            <v>3</v>
          </cell>
          <cell r="E187">
            <v>2</v>
          </cell>
        </row>
        <row r="188">
          <cell r="A188" t="str">
            <v>ANT</v>
          </cell>
          <cell r="B188" t="str">
            <v>201910</v>
          </cell>
          <cell r="C188">
            <v>9</v>
          </cell>
          <cell r="D188">
            <v>3</v>
          </cell>
          <cell r="E188">
            <v>0</v>
          </cell>
        </row>
        <row r="189">
          <cell r="A189" t="str">
            <v>ANT</v>
          </cell>
          <cell r="B189" t="str">
            <v>201920</v>
          </cell>
          <cell r="C189">
            <v>2</v>
          </cell>
          <cell r="D189">
            <v>1</v>
          </cell>
          <cell r="E189">
            <v>0</v>
          </cell>
        </row>
        <row r="190">
          <cell r="A190" t="str">
            <v>ANT</v>
          </cell>
          <cell r="B190" t="str">
            <v>202010</v>
          </cell>
          <cell r="C190">
            <v>5</v>
          </cell>
          <cell r="D190">
            <v>1</v>
          </cell>
          <cell r="E190">
            <v>0</v>
          </cell>
        </row>
        <row r="191">
          <cell r="A191" t="str">
            <v>ANT</v>
          </cell>
          <cell r="B191" t="str">
            <v>202020</v>
          </cell>
          <cell r="C191">
            <v>23</v>
          </cell>
          <cell r="D191">
            <v>1</v>
          </cell>
          <cell r="E191">
            <v>0</v>
          </cell>
        </row>
        <row r="192">
          <cell r="A192" t="str">
            <v>ANT</v>
          </cell>
          <cell r="B192" t="str">
            <v>202110</v>
          </cell>
          <cell r="C192">
            <v>7</v>
          </cell>
          <cell r="D192">
            <v>2</v>
          </cell>
          <cell r="E192">
            <v>0</v>
          </cell>
        </row>
        <row r="193">
          <cell r="A193" t="str">
            <v>ANT</v>
          </cell>
          <cell r="B193" t="str">
            <v>202120</v>
          </cell>
          <cell r="C193">
            <v>5</v>
          </cell>
          <cell r="D193">
            <v>3</v>
          </cell>
          <cell r="E193">
            <v>0</v>
          </cell>
        </row>
        <row r="194">
          <cell r="A194" t="str">
            <v>ANT</v>
          </cell>
          <cell r="B194" t="str">
            <v>202210</v>
          </cell>
          <cell r="C194">
            <v>12</v>
          </cell>
          <cell r="D194">
            <v>2</v>
          </cell>
          <cell r="E194">
            <v>0</v>
          </cell>
        </row>
        <row r="195">
          <cell r="A195" t="str">
            <v>ANT</v>
          </cell>
          <cell r="B195" t="str">
            <v>202220</v>
          </cell>
          <cell r="C195">
            <v>5</v>
          </cell>
          <cell r="D195">
            <v>1</v>
          </cell>
          <cell r="E195">
            <v>0</v>
          </cell>
        </row>
        <row r="196">
          <cell r="A196" t="str">
            <v>ANT</v>
          </cell>
          <cell r="B196" t="str">
            <v>202310</v>
          </cell>
          <cell r="C196">
            <v>15</v>
          </cell>
          <cell r="D196">
            <v>1</v>
          </cell>
          <cell r="E196">
            <v>0</v>
          </cell>
        </row>
        <row r="197">
          <cell r="A197" t="str">
            <v>BIO</v>
          </cell>
          <cell r="B197" t="str">
            <v>200820</v>
          </cell>
          <cell r="C197">
            <v>15</v>
          </cell>
          <cell r="D197">
            <v>10</v>
          </cell>
          <cell r="E197">
            <v>5</v>
          </cell>
        </row>
        <row r="198">
          <cell r="A198" t="str">
            <v>BIO</v>
          </cell>
          <cell r="B198" t="str">
            <v>200910</v>
          </cell>
          <cell r="C198">
            <v>12</v>
          </cell>
          <cell r="D198">
            <v>4</v>
          </cell>
          <cell r="E198">
            <v>8</v>
          </cell>
        </row>
        <row r="199">
          <cell r="A199" t="str">
            <v>BIO</v>
          </cell>
          <cell r="B199" t="str">
            <v>200920</v>
          </cell>
          <cell r="C199">
            <v>10</v>
          </cell>
          <cell r="D199">
            <v>5</v>
          </cell>
          <cell r="E199">
            <v>5</v>
          </cell>
        </row>
        <row r="200">
          <cell r="A200" t="str">
            <v>BIO</v>
          </cell>
          <cell r="B200" t="str">
            <v>201010</v>
          </cell>
          <cell r="C200">
            <v>7</v>
          </cell>
          <cell r="D200">
            <v>4</v>
          </cell>
          <cell r="E200">
            <v>3</v>
          </cell>
        </row>
        <row r="201">
          <cell r="A201" t="str">
            <v>BIO</v>
          </cell>
          <cell r="B201" t="str">
            <v>201020</v>
          </cell>
          <cell r="C201">
            <v>8</v>
          </cell>
          <cell r="D201">
            <v>5</v>
          </cell>
          <cell r="E201">
            <v>3</v>
          </cell>
        </row>
        <row r="202">
          <cell r="A202" t="str">
            <v>BIO</v>
          </cell>
          <cell r="B202" t="str">
            <v>201110</v>
          </cell>
          <cell r="C202">
            <v>9</v>
          </cell>
          <cell r="D202">
            <v>8</v>
          </cell>
          <cell r="E202">
            <v>1</v>
          </cell>
        </row>
        <row r="203">
          <cell r="A203" t="str">
            <v>BIO</v>
          </cell>
          <cell r="B203" t="str">
            <v>201120</v>
          </cell>
          <cell r="C203">
            <v>12</v>
          </cell>
          <cell r="D203">
            <v>8</v>
          </cell>
          <cell r="E203">
            <v>4</v>
          </cell>
        </row>
        <row r="204">
          <cell r="A204" t="str">
            <v>BIO</v>
          </cell>
          <cell r="B204" t="str">
            <v>201210</v>
          </cell>
          <cell r="C204">
            <v>18</v>
          </cell>
          <cell r="D204">
            <v>8</v>
          </cell>
          <cell r="E204">
            <v>10</v>
          </cell>
        </row>
        <row r="205">
          <cell r="A205" t="str">
            <v>BIO</v>
          </cell>
          <cell r="B205" t="str">
            <v>201220</v>
          </cell>
          <cell r="C205">
            <v>16</v>
          </cell>
          <cell r="D205">
            <v>5</v>
          </cell>
          <cell r="E205">
            <v>11</v>
          </cell>
        </row>
        <row r="206">
          <cell r="A206" t="str">
            <v>BIO</v>
          </cell>
          <cell r="B206" t="str">
            <v>201310</v>
          </cell>
          <cell r="C206">
            <v>14</v>
          </cell>
          <cell r="D206">
            <v>7</v>
          </cell>
          <cell r="E206">
            <v>7</v>
          </cell>
        </row>
        <row r="207">
          <cell r="A207" t="str">
            <v>BIO</v>
          </cell>
          <cell r="B207" t="str">
            <v>201320</v>
          </cell>
          <cell r="C207">
            <v>24</v>
          </cell>
          <cell r="D207">
            <v>14</v>
          </cell>
          <cell r="E207">
            <v>10</v>
          </cell>
        </row>
        <row r="208">
          <cell r="A208" t="str">
            <v>BIO</v>
          </cell>
          <cell r="B208" t="str">
            <v>201410</v>
          </cell>
          <cell r="C208">
            <v>22</v>
          </cell>
          <cell r="D208">
            <v>15</v>
          </cell>
          <cell r="E208">
            <v>7</v>
          </cell>
        </row>
        <row r="209">
          <cell r="A209" t="str">
            <v>BIO</v>
          </cell>
          <cell r="B209" t="str">
            <v>201420</v>
          </cell>
          <cell r="C209">
            <v>21</v>
          </cell>
          <cell r="D209">
            <v>12</v>
          </cell>
          <cell r="E209">
            <v>9</v>
          </cell>
        </row>
        <row r="210">
          <cell r="A210" t="str">
            <v>BIO</v>
          </cell>
          <cell r="B210" t="str">
            <v>201510</v>
          </cell>
          <cell r="C210">
            <v>31</v>
          </cell>
          <cell r="D210">
            <v>11</v>
          </cell>
          <cell r="E210">
            <v>20</v>
          </cell>
        </row>
        <row r="211">
          <cell r="A211" t="str">
            <v>BIO</v>
          </cell>
          <cell r="B211" t="str">
            <v>201520</v>
          </cell>
          <cell r="C211">
            <v>19</v>
          </cell>
          <cell r="D211">
            <v>9</v>
          </cell>
          <cell r="E211">
            <v>10</v>
          </cell>
        </row>
        <row r="212">
          <cell r="A212" t="str">
            <v>BIO</v>
          </cell>
          <cell r="B212" t="str">
            <v>201610</v>
          </cell>
          <cell r="C212">
            <v>29</v>
          </cell>
          <cell r="D212">
            <v>12</v>
          </cell>
          <cell r="E212">
            <v>17</v>
          </cell>
        </row>
        <row r="213">
          <cell r="A213" t="str">
            <v>BIO</v>
          </cell>
          <cell r="B213" t="str">
            <v>201620</v>
          </cell>
          <cell r="C213">
            <v>22</v>
          </cell>
          <cell r="D213">
            <v>9</v>
          </cell>
          <cell r="E213">
            <v>13</v>
          </cell>
        </row>
        <row r="214">
          <cell r="A214" t="str">
            <v>BIO</v>
          </cell>
          <cell r="B214" t="str">
            <v>201710</v>
          </cell>
          <cell r="C214">
            <v>29</v>
          </cell>
          <cell r="D214">
            <v>11</v>
          </cell>
          <cell r="E214">
            <v>18</v>
          </cell>
        </row>
        <row r="215">
          <cell r="A215" t="str">
            <v>BIO</v>
          </cell>
          <cell r="B215" t="str">
            <v>201720</v>
          </cell>
          <cell r="C215">
            <v>16</v>
          </cell>
          <cell r="D215">
            <v>4</v>
          </cell>
          <cell r="E215">
            <v>12</v>
          </cell>
        </row>
        <row r="216">
          <cell r="A216" t="str">
            <v>BIO</v>
          </cell>
          <cell r="B216" t="str">
            <v>201810</v>
          </cell>
          <cell r="C216">
            <v>20</v>
          </cell>
          <cell r="D216">
            <v>11</v>
          </cell>
          <cell r="E216">
            <v>7</v>
          </cell>
        </row>
        <row r="217">
          <cell r="A217" t="str">
            <v>BIO</v>
          </cell>
          <cell r="B217" t="str">
            <v>201820</v>
          </cell>
          <cell r="C217">
            <v>16</v>
          </cell>
          <cell r="D217">
            <v>4</v>
          </cell>
          <cell r="E217">
            <v>8</v>
          </cell>
        </row>
        <row r="218">
          <cell r="A218" t="str">
            <v>BIO</v>
          </cell>
          <cell r="B218" t="str">
            <v>201910</v>
          </cell>
          <cell r="C218">
            <v>15</v>
          </cell>
          <cell r="D218">
            <v>5</v>
          </cell>
          <cell r="E218">
            <v>2</v>
          </cell>
        </row>
        <row r="219">
          <cell r="A219" t="str">
            <v>BIO</v>
          </cell>
          <cell r="B219" t="str">
            <v>201920</v>
          </cell>
          <cell r="C219">
            <v>9</v>
          </cell>
          <cell r="D219">
            <v>3</v>
          </cell>
          <cell r="E219">
            <v>0</v>
          </cell>
        </row>
        <row r="220">
          <cell r="A220" t="str">
            <v>BIO</v>
          </cell>
          <cell r="B220" t="str">
            <v>202010</v>
          </cell>
          <cell r="C220">
            <v>17</v>
          </cell>
          <cell r="D220">
            <v>5</v>
          </cell>
          <cell r="E220">
            <v>0</v>
          </cell>
        </row>
        <row r="221">
          <cell r="A221" t="str">
            <v>BIO</v>
          </cell>
          <cell r="B221" t="str">
            <v>202020</v>
          </cell>
          <cell r="C221">
            <v>22</v>
          </cell>
          <cell r="D221">
            <v>6</v>
          </cell>
          <cell r="E221">
            <v>0</v>
          </cell>
        </row>
        <row r="222">
          <cell r="A222" t="str">
            <v>BIO</v>
          </cell>
          <cell r="B222" t="str">
            <v>202110</v>
          </cell>
          <cell r="C222">
            <v>15</v>
          </cell>
          <cell r="D222">
            <v>4</v>
          </cell>
          <cell r="E222">
            <v>0</v>
          </cell>
        </row>
        <row r="223">
          <cell r="A223" t="str">
            <v>BIO</v>
          </cell>
          <cell r="B223" t="str">
            <v>202120</v>
          </cell>
          <cell r="C223">
            <v>6</v>
          </cell>
          <cell r="D223">
            <v>1</v>
          </cell>
          <cell r="E223">
            <v>0</v>
          </cell>
        </row>
        <row r="224">
          <cell r="A224" t="str">
            <v>BIO</v>
          </cell>
          <cell r="B224" t="str">
            <v>202210</v>
          </cell>
          <cell r="C224">
            <v>34</v>
          </cell>
          <cell r="D224">
            <v>5</v>
          </cell>
          <cell r="E224">
            <v>0</v>
          </cell>
        </row>
        <row r="225">
          <cell r="A225" t="str">
            <v>BIO</v>
          </cell>
          <cell r="B225" t="str">
            <v>202220</v>
          </cell>
          <cell r="C225">
            <v>13</v>
          </cell>
          <cell r="D225">
            <v>1</v>
          </cell>
          <cell r="E225">
            <v>0</v>
          </cell>
        </row>
        <row r="226">
          <cell r="A226" t="str">
            <v>BIO</v>
          </cell>
          <cell r="B226" t="str">
            <v>202310</v>
          </cell>
          <cell r="C226">
            <v>21</v>
          </cell>
          <cell r="D226">
            <v>1</v>
          </cell>
          <cell r="E226">
            <v>0</v>
          </cell>
        </row>
        <row r="227">
          <cell r="A227" t="str">
            <v>CIP</v>
          </cell>
          <cell r="B227" t="str">
            <v>200620</v>
          </cell>
          <cell r="C227">
            <v>17</v>
          </cell>
          <cell r="D227">
            <v>11</v>
          </cell>
          <cell r="E227">
            <v>6</v>
          </cell>
        </row>
        <row r="228">
          <cell r="A228" t="str">
            <v>CIP</v>
          </cell>
          <cell r="B228" t="str">
            <v>200710</v>
          </cell>
          <cell r="C228">
            <v>9</v>
          </cell>
          <cell r="D228">
            <v>2</v>
          </cell>
          <cell r="E228">
            <v>7</v>
          </cell>
        </row>
        <row r="229">
          <cell r="A229" t="str">
            <v>CIP</v>
          </cell>
          <cell r="B229" t="str">
            <v>200720</v>
          </cell>
          <cell r="C229">
            <v>28</v>
          </cell>
          <cell r="D229">
            <v>7</v>
          </cell>
          <cell r="E229">
            <v>21</v>
          </cell>
        </row>
        <row r="230">
          <cell r="A230" t="str">
            <v>CIP</v>
          </cell>
          <cell r="B230" t="str">
            <v>200810</v>
          </cell>
          <cell r="C230">
            <v>8</v>
          </cell>
          <cell r="D230">
            <v>3</v>
          </cell>
          <cell r="E230">
            <v>5</v>
          </cell>
        </row>
        <row r="231">
          <cell r="A231" t="str">
            <v>CIP</v>
          </cell>
          <cell r="B231" t="str">
            <v>200820</v>
          </cell>
          <cell r="C231">
            <v>24</v>
          </cell>
          <cell r="D231">
            <v>10</v>
          </cell>
          <cell r="E231">
            <v>14</v>
          </cell>
        </row>
        <row r="232">
          <cell r="A232" t="str">
            <v>CIP</v>
          </cell>
          <cell r="B232" t="str">
            <v>200910</v>
          </cell>
          <cell r="C232">
            <v>11</v>
          </cell>
          <cell r="D232">
            <v>6</v>
          </cell>
          <cell r="E232">
            <v>4</v>
          </cell>
        </row>
        <row r="233">
          <cell r="A233" t="str">
            <v>CIP</v>
          </cell>
          <cell r="B233" t="str">
            <v>200920</v>
          </cell>
          <cell r="C233">
            <v>21</v>
          </cell>
          <cell r="D233">
            <v>7</v>
          </cell>
          <cell r="E233">
            <v>14</v>
          </cell>
        </row>
        <row r="234">
          <cell r="A234" t="str">
            <v>CIP</v>
          </cell>
          <cell r="B234" t="str">
            <v>201010</v>
          </cell>
          <cell r="C234">
            <v>9</v>
          </cell>
          <cell r="D234">
            <v>6</v>
          </cell>
          <cell r="E234">
            <v>3</v>
          </cell>
        </row>
        <row r="235">
          <cell r="A235" t="str">
            <v>CIP</v>
          </cell>
          <cell r="B235" t="str">
            <v>201020</v>
          </cell>
          <cell r="C235">
            <v>19</v>
          </cell>
          <cell r="D235">
            <v>10</v>
          </cell>
          <cell r="E235">
            <v>9</v>
          </cell>
        </row>
        <row r="236">
          <cell r="A236" t="str">
            <v>CIP</v>
          </cell>
          <cell r="B236" t="str">
            <v>201110</v>
          </cell>
          <cell r="C236">
            <v>12</v>
          </cell>
          <cell r="D236">
            <v>7</v>
          </cell>
          <cell r="E236">
            <v>5</v>
          </cell>
        </row>
        <row r="237">
          <cell r="A237" t="str">
            <v>CIP</v>
          </cell>
          <cell r="B237" t="str">
            <v>201120</v>
          </cell>
          <cell r="C237">
            <v>22</v>
          </cell>
          <cell r="D237">
            <v>5</v>
          </cell>
          <cell r="E237">
            <v>17</v>
          </cell>
        </row>
        <row r="238">
          <cell r="A238" t="str">
            <v>CIP</v>
          </cell>
          <cell r="B238" t="str">
            <v>201210</v>
          </cell>
          <cell r="C238">
            <v>20</v>
          </cell>
          <cell r="D238">
            <v>12</v>
          </cell>
          <cell r="E238">
            <v>7</v>
          </cell>
        </row>
        <row r="239">
          <cell r="A239" t="str">
            <v>CIP</v>
          </cell>
          <cell r="B239" t="str">
            <v>201220</v>
          </cell>
          <cell r="C239">
            <v>29</v>
          </cell>
          <cell r="D239">
            <v>12</v>
          </cell>
          <cell r="E239">
            <v>16</v>
          </cell>
        </row>
        <row r="240">
          <cell r="A240" t="str">
            <v>CIP</v>
          </cell>
          <cell r="B240" t="str">
            <v>201310</v>
          </cell>
          <cell r="C240">
            <v>14</v>
          </cell>
          <cell r="D240">
            <v>6</v>
          </cell>
          <cell r="E240">
            <v>8</v>
          </cell>
        </row>
        <row r="241">
          <cell r="A241" t="str">
            <v>CIP</v>
          </cell>
          <cell r="B241" t="str">
            <v>201320</v>
          </cell>
          <cell r="C241">
            <v>17</v>
          </cell>
          <cell r="D241">
            <v>10</v>
          </cell>
          <cell r="E241">
            <v>7</v>
          </cell>
        </row>
        <row r="242">
          <cell r="A242" t="str">
            <v>CIP</v>
          </cell>
          <cell r="B242" t="str">
            <v>201410</v>
          </cell>
          <cell r="C242">
            <v>23</v>
          </cell>
          <cell r="D242">
            <v>12</v>
          </cell>
          <cell r="E242">
            <v>11</v>
          </cell>
        </row>
        <row r="243">
          <cell r="A243" t="str">
            <v>CIP</v>
          </cell>
          <cell r="B243" t="str">
            <v>201420</v>
          </cell>
          <cell r="C243">
            <v>38</v>
          </cell>
          <cell r="D243">
            <v>12</v>
          </cell>
          <cell r="E243">
            <v>26</v>
          </cell>
        </row>
        <row r="244">
          <cell r="A244" t="str">
            <v>CIP</v>
          </cell>
          <cell r="B244" t="str">
            <v>201510</v>
          </cell>
          <cell r="C244">
            <v>32</v>
          </cell>
          <cell r="D244">
            <v>13</v>
          </cell>
          <cell r="E244">
            <v>19</v>
          </cell>
        </row>
        <row r="245">
          <cell r="A245" t="str">
            <v>CIP</v>
          </cell>
          <cell r="B245" t="str">
            <v>201520</v>
          </cell>
          <cell r="C245">
            <v>22</v>
          </cell>
          <cell r="D245">
            <v>8</v>
          </cell>
          <cell r="E245">
            <v>13</v>
          </cell>
        </row>
        <row r="246">
          <cell r="A246" t="str">
            <v>CIP</v>
          </cell>
          <cell r="B246" t="str">
            <v>201610</v>
          </cell>
          <cell r="C246">
            <v>23</v>
          </cell>
          <cell r="D246">
            <v>5</v>
          </cell>
          <cell r="E246">
            <v>18</v>
          </cell>
        </row>
        <row r="247">
          <cell r="A247" t="str">
            <v>CIP</v>
          </cell>
          <cell r="B247" t="str">
            <v>201620</v>
          </cell>
          <cell r="C247">
            <v>23</v>
          </cell>
          <cell r="D247">
            <v>10</v>
          </cell>
          <cell r="E247">
            <v>13</v>
          </cell>
        </row>
        <row r="248">
          <cell r="A248" t="str">
            <v>CIP</v>
          </cell>
          <cell r="B248" t="str">
            <v>201710</v>
          </cell>
          <cell r="C248">
            <v>17</v>
          </cell>
          <cell r="D248">
            <v>4</v>
          </cell>
          <cell r="E248">
            <v>13</v>
          </cell>
        </row>
        <row r="249">
          <cell r="A249" t="str">
            <v>CIP</v>
          </cell>
          <cell r="B249" t="str">
            <v>201720</v>
          </cell>
          <cell r="C249">
            <v>23</v>
          </cell>
          <cell r="D249">
            <v>5</v>
          </cell>
          <cell r="E249">
            <v>11</v>
          </cell>
        </row>
        <row r="250">
          <cell r="A250" t="str">
            <v>CIP</v>
          </cell>
          <cell r="B250" t="str">
            <v>201810</v>
          </cell>
          <cell r="C250">
            <v>13</v>
          </cell>
          <cell r="D250">
            <v>3</v>
          </cell>
          <cell r="E250">
            <v>8</v>
          </cell>
        </row>
        <row r="251">
          <cell r="A251" t="str">
            <v>CIP</v>
          </cell>
          <cell r="B251" t="str">
            <v>201820</v>
          </cell>
          <cell r="C251">
            <v>12</v>
          </cell>
          <cell r="D251">
            <v>3</v>
          </cell>
          <cell r="E251">
            <v>2</v>
          </cell>
        </row>
        <row r="252">
          <cell r="A252" t="str">
            <v>CIP</v>
          </cell>
          <cell r="B252" t="str">
            <v>201910</v>
          </cell>
          <cell r="C252">
            <v>20</v>
          </cell>
          <cell r="D252">
            <v>7</v>
          </cell>
          <cell r="E252">
            <v>4</v>
          </cell>
        </row>
        <row r="253">
          <cell r="A253" t="str">
            <v>CIP</v>
          </cell>
          <cell r="B253" t="str">
            <v>201920</v>
          </cell>
          <cell r="C253">
            <v>18</v>
          </cell>
          <cell r="D253">
            <v>5</v>
          </cell>
          <cell r="E253">
            <v>0</v>
          </cell>
        </row>
        <row r="254">
          <cell r="A254" t="str">
            <v>CIP</v>
          </cell>
          <cell r="B254" t="str">
            <v>202010</v>
          </cell>
          <cell r="C254">
            <v>19</v>
          </cell>
          <cell r="D254">
            <v>5</v>
          </cell>
          <cell r="E254">
            <v>0</v>
          </cell>
        </row>
        <row r="255">
          <cell r="A255" t="str">
            <v>CIP</v>
          </cell>
          <cell r="B255" t="str">
            <v>202020</v>
          </cell>
          <cell r="C255">
            <v>54</v>
          </cell>
          <cell r="D255">
            <v>9</v>
          </cell>
          <cell r="E255">
            <v>4</v>
          </cell>
        </row>
        <row r="256">
          <cell r="A256" t="str">
            <v>CIP</v>
          </cell>
          <cell r="B256" t="str">
            <v>202110</v>
          </cell>
          <cell r="C256">
            <v>21</v>
          </cell>
          <cell r="D256">
            <v>6</v>
          </cell>
          <cell r="E256">
            <v>0</v>
          </cell>
        </row>
        <row r="257">
          <cell r="A257" t="str">
            <v>CIP</v>
          </cell>
          <cell r="B257" t="str">
            <v>202120</v>
          </cell>
          <cell r="C257">
            <v>12</v>
          </cell>
          <cell r="D257">
            <v>3</v>
          </cell>
          <cell r="E257">
            <v>0</v>
          </cell>
        </row>
        <row r="258">
          <cell r="A258" t="str">
            <v>CIP</v>
          </cell>
          <cell r="B258" t="str">
            <v>202210</v>
          </cell>
          <cell r="C258">
            <v>32</v>
          </cell>
          <cell r="D258">
            <v>3</v>
          </cell>
          <cell r="E258">
            <v>0</v>
          </cell>
        </row>
        <row r="259">
          <cell r="A259" t="str">
            <v>CIP</v>
          </cell>
          <cell r="B259" t="str">
            <v>202220</v>
          </cell>
          <cell r="C259">
            <v>22</v>
          </cell>
          <cell r="D259">
            <v>3</v>
          </cell>
          <cell r="E259">
            <v>0</v>
          </cell>
        </row>
        <row r="260">
          <cell r="A260" t="str">
            <v>CIP</v>
          </cell>
          <cell r="B260" t="str">
            <v>202310</v>
          </cell>
          <cell r="C260">
            <v>25</v>
          </cell>
          <cell r="D260">
            <v>0</v>
          </cell>
          <cell r="E260">
            <v>0</v>
          </cell>
        </row>
        <row r="261">
          <cell r="A261" t="str">
            <v>COF</v>
          </cell>
          <cell r="B261" t="str">
            <v>200010</v>
          </cell>
          <cell r="C261">
            <v>8</v>
          </cell>
          <cell r="D261">
            <v>1</v>
          </cell>
          <cell r="E261">
            <v>7</v>
          </cell>
        </row>
        <row r="262">
          <cell r="A262" t="str">
            <v>COF</v>
          </cell>
          <cell r="B262" t="str">
            <v>200020</v>
          </cell>
          <cell r="C262">
            <v>18</v>
          </cell>
          <cell r="D262">
            <v>7</v>
          </cell>
          <cell r="E262">
            <v>11</v>
          </cell>
        </row>
        <row r="263">
          <cell r="A263" t="str">
            <v>COF</v>
          </cell>
          <cell r="B263" t="str">
            <v>200110</v>
          </cell>
          <cell r="C263">
            <v>15</v>
          </cell>
          <cell r="D263">
            <v>10</v>
          </cell>
          <cell r="E263">
            <v>5</v>
          </cell>
        </row>
        <row r="264">
          <cell r="A264" t="str">
            <v>COF</v>
          </cell>
          <cell r="B264" t="str">
            <v>200120</v>
          </cell>
          <cell r="C264">
            <v>15</v>
          </cell>
          <cell r="D264">
            <v>10</v>
          </cell>
          <cell r="E264">
            <v>5</v>
          </cell>
        </row>
        <row r="265">
          <cell r="A265" t="str">
            <v>COF</v>
          </cell>
          <cell r="B265" t="str">
            <v>200210</v>
          </cell>
          <cell r="C265">
            <v>6</v>
          </cell>
          <cell r="D265">
            <v>4</v>
          </cell>
          <cell r="E265">
            <v>2</v>
          </cell>
        </row>
        <row r="266">
          <cell r="A266" t="str">
            <v>COF</v>
          </cell>
          <cell r="B266" t="str">
            <v>200220</v>
          </cell>
          <cell r="C266">
            <v>14</v>
          </cell>
          <cell r="D266">
            <v>7</v>
          </cell>
          <cell r="E266">
            <v>7</v>
          </cell>
        </row>
        <row r="267">
          <cell r="A267" t="str">
            <v>COF</v>
          </cell>
          <cell r="B267" t="str">
            <v>200310</v>
          </cell>
          <cell r="C267">
            <v>8</v>
          </cell>
          <cell r="D267">
            <v>5</v>
          </cell>
          <cell r="E267">
            <v>3</v>
          </cell>
        </row>
        <row r="268">
          <cell r="A268" t="str">
            <v>COF</v>
          </cell>
          <cell r="B268" t="str">
            <v>200320</v>
          </cell>
          <cell r="C268">
            <v>16</v>
          </cell>
          <cell r="D268">
            <v>7</v>
          </cell>
          <cell r="E268">
            <v>9</v>
          </cell>
        </row>
        <row r="269">
          <cell r="A269" t="str">
            <v>COF</v>
          </cell>
          <cell r="B269" t="str">
            <v>200410</v>
          </cell>
          <cell r="C269">
            <v>11</v>
          </cell>
          <cell r="D269">
            <v>5</v>
          </cell>
          <cell r="E269">
            <v>6</v>
          </cell>
        </row>
        <row r="270">
          <cell r="A270" t="str">
            <v>COF</v>
          </cell>
          <cell r="B270" t="str">
            <v>200420</v>
          </cell>
          <cell r="C270">
            <v>18</v>
          </cell>
          <cell r="D270">
            <v>5</v>
          </cell>
          <cell r="E270">
            <v>13</v>
          </cell>
        </row>
        <row r="271">
          <cell r="A271" t="str">
            <v>COF</v>
          </cell>
          <cell r="B271" t="str">
            <v>200510</v>
          </cell>
          <cell r="C271">
            <v>9</v>
          </cell>
          <cell r="D271">
            <v>6</v>
          </cell>
          <cell r="E271">
            <v>3</v>
          </cell>
        </row>
        <row r="272">
          <cell r="A272" t="str">
            <v>COF</v>
          </cell>
          <cell r="B272" t="str">
            <v>200520</v>
          </cell>
          <cell r="C272">
            <v>22</v>
          </cell>
          <cell r="D272">
            <v>6</v>
          </cell>
          <cell r="E272">
            <v>16</v>
          </cell>
        </row>
        <row r="273">
          <cell r="A273" t="str">
            <v>COF</v>
          </cell>
          <cell r="B273" t="str">
            <v>200610</v>
          </cell>
          <cell r="C273">
            <v>5</v>
          </cell>
          <cell r="D273">
            <v>4</v>
          </cell>
          <cell r="E273">
            <v>1</v>
          </cell>
        </row>
        <row r="274">
          <cell r="A274" t="str">
            <v>COF</v>
          </cell>
          <cell r="B274" t="str">
            <v>200620</v>
          </cell>
          <cell r="C274">
            <v>40</v>
          </cell>
          <cell r="D274">
            <v>15</v>
          </cell>
          <cell r="E274">
            <v>25</v>
          </cell>
        </row>
        <row r="275">
          <cell r="A275" t="str">
            <v>COF</v>
          </cell>
          <cell r="B275" t="str">
            <v>200710</v>
          </cell>
          <cell r="C275">
            <v>17</v>
          </cell>
          <cell r="D275">
            <v>8</v>
          </cell>
          <cell r="E275">
            <v>9</v>
          </cell>
        </row>
        <row r="276">
          <cell r="A276" t="str">
            <v>COF</v>
          </cell>
          <cell r="B276" t="str">
            <v>200720</v>
          </cell>
          <cell r="C276">
            <v>36</v>
          </cell>
          <cell r="D276">
            <v>10</v>
          </cell>
          <cell r="E276">
            <v>26</v>
          </cell>
        </row>
        <row r="277">
          <cell r="A277" t="str">
            <v>COF</v>
          </cell>
          <cell r="B277" t="str">
            <v>200810</v>
          </cell>
          <cell r="C277">
            <v>10</v>
          </cell>
          <cell r="D277">
            <v>6</v>
          </cell>
          <cell r="E277">
            <v>4</v>
          </cell>
        </row>
        <row r="278">
          <cell r="A278" t="str">
            <v>COF</v>
          </cell>
          <cell r="B278" t="str">
            <v>200820</v>
          </cell>
          <cell r="C278">
            <v>22</v>
          </cell>
          <cell r="D278">
            <v>9</v>
          </cell>
          <cell r="E278">
            <v>13</v>
          </cell>
        </row>
        <row r="279">
          <cell r="A279" t="str">
            <v>COF</v>
          </cell>
          <cell r="B279" t="str">
            <v>200910</v>
          </cell>
          <cell r="C279">
            <v>15</v>
          </cell>
          <cell r="D279">
            <v>4</v>
          </cell>
          <cell r="E279">
            <v>11</v>
          </cell>
        </row>
        <row r="280">
          <cell r="A280" t="str">
            <v>COF</v>
          </cell>
          <cell r="B280" t="str">
            <v>200920</v>
          </cell>
          <cell r="C280">
            <v>31</v>
          </cell>
          <cell r="D280">
            <v>10</v>
          </cell>
          <cell r="E280">
            <v>21</v>
          </cell>
        </row>
        <row r="281">
          <cell r="A281" t="str">
            <v>COF</v>
          </cell>
          <cell r="B281" t="str">
            <v>201010</v>
          </cell>
          <cell r="C281">
            <v>20</v>
          </cell>
          <cell r="D281">
            <v>12</v>
          </cell>
          <cell r="E281">
            <v>8</v>
          </cell>
        </row>
        <row r="282">
          <cell r="A282" t="str">
            <v>COF</v>
          </cell>
          <cell r="B282" t="str">
            <v>201020</v>
          </cell>
          <cell r="C282">
            <v>14</v>
          </cell>
          <cell r="D282">
            <v>5</v>
          </cell>
          <cell r="E282">
            <v>9</v>
          </cell>
        </row>
        <row r="283">
          <cell r="A283" t="str">
            <v>COF</v>
          </cell>
          <cell r="B283" t="str">
            <v>201110</v>
          </cell>
          <cell r="C283">
            <v>22</v>
          </cell>
          <cell r="D283">
            <v>7</v>
          </cell>
          <cell r="E283">
            <v>15</v>
          </cell>
        </row>
        <row r="284">
          <cell r="A284" t="str">
            <v>COF</v>
          </cell>
          <cell r="B284" t="str">
            <v>201120</v>
          </cell>
          <cell r="C284">
            <v>23</v>
          </cell>
          <cell r="D284">
            <v>7</v>
          </cell>
          <cell r="E284">
            <v>16</v>
          </cell>
        </row>
        <row r="285">
          <cell r="A285" t="str">
            <v>COF</v>
          </cell>
          <cell r="B285" t="str">
            <v>201210</v>
          </cell>
          <cell r="C285">
            <v>27</v>
          </cell>
          <cell r="D285">
            <v>11</v>
          </cell>
          <cell r="E285">
            <v>16</v>
          </cell>
        </row>
        <row r="286">
          <cell r="A286" t="str">
            <v>COF</v>
          </cell>
          <cell r="B286" t="str">
            <v>201220</v>
          </cell>
          <cell r="C286">
            <v>22</v>
          </cell>
          <cell r="D286">
            <v>3</v>
          </cell>
          <cell r="E286">
            <v>19</v>
          </cell>
        </row>
        <row r="287">
          <cell r="A287" t="str">
            <v>COF</v>
          </cell>
          <cell r="B287" t="str">
            <v>201310</v>
          </cell>
          <cell r="C287">
            <v>16</v>
          </cell>
          <cell r="D287">
            <v>6</v>
          </cell>
          <cell r="E287">
            <v>10</v>
          </cell>
        </row>
        <row r="288">
          <cell r="A288" t="str">
            <v>COF</v>
          </cell>
          <cell r="B288" t="str">
            <v>201320</v>
          </cell>
          <cell r="C288">
            <v>12</v>
          </cell>
          <cell r="D288">
            <v>4</v>
          </cell>
          <cell r="E288">
            <v>8</v>
          </cell>
        </row>
        <row r="289">
          <cell r="A289" t="str">
            <v>COF</v>
          </cell>
          <cell r="B289" t="str">
            <v>201410</v>
          </cell>
          <cell r="C289">
            <v>18</v>
          </cell>
          <cell r="D289">
            <v>5</v>
          </cell>
          <cell r="E289">
            <v>13</v>
          </cell>
        </row>
        <row r="290">
          <cell r="A290" t="str">
            <v>COF</v>
          </cell>
          <cell r="B290" t="str">
            <v>201420</v>
          </cell>
          <cell r="C290">
            <v>23</v>
          </cell>
          <cell r="D290">
            <v>5</v>
          </cell>
          <cell r="E290">
            <v>17</v>
          </cell>
        </row>
        <row r="291">
          <cell r="A291" t="str">
            <v>COF</v>
          </cell>
          <cell r="B291" t="str">
            <v>201510</v>
          </cell>
          <cell r="C291">
            <v>46</v>
          </cell>
          <cell r="D291">
            <v>7</v>
          </cell>
          <cell r="E291">
            <v>39</v>
          </cell>
        </row>
        <row r="292">
          <cell r="A292" t="str">
            <v>COF</v>
          </cell>
          <cell r="B292" t="str">
            <v>201520</v>
          </cell>
          <cell r="C292">
            <v>13</v>
          </cell>
          <cell r="D292">
            <v>3</v>
          </cell>
          <cell r="E292">
            <v>9</v>
          </cell>
        </row>
        <row r="293">
          <cell r="A293" t="str">
            <v>COF</v>
          </cell>
          <cell r="B293" t="str">
            <v>201610</v>
          </cell>
          <cell r="C293">
            <v>42</v>
          </cell>
          <cell r="D293">
            <v>12</v>
          </cell>
          <cell r="E293">
            <v>30</v>
          </cell>
        </row>
        <row r="294">
          <cell r="A294" t="str">
            <v>COF</v>
          </cell>
          <cell r="B294" t="str">
            <v>201620</v>
          </cell>
          <cell r="C294">
            <v>11</v>
          </cell>
          <cell r="D294">
            <v>7</v>
          </cell>
          <cell r="E294">
            <v>4</v>
          </cell>
        </row>
        <row r="295">
          <cell r="A295" t="str">
            <v>COF</v>
          </cell>
          <cell r="B295" t="str">
            <v>201710</v>
          </cell>
          <cell r="C295">
            <v>26</v>
          </cell>
          <cell r="D295">
            <v>3</v>
          </cell>
          <cell r="E295">
            <v>23</v>
          </cell>
        </row>
        <row r="296">
          <cell r="A296" t="str">
            <v>COF</v>
          </cell>
          <cell r="B296" t="str">
            <v>201720</v>
          </cell>
          <cell r="C296">
            <v>15</v>
          </cell>
          <cell r="D296">
            <v>4</v>
          </cell>
          <cell r="E296">
            <v>10</v>
          </cell>
        </row>
        <row r="297">
          <cell r="A297" t="str">
            <v>COF</v>
          </cell>
          <cell r="B297" t="str">
            <v>201810</v>
          </cell>
          <cell r="C297">
            <v>14</v>
          </cell>
          <cell r="D297">
            <v>2</v>
          </cell>
          <cell r="E297">
            <v>11</v>
          </cell>
        </row>
        <row r="298">
          <cell r="A298" t="str">
            <v>COF</v>
          </cell>
          <cell r="B298" t="str">
            <v>201820</v>
          </cell>
          <cell r="C298">
            <v>12</v>
          </cell>
          <cell r="D298">
            <v>2</v>
          </cell>
          <cell r="E298">
            <v>8</v>
          </cell>
        </row>
        <row r="299">
          <cell r="A299" t="str">
            <v>COF</v>
          </cell>
          <cell r="B299" t="str">
            <v>201910</v>
          </cell>
          <cell r="C299">
            <v>10</v>
          </cell>
          <cell r="D299">
            <v>2</v>
          </cell>
          <cell r="E299">
            <v>2</v>
          </cell>
        </row>
        <row r="300">
          <cell r="A300" t="str">
            <v>COF</v>
          </cell>
          <cell r="B300" t="str">
            <v>201920</v>
          </cell>
          <cell r="C300">
            <v>5</v>
          </cell>
          <cell r="D300">
            <v>1</v>
          </cell>
          <cell r="E300">
            <v>1</v>
          </cell>
        </row>
        <row r="301">
          <cell r="A301" t="str">
            <v>COF</v>
          </cell>
          <cell r="B301" t="str">
            <v>202010</v>
          </cell>
          <cell r="C301">
            <v>10</v>
          </cell>
          <cell r="D301">
            <v>4</v>
          </cell>
          <cell r="E301">
            <v>0</v>
          </cell>
        </row>
        <row r="302">
          <cell r="A302" t="str">
            <v>COF</v>
          </cell>
          <cell r="B302" t="str">
            <v>202020</v>
          </cell>
          <cell r="C302">
            <v>6</v>
          </cell>
          <cell r="D302">
            <v>0</v>
          </cell>
          <cell r="E302">
            <v>1</v>
          </cell>
        </row>
        <row r="303">
          <cell r="A303" t="str">
            <v>COF</v>
          </cell>
          <cell r="B303" t="str">
            <v>202110</v>
          </cell>
          <cell r="C303">
            <v>7</v>
          </cell>
          <cell r="D303">
            <v>4</v>
          </cell>
          <cell r="E303">
            <v>0</v>
          </cell>
        </row>
        <row r="304">
          <cell r="A304" t="str">
            <v>COF</v>
          </cell>
          <cell r="B304" t="str">
            <v>202120</v>
          </cell>
          <cell r="C304">
            <v>5</v>
          </cell>
          <cell r="D304">
            <v>0</v>
          </cell>
          <cell r="E304">
            <v>0</v>
          </cell>
        </row>
        <row r="305">
          <cell r="A305" t="str">
            <v>COF</v>
          </cell>
          <cell r="B305" t="str">
            <v>202210</v>
          </cell>
          <cell r="C305">
            <v>28</v>
          </cell>
          <cell r="D305">
            <v>4</v>
          </cell>
          <cell r="E305">
            <v>0</v>
          </cell>
        </row>
        <row r="306">
          <cell r="A306" t="str">
            <v>COF</v>
          </cell>
          <cell r="B306" t="str">
            <v>202220</v>
          </cell>
          <cell r="C306">
            <v>6</v>
          </cell>
          <cell r="D306">
            <v>2</v>
          </cell>
          <cell r="E306">
            <v>0</v>
          </cell>
        </row>
        <row r="307">
          <cell r="A307" t="str">
            <v>COF</v>
          </cell>
          <cell r="B307" t="str">
            <v>202310</v>
          </cell>
          <cell r="C307">
            <v>15</v>
          </cell>
          <cell r="D307">
            <v>2</v>
          </cell>
          <cell r="E307">
            <v>0</v>
          </cell>
        </row>
        <row r="308">
          <cell r="A308" t="str">
            <v>COM</v>
          </cell>
          <cell r="B308" t="str">
            <v>202010</v>
          </cell>
          <cell r="C308">
            <v>34</v>
          </cell>
          <cell r="D308">
            <v>10</v>
          </cell>
          <cell r="E308">
            <v>0</v>
          </cell>
        </row>
        <row r="309">
          <cell r="A309" t="str">
            <v>COM</v>
          </cell>
          <cell r="B309" t="str">
            <v>202020</v>
          </cell>
          <cell r="C309">
            <v>30</v>
          </cell>
          <cell r="D309">
            <v>7</v>
          </cell>
          <cell r="E309">
            <v>0</v>
          </cell>
        </row>
        <row r="310">
          <cell r="A310" t="str">
            <v>COM</v>
          </cell>
          <cell r="B310" t="str">
            <v>202110</v>
          </cell>
          <cell r="C310">
            <v>8</v>
          </cell>
          <cell r="D310">
            <v>4</v>
          </cell>
          <cell r="E310">
            <v>0</v>
          </cell>
        </row>
        <row r="311">
          <cell r="A311" t="str">
            <v>COM</v>
          </cell>
          <cell r="B311" t="str">
            <v>202120</v>
          </cell>
          <cell r="C311">
            <v>10</v>
          </cell>
          <cell r="D311">
            <v>0</v>
          </cell>
          <cell r="E311">
            <v>0</v>
          </cell>
        </row>
        <row r="312">
          <cell r="A312" t="str">
            <v>COM</v>
          </cell>
          <cell r="B312" t="str">
            <v>202210</v>
          </cell>
          <cell r="C312">
            <v>39</v>
          </cell>
          <cell r="D312">
            <v>3</v>
          </cell>
          <cell r="E312">
            <v>0</v>
          </cell>
        </row>
        <row r="313">
          <cell r="A313" t="str">
            <v>COM</v>
          </cell>
          <cell r="B313" t="str">
            <v>202220</v>
          </cell>
          <cell r="C313">
            <v>15</v>
          </cell>
          <cell r="D313">
            <v>5</v>
          </cell>
          <cell r="E313">
            <v>0</v>
          </cell>
        </row>
        <row r="314">
          <cell r="A314" t="str">
            <v>COM</v>
          </cell>
          <cell r="B314" t="str">
            <v>202310</v>
          </cell>
          <cell r="C314">
            <v>22</v>
          </cell>
          <cell r="D314">
            <v>2</v>
          </cell>
          <cell r="E314">
            <v>0</v>
          </cell>
        </row>
        <row r="315">
          <cell r="A315" t="str">
            <v>DER</v>
          </cell>
          <cell r="B315" t="str">
            <v>200010</v>
          </cell>
          <cell r="C315">
            <v>1</v>
          </cell>
          <cell r="D315">
            <v>0</v>
          </cell>
          <cell r="E315">
            <v>1</v>
          </cell>
        </row>
        <row r="316">
          <cell r="A316" t="str">
            <v>DER</v>
          </cell>
          <cell r="B316" t="str">
            <v>200020</v>
          </cell>
          <cell r="C316">
            <v>16</v>
          </cell>
          <cell r="D316">
            <v>10</v>
          </cell>
          <cell r="E316">
            <v>6</v>
          </cell>
        </row>
        <row r="317">
          <cell r="A317" t="str">
            <v>DER</v>
          </cell>
          <cell r="B317" t="str">
            <v>200110</v>
          </cell>
          <cell r="C317">
            <v>8</v>
          </cell>
          <cell r="D317">
            <v>2</v>
          </cell>
          <cell r="E317">
            <v>6</v>
          </cell>
        </row>
        <row r="318">
          <cell r="A318" t="str">
            <v>DER</v>
          </cell>
          <cell r="B318" t="str">
            <v>200120</v>
          </cell>
          <cell r="C318">
            <v>20</v>
          </cell>
          <cell r="D318">
            <v>8</v>
          </cell>
          <cell r="E318">
            <v>12</v>
          </cell>
        </row>
        <row r="319">
          <cell r="A319" t="str">
            <v>DER</v>
          </cell>
          <cell r="B319" t="str">
            <v>200210</v>
          </cell>
          <cell r="C319">
            <v>8</v>
          </cell>
          <cell r="D319">
            <v>1</v>
          </cell>
          <cell r="E319">
            <v>7</v>
          </cell>
        </row>
        <row r="320">
          <cell r="A320" t="str">
            <v>DER</v>
          </cell>
          <cell r="B320" t="str">
            <v>200220</v>
          </cell>
          <cell r="C320">
            <v>33</v>
          </cell>
          <cell r="D320">
            <v>7</v>
          </cell>
          <cell r="E320">
            <v>26</v>
          </cell>
        </row>
        <row r="321">
          <cell r="A321" t="str">
            <v>DER</v>
          </cell>
          <cell r="B321" t="str">
            <v>200310</v>
          </cell>
          <cell r="C321">
            <v>19</v>
          </cell>
          <cell r="D321">
            <v>5</v>
          </cell>
          <cell r="E321">
            <v>14</v>
          </cell>
        </row>
        <row r="322">
          <cell r="A322" t="str">
            <v>DER</v>
          </cell>
          <cell r="B322" t="str">
            <v>200320</v>
          </cell>
          <cell r="C322">
            <v>30</v>
          </cell>
          <cell r="D322">
            <v>17</v>
          </cell>
          <cell r="E322">
            <v>13</v>
          </cell>
        </row>
        <row r="323">
          <cell r="A323" t="str">
            <v>DER</v>
          </cell>
          <cell r="B323" t="str">
            <v>200410</v>
          </cell>
          <cell r="C323">
            <v>17</v>
          </cell>
          <cell r="D323">
            <v>4</v>
          </cell>
          <cell r="E323">
            <v>13</v>
          </cell>
        </row>
        <row r="324">
          <cell r="A324" t="str">
            <v>DER</v>
          </cell>
          <cell r="B324" t="str">
            <v>200420</v>
          </cell>
          <cell r="C324">
            <v>34</v>
          </cell>
          <cell r="D324">
            <v>18</v>
          </cell>
          <cell r="E324">
            <v>16</v>
          </cell>
        </row>
        <row r="325">
          <cell r="A325" t="str">
            <v>DER</v>
          </cell>
          <cell r="B325" t="str">
            <v>200510</v>
          </cell>
          <cell r="C325">
            <v>7</v>
          </cell>
          <cell r="D325">
            <v>3</v>
          </cell>
          <cell r="E325">
            <v>4</v>
          </cell>
        </row>
        <row r="326">
          <cell r="A326" t="str">
            <v>DER</v>
          </cell>
          <cell r="B326" t="str">
            <v>200520</v>
          </cell>
          <cell r="C326">
            <v>37</v>
          </cell>
          <cell r="D326">
            <v>19</v>
          </cell>
          <cell r="E326">
            <v>18</v>
          </cell>
        </row>
        <row r="327">
          <cell r="A327" t="str">
            <v>DER</v>
          </cell>
          <cell r="B327" t="str">
            <v>200610</v>
          </cell>
          <cell r="C327">
            <v>18</v>
          </cell>
          <cell r="D327">
            <v>10</v>
          </cell>
          <cell r="E327">
            <v>8</v>
          </cell>
        </row>
        <row r="328">
          <cell r="A328" t="str">
            <v>DER</v>
          </cell>
          <cell r="B328" t="str">
            <v>200620</v>
          </cell>
          <cell r="C328">
            <v>45</v>
          </cell>
          <cell r="D328">
            <v>18</v>
          </cell>
          <cell r="E328">
            <v>27</v>
          </cell>
        </row>
        <row r="329">
          <cell r="A329" t="str">
            <v>DER</v>
          </cell>
          <cell r="B329" t="str">
            <v>200710</v>
          </cell>
          <cell r="C329">
            <v>16</v>
          </cell>
          <cell r="D329">
            <v>10</v>
          </cell>
          <cell r="E329">
            <v>6</v>
          </cell>
        </row>
        <row r="330">
          <cell r="A330" t="str">
            <v>DER</v>
          </cell>
          <cell r="B330" t="str">
            <v>200720</v>
          </cell>
          <cell r="C330">
            <v>36</v>
          </cell>
          <cell r="D330">
            <v>15</v>
          </cell>
          <cell r="E330">
            <v>21</v>
          </cell>
        </row>
        <row r="331">
          <cell r="A331" t="str">
            <v>DER</v>
          </cell>
          <cell r="B331" t="str">
            <v>200810</v>
          </cell>
          <cell r="C331">
            <v>28</v>
          </cell>
          <cell r="D331">
            <v>10</v>
          </cell>
          <cell r="E331">
            <v>18</v>
          </cell>
        </row>
        <row r="332">
          <cell r="A332" t="str">
            <v>DER</v>
          </cell>
          <cell r="B332" t="str">
            <v>200820</v>
          </cell>
          <cell r="C332">
            <v>53</v>
          </cell>
          <cell r="D332">
            <v>17</v>
          </cell>
          <cell r="E332">
            <v>36</v>
          </cell>
        </row>
        <row r="333">
          <cell r="A333" t="str">
            <v>DER</v>
          </cell>
          <cell r="B333" t="str">
            <v>200910</v>
          </cell>
          <cell r="C333">
            <v>19</v>
          </cell>
          <cell r="D333">
            <v>12</v>
          </cell>
          <cell r="E333">
            <v>7</v>
          </cell>
        </row>
        <row r="334">
          <cell r="A334" t="str">
            <v>DER</v>
          </cell>
          <cell r="B334" t="str">
            <v>200920</v>
          </cell>
          <cell r="C334">
            <v>45</v>
          </cell>
          <cell r="D334">
            <v>18</v>
          </cell>
          <cell r="E334">
            <v>27</v>
          </cell>
        </row>
        <row r="335">
          <cell r="A335" t="str">
            <v>DER</v>
          </cell>
          <cell r="B335" t="str">
            <v>201010</v>
          </cell>
          <cell r="C335">
            <v>15</v>
          </cell>
          <cell r="D335">
            <v>10</v>
          </cell>
          <cell r="E335">
            <v>5</v>
          </cell>
        </row>
        <row r="336">
          <cell r="A336" t="str">
            <v>DER</v>
          </cell>
          <cell r="B336" t="str">
            <v>201020</v>
          </cell>
          <cell r="C336">
            <v>43</v>
          </cell>
          <cell r="D336">
            <v>18</v>
          </cell>
          <cell r="E336">
            <v>25</v>
          </cell>
        </row>
        <row r="337">
          <cell r="A337" t="str">
            <v>DER</v>
          </cell>
          <cell r="B337" t="str">
            <v>201110</v>
          </cell>
          <cell r="C337">
            <v>20</v>
          </cell>
          <cell r="D337">
            <v>10</v>
          </cell>
          <cell r="E337">
            <v>10</v>
          </cell>
        </row>
        <row r="338">
          <cell r="A338" t="str">
            <v>DER</v>
          </cell>
          <cell r="B338" t="str">
            <v>201120</v>
          </cell>
          <cell r="C338">
            <v>46</v>
          </cell>
          <cell r="D338">
            <v>13</v>
          </cell>
          <cell r="E338">
            <v>33</v>
          </cell>
        </row>
        <row r="339">
          <cell r="A339" t="str">
            <v>DER</v>
          </cell>
          <cell r="B339" t="str">
            <v>201210</v>
          </cell>
          <cell r="C339">
            <v>29</v>
          </cell>
          <cell r="D339">
            <v>15</v>
          </cell>
          <cell r="E339">
            <v>14</v>
          </cell>
        </row>
        <row r="340">
          <cell r="A340" t="str">
            <v>DER</v>
          </cell>
          <cell r="B340" t="str">
            <v>201220</v>
          </cell>
          <cell r="C340">
            <v>54</v>
          </cell>
          <cell r="D340">
            <v>24</v>
          </cell>
          <cell r="E340">
            <v>30</v>
          </cell>
        </row>
        <row r="341">
          <cell r="A341" t="str">
            <v>DER</v>
          </cell>
          <cell r="B341" t="str">
            <v>201310</v>
          </cell>
          <cell r="C341">
            <v>29</v>
          </cell>
          <cell r="D341">
            <v>14</v>
          </cell>
          <cell r="E341">
            <v>14</v>
          </cell>
        </row>
        <row r="342">
          <cell r="A342" t="str">
            <v>DER</v>
          </cell>
          <cell r="B342" t="str">
            <v>201320</v>
          </cell>
          <cell r="C342">
            <v>38</v>
          </cell>
          <cell r="D342">
            <v>16</v>
          </cell>
          <cell r="E342">
            <v>21</v>
          </cell>
        </row>
        <row r="343">
          <cell r="A343" t="str">
            <v>DER</v>
          </cell>
          <cell r="B343" t="str">
            <v>201410</v>
          </cell>
          <cell r="C343">
            <v>34</v>
          </cell>
          <cell r="D343">
            <v>16</v>
          </cell>
          <cell r="E343">
            <v>18</v>
          </cell>
        </row>
        <row r="344">
          <cell r="A344" t="str">
            <v>DER</v>
          </cell>
          <cell r="B344" t="str">
            <v>201420</v>
          </cell>
          <cell r="C344">
            <v>44</v>
          </cell>
          <cell r="D344">
            <v>17</v>
          </cell>
          <cell r="E344">
            <v>26</v>
          </cell>
        </row>
        <row r="345">
          <cell r="A345" t="str">
            <v>DER</v>
          </cell>
          <cell r="B345" t="str">
            <v>201510</v>
          </cell>
          <cell r="C345">
            <v>87</v>
          </cell>
          <cell r="D345">
            <v>33</v>
          </cell>
          <cell r="E345">
            <v>50</v>
          </cell>
        </row>
        <row r="346">
          <cell r="A346" t="str">
            <v>DER</v>
          </cell>
          <cell r="B346" t="str">
            <v>201520</v>
          </cell>
          <cell r="C346">
            <v>46</v>
          </cell>
          <cell r="D346">
            <v>15</v>
          </cell>
          <cell r="E346">
            <v>31</v>
          </cell>
        </row>
        <row r="347">
          <cell r="A347" t="str">
            <v>DER</v>
          </cell>
          <cell r="B347" t="str">
            <v>201610</v>
          </cell>
          <cell r="C347">
            <v>95</v>
          </cell>
          <cell r="D347">
            <v>41</v>
          </cell>
          <cell r="E347">
            <v>52</v>
          </cell>
        </row>
        <row r="348">
          <cell r="A348" t="str">
            <v>DER</v>
          </cell>
          <cell r="B348" t="str">
            <v>201620</v>
          </cell>
          <cell r="C348">
            <v>37</v>
          </cell>
          <cell r="D348">
            <v>13</v>
          </cell>
          <cell r="E348">
            <v>21</v>
          </cell>
        </row>
        <row r="349">
          <cell r="A349" t="str">
            <v>DER</v>
          </cell>
          <cell r="B349" t="str">
            <v>201710</v>
          </cell>
          <cell r="C349">
            <v>71</v>
          </cell>
          <cell r="D349">
            <v>22</v>
          </cell>
          <cell r="E349">
            <v>45</v>
          </cell>
        </row>
        <row r="350">
          <cell r="A350" t="str">
            <v>DER</v>
          </cell>
          <cell r="B350" t="str">
            <v>201720</v>
          </cell>
          <cell r="C350">
            <v>50</v>
          </cell>
          <cell r="D350">
            <v>14</v>
          </cell>
          <cell r="E350">
            <v>32</v>
          </cell>
        </row>
        <row r="351">
          <cell r="A351" t="str">
            <v>DER</v>
          </cell>
          <cell r="B351" t="str">
            <v>201810</v>
          </cell>
          <cell r="C351">
            <v>58</v>
          </cell>
          <cell r="D351">
            <v>14</v>
          </cell>
          <cell r="E351">
            <v>31</v>
          </cell>
        </row>
        <row r="352">
          <cell r="A352" t="str">
            <v>DER</v>
          </cell>
          <cell r="B352" t="str">
            <v>201820</v>
          </cell>
          <cell r="C352">
            <v>41</v>
          </cell>
          <cell r="D352">
            <v>14</v>
          </cell>
          <cell r="E352">
            <v>9</v>
          </cell>
        </row>
        <row r="353">
          <cell r="A353" t="str">
            <v>DER</v>
          </cell>
          <cell r="B353" t="str">
            <v>201910</v>
          </cell>
          <cell r="C353">
            <v>45</v>
          </cell>
          <cell r="D353">
            <v>11</v>
          </cell>
          <cell r="E353">
            <v>2</v>
          </cell>
        </row>
        <row r="354">
          <cell r="A354" t="str">
            <v>DER</v>
          </cell>
          <cell r="B354" t="str">
            <v>201920</v>
          </cell>
          <cell r="C354">
            <v>33</v>
          </cell>
          <cell r="D354">
            <v>7</v>
          </cell>
          <cell r="E354">
            <v>0</v>
          </cell>
        </row>
        <row r="355">
          <cell r="A355" t="str">
            <v>DER</v>
          </cell>
          <cell r="B355" t="str">
            <v>202010</v>
          </cell>
          <cell r="C355">
            <v>29</v>
          </cell>
          <cell r="D355">
            <v>5</v>
          </cell>
          <cell r="E355">
            <v>0</v>
          </cell>
        </row>
        <row r="356">
          <cell r="A356" t="str">
            <v>DER</v>
          </cell>
          <cell r="B356" t="str">
            <v>202020</v>
          </cell>
          <cell r="C356">
            <v>48</v>
          </cell>
          <cell r="D356">
            <v>9</v>
          </cell>
          <cell r="E356">
            <v>2</v>
          </cell>
        </row>
        <row r="357">
          <cell r="A357" t="str">
            <v>DER</v>
          </cell>
          <cell r="B357" t="str">
            <v>202110</v>
          </cell>
          <cell r="C357">
            <v>40</v>
          </cell>
          <cell r="D357">
            <v>11</v>
          </cell>
          <cell r="E357">
            <v>0</v>
          </cell>
        </row>
        <row r="358">
          <cell r="A358" t="str">
            <v>DER</v>
          </cell>
          <cell r="B358" t="str">
            <v>202120</v>
          </cell>
          <cell r="C358">
            <v>29</v>
          </cell>
          <cell r="D358">
            <v>6</v>
          </cell>
          <cell r="E358">
            <v>0</v>
          </cell>
        </row>
        <row r="359">
          <cell r="A359" t="str">
            <v>DER</v>
          </cell>
          <cell r="B359" t="str">
            <v>202210</v>
          </cell>
          <cell r="C359">
            <v>53</v>
          </cell>
          <cell r="D359">
            <v>6</v>
          </cell>
          <cell r="E359">
            <v>0</v>
          </cell>
        </row>
        <row r="360">
          <cell r="A360" t="str">
            <v>DER</v>
          </cell>
          <cell r="B360" t="str">
            <v>202220</v>
          </cell>
          <cell r="C360">
            <v>35</v>
          </cell>
          <cell r="D360">
            <v>3</v>
          </cell>
          <cell r="E360">
            <v>0</v>
          </cell>
        </row>
        <row r="361">
          <cell r="A361" t="str">
            <v>DER</v>
          </cell>
          <cell r="B361" t="str">
            <v>202310</v>
          </cell>
          <cell r="C361">
            <v>45</v>
          </cell>
          <cell r="D361">
            <v>2</v>
          </cell>
          <cell r="E361">
            <v>0</v>
          </cell>
        </row>
        <row r="362">
          <cell r="A362" t="str">
            <v>DER</v>
          </cell>
          <cell r="B362" t="str">
            <v>202320</v>
          </cell>
          <cell r="C362">
            <v>1</v>
          </cell>
          <cell r="D362">
            <v>0</v>
          </cell>
          <cell r="E362">
            <v>0</v>
          </cell>
        </row>
        <row r="363">
          <cell r="A363" t="str">
            <v>DIS</v>
          </cell>
          <cell r="B363" t="str">
            <v>199820</v>
          </cell>
          <cell r="C363">
            <v>37</v>
          </cell>
          <cell r="D363">
            <v>21</v>
          </cell>
          <cell r="E363">
            <v>16</v>
          </cell>
        </row>
        <row r="364">
          <cell r="A364" t="str">
            <v>DIS</v>
          </cell>
          <cell r="B364" t="str">
            <v>199910</v>
          </cell>
          <cell r="C364">
            <v>17</v>
          </cell>
          <cell r="D364">
            <v>10</v>
          </cell>
          <cell r="E364">
            <v>7</v>
          </cell>
        </row>
        <row r="365">
          <cell r="A365" t="str">
            <v>DIS</v>
          </cell>
          <cell r="B365" t="str">
            <v>199920</v>
          </cell>
          <cell r="C365">
            <v>32</v>
          </cell>
          <cell r="D365">
            <v>13</v>
          </cell>
          <cell r="E365">
            <v>19</v>
          </cell>
        </row>
        <row r="366">
          <cell r="A366" t="str">
            <v>DIS</v>
          </cell>
          <cell r="B366" t="str">
            <v>200010</v>
          </cell>
          <cell r="C366">
            <v>20</v>
          </cell>
          <cell r="D366">
            <v>8</v>
          </cell>
          <cell r="E366">
            <v>12</v>
          </cell>
        </row>
        <row r="367">
          <cell r="A367" t="str">
            <v>DIS</v>
          </cell>
          <cell r="B367" t="str">
            <v>200020</v>
          </cell>
          <cell r="C367">
            <v>32</v>
          </cell>
          <cell r="D367">
            <v>15</v>
          </cell>
          <cell r="E367">
            <v>17</v>
          </cell>
        </row>
        <row r="368">
          <cell r="A368" t="str">
            <v>DIS</v>
          </cell>
          <cell r="B368" t="str">
            <v>200110</v>
          </cell>
          <cell r="C368">
            <v>17</v>
          </cell>
          <cell r="D368">
            <v>6</v>
          </cell>
          <cell r="E368">
            <v>11</v>
          </cell>
        </row>
        <row r="369">
          <cell r="A369" t="str">
            <v>DIS</v>
          </cell>
          <cell r="B369" t="str">
            <v>200120</v>
          </cell>
          <cell r="C369">
            <v>31</v>
          </cell>
          <cell r="D369">
            <v>16</v>
          </cell>
          <cell r="E369">
            <v>15</v>
          </cell>
        </row>
        <row r="370">
          <cell r="A370" t="str">
            <v>DIS</v>
          </cell>
          <cell r="B370" t="str">
            <v>200210</v>
          </cell>
          <cell r="C370">
            <v>23</v>
          </cell>
          <cell r="D370">
            <v>11</v>
          </cell>
          <cell r="E370">
            <v>12</v>
          </cell>
        </row>
        <row r="371">
          <cell r="A371" t="str">
            <v>DIS</v>
          </cell>
          <cell r="B371" t="str">
            <v>200220</v>
          </cell>
          <cell r="C371">
            <v>38</v>
          </cell>
          <cell r="D371">
            <v>14</v>
          </cell>
          <cell r="E371">
            <v>24</v>
          </cell>
        </row>
        <row r="372">
          <cell r="A372" t="str">
            <v>DIS</v>
          </cell>
          <cell r="B372" t="str">
            <v>200310</v>
          </cell>
          <cell r="C372">
            <v>19</v>
          </cell>
          <cell r="D372">
            <v>11</v>
          </cell>
          <cell r="E372">
            <v>8</v>
          </cell>
        </row>
        <row r="373">
          <cell r="A373" t="str">
            <v>DIS</v>
          </cell>
          <cell r="B373" t="str">
            <v>200320</v>
          </cell>
          <cell r="C373">
            <v>34</v>
          </cell>
          <cell r="D373">
            <v>7</v>
          </cell>
          <cell r="E373">
            <v>27</v>
          </cell>
        </row>
        <row r="374">
          <cell r="A374" t="str">
            <v>DIS</v>
          </cell>
          <cell r="B374" t="str">
            <v>200410</v>
          </cell>
          <cell r="C374">
            <v>18</v>
          </cell>
          <cell r="D374">
            <v>3</v>
          </cell>
          <cell r="E374">
            <v>15</v>
          </cell>
        </row>
        <row r="375">
          <cell r="A375" t="str">
            <v>DIS</v>
          </cell>
          <cell r="B375" t="str">
            <v>200420</v>
          </cell>
          <cell r="C375">
            <v>37</v>
          </cell>
          <cell r="D375">
            <v>11</v>
          </cell>
          <cell r="E375">
            <v>26</v>
          </cell>
        </row>
        <row r="376">
          <cell r="A376" t="str">
            <v>DIS</v>
          </cell>
          <cell r="B376" t="str">
            <v>200510</v>
          </cell>
          <cell r="C376">
            <v>19</v>
          </cell>
          <cell r="D376">
            <v>14</v>
          </cell>
          <cell r="E376">
            <v>5</v>
          </cell>
        </row>
        <row r="377">
          <cell r="A377" t="str">
            <v>DIS</v>
          </cell>
          <cell r="B377" t="str">
            <v>200520</v>
          </cell>
          <cell r="C377">
            <v>38</v>
          </cell>
          <cell r="D377">
            <v>9</v>
          </cell>
          <cell r="E377">
            <v>29</v>
          </cell>
        </row>
        <row r="378">
          <cell r="A378" t="str">
            <v>DIS</v>
          </cell>
          <cell r="B378" t="str">
            <v>200610</v>
          </cell>
          <cell r="C378">
            <v>18</v>
          </cell>
          <cell r="D378">
            <v>1</v>
          </cell>
          <cell r="E378">
            <v>17</v>
          </cell>
        </row>
        <row r="379">
          <cell r="A379" t="str">
            <v>DIS</v>
          </cell>
          <cell r="B379" t="str">
            <v>200620</v>
          </cell>
          <cell r="C379">
            <v>38</v>
          </cell>
          <cell r="D379">
            <v>15</v>
          </cell>
          <cell r="E379">
            <v>23</v>
          </cell>
        </row>
        <row r="380">
          <cell r="A380" t="str">
            <v>DIS</v>
          </cell>
          <cell r="B380" t="str">
            <v>200710</v>
          </cell>
          <cell r="C380">
            <v>18</v>
          </cell>
          <cell r="D380">
            <v>5</v>
          </cell>
          <cell r="E380">
            <v>13</v>
          </cell>
        </row>
        <row r="381">
          <cell r="A381" t="str">
            <v>DIS</v>
          </cell>
          <cell r="B381" t="str">
            <v>200720</v>
          </cell>
          <cell r="C381">
            <v>38</v>
          </cell>
          <cell r="D381">
            <v>16</v>
          </cell>
          <cell r="E381">
            <v>22</v>
          </cell>
        </row>
        <row r="382">
          <cell r="A382" t="str">
            <v>DIS</v>
          </cell>
          <cell r="B382" t="str">
            <v>200810</v>
          </cell>
          <cell r="C382">
            <v>38</v>
          </cell>
          <cell r="D382">
            <v>13</v>
          </cell>
          <cell r="E382">
            <v>25</v>
          </cell>
        </row>
        <row r="383">
          <cell r="A383" t="str">
            <v>DIS</v>
          </cell>
          <cell r="B383" t="str">
            <v>200820</v>
          </cell>
          <cell r="C383">
            <v>38</v>
          </cell>
          <cell r="D383">
            <v>14</v>
          </cell>
          <cell r="E383">
            <v>24</v>
          </cell>
        </row>
        <row r="384">
          <cell r="A384" t="str">
            <v>DIS</v>
          </cell>
          <cell r="B384" t="str">
            <v>200910</v>
          </cell>
          <cell r="C384">
            <v>36</v>
          </cell>
          <cell r="D384">
            <v>15</v>
          </cell>
          <cell r="E384">
            <v>21</v>
          </cell>
        </row>
        <row r="385">
          <cell r="A385" t="str">
            <v>DIS</v>
          </cell>
          <cell r="B385" t="str">
            <v>200920</v>
          </cell>
          <cell r="C385">
            <v>38</v>
          </cell>
          <cell r="D385">
            <v>19</v>
          </cell>
          <cell r="E385">
            <v>19</v>
          </cell>
        </row>
        <row r="386">
          <cell r="A386" t="str">
            <v>DIS</v>
          </cell>
          <cell r="B386" t="str">
            <v>201010</v>
          </cell>
          <cell r="C386">
            <v>19</v>
          </cell>
          <cell r="D386">
            <v>8</v>
          </cell>
          <cell r="E386">
            <v>11</v>
          </cell>
        </row>
        <row r="387">
          <cell r="A387" t="str">
            <v>DIS</v>
          </cell>
          <cell r="B387" t="str">
            <v>201020</v>
          </cell>
          <cell r="C387">
            <v>38</v>
          </cell>
          <cell r="D387">
            <v>13</v>
          </cell>
          <cell r="E387">
            <v>25</v>
          </cell>
        </row>
        <row r="388">
          <cell r="A388" t="str">
            <v>DIS</v>
          </cell>
          <cell r="B388" t="str">
            <v>201110</v>
          </cell>
          <cell r="C388">
            <v>21</v>
          </cell>
          <cell r="D388">
            <v>8</v>
          </cell>
          <cell r="E388">
            <v>13</v>
          </cell>
        </row>
        <row r="389">
          <cell r="A389" t="str">
            <v>DIS</v>
          </cell>
          <cell r="B389" t="str">
            <v>201120</v>
          </cell>
          <cell r="C389">
            <v>35</v>
          </cell>
          <cell r="D389">
            <v>9</v>
          </cell>
          <cell r="E389">
            <v>26</v>
          </cell>
        </row>
        <row r="390">
          <cell r="A390" t="str">
            <v>DIS</v>
          </cell>
          <cell r="B390" t="str">
            <v>201210</v>
          </cell>
          <cell r="C390">
            <v>19</v>
          </cell>
          <cell r="D390">
            <v>6</v>
          </cell>
          <cell r="E390">
            <v>13</v>
          </cell>
        </row>
        <row r="391">
          <cell r="A391" t="str">
            <v>DIS</v>
          </cell>
          <cell r="B391" t="str">
            <v>201220</v>
          </cell>
          <cell r="C391">
            <v>38</v>
          </cell>
          <cell r="D391">
            <v>12</v>
          </cell>
          <cell r="E391">
            <v>26</v>
          </cell>
        </row>
        <row r="392">
          <cell r="A392" t="str">
            <v>DIS</v>
          </cell>
          <cell r="B392" t="str">
            <v>201310</v>
          </cell>
          <cell r="C392">
            <v>18</v>
          </cell>
          <cell r="D392">
            <v>7</v>
          </cell>
          <cell r="E392">
            <v>11</v>
          </cell>
        </row>
        <row r="393">
          <cell r="A393" t="str">
            <v>DIS</v>
          </cell>
          <cell r="B393" t="str">
            <v>201320</v>
          </cell>
          <cell r="C393">
            <v>37</v>
          </cell>
          <cell r="D393">
            <v>12</v>
          </cell>
          <cell r="E393">
            <v>25</v>
          </cell>
        </row>
        <row r="394">
          <cell r="A394" t="str">
            <v>DIS</v>
          </cell>
          <cell r="B394" t="str">
            <v>201410</v>
          </cell>
          <cell r="C394">
            <v>19</v>
          </cell>
          <cell r="D394">
            <v>8</v>
          </cell>
          <cell r="E394">
            <v>11</v>
          </cell>
        </row>
        <row r="395">
          <cell r="A395" t="str">
            <v>DIS</v>
          </cell>
          <cell r="B395" t="str">
            <v>201420</v>
          </cell>
          <cell r="C395">
            <v>38</v>
          </cell>
          <cell r="D395">
            <v>9</v>
          </cell>
          <cell r="E395">
            <v>29</v>
          </cell>
        </row>
        <row r="396">
          <cell r="A396" t="str">
            <v>DIS</v>
          </cell>
          <cell r="B396" t="str">
            <v>201510</v>
          </cell>
          <cell r="C396">
            <v>16</v>
          </cell>
          <cell r="D396">
            <v>3</v>
          </cell>
          <cell r="E396">
            <v>12</v>
          </cell>
        </row>
        <row r="397">
          <cell r="A397" t="str">
            <v>DIS</v>
          </cell>
          <cell r="B397" t="str">
            <v>201520</v>
          </cell>
          <cell r="C397">
            <v>35</v>
          </cell>
          <cell r="D397">
            <v>12</v>
          </cell>
          <cell r="E397">
            <v>23</v>
          </cell>
        </row>
        <row r="398">
          <cell r="A398" t="str">
            <v>DIS</v>
          </cell>
          <cell r="B398" t="str">
            <v>201610</v>
          </cell>
          <cell r="C398">
            <v>14</v>
          </cell>
          <cell r="D398">
            <v>7</v>
          </cell>
          <cell r="E398">
            <v>7</v>
          </cell>
        </row>
        <row r="399">
          <cell r="A399" t="str">
            <v>DIS</v>
          </cell>
          <cell r="B399" t="str">
            <v>201620</v>
          </cell>
          <cell r="C399">
            <v>31</v>
          </cell>
          <cell r="D399">
            <v>7</v>
          </cell>
          <cell r="E399">
            <v>22</v>
          </cell>
        </row>
        <row r="400">
          <cell r="A400" t="str">
            <v>DIS</v>
          </cell>
          <cell r="B400" t="str">
            <v>201710</v>
          </cell>
          <cell r="C400">
            <v>18</v>
          </cell>
          <cell r="D400">
            <v>6</v>
          </cell>
          <cell r="E400">
            <v>11</v>
          </cell>
        </row>
        <row r="401">
          <cell r="A401" t="str">
            <v>DIS</v>
          </cell>
          <cell r="B401" t="str">
            <v>201720</v>
          </cell>
          <cell r="C401">
            <v>24</v>
          </cell>
          <cell r="D401">
            <v>4</v>
          </cell>
          <cell r="E401">
            <v>15</v>
          </cell>
        </row>
        <row r="402">
          <cell r="A402" t="str">
            <v>DIS</v>
          </cell>
          <cell r="B402" t="str">
            <v>201810</v>
          </cell>
          <cell r="C402">
            <v>16</v>
          </cell>
          <cell r="D402">
            <v>7</v>
          </cell>
          <cell r="E402">
            <v>9</v>
          </cell>
        </row>
        <row r="403">
          <cell r="A403" t="str">
            <v>DIS</v>
          </cell>
          <cell r="B403" t="str">
            <v>201820</v>
          </cell>
          <cell r="C403">
            <v>18</v>
          </cell>
          <cell r="D403">
            <v>4</v>
          </cell>
          <cell r="E403">
            <v>8</v>
          </cell>
        </row>
        <row r="404">
          <cell r="A404" t="str">
            <v>DIS</v>
          </cell>
          <cell r="B404" t="str">
            <v>201910</v>
          </cell>
          <cell r="C404">
            <v>14</v>
          </cell>
          <cell r="D404">
            <v>2</v>
          </cell>
          <cell r="E404">
            <v>0</v>
          </cell>
        </row>
        <row r="405">
          <cell r="A405" t="str">
            <v>DIS</v>
          </cell>
          <cell r="B405" t="str">
            <v>201920</v>
          </cell>
          <cell r="C405">
            <v>17</v>
          </cell>
          <cell r="D405">
            <v>5</v>
          </cell>
          <cell r="E405">
            <v>0</v>
          </cell>
        </row>
        <row r="406">
          <cell r="A406" t="str">
            <v>DIS</v>
          </cell>
          <cell r="B406" t="str">
            <v>202010</v>
          </cell>
          <cell r="C406">
            <v>13</v>
          </cell>
          <cell r="D406">
            <v>4</v>
          </cell>
          <cell r="E406">
            <v>0</v>
          </cell>
        </row>
        <row r="407">
          <cell r="A407" t="str">
            <v>DIS</v>
          </cell>
          <cell r="B407" t="str">
            <v>202020</v>
          </cell>
          <cell r="C407">
            <v>22</v>
          </cell>
          <cell r="D407">
            <v>6</v>
          </cell>
          <cell r="E407">
            <v>0</v>
          </cell>
        </row>
        <row r="408">
          <cell r="A408" t="str">
            <v>DIS</v>
          </cell>
          <cell r="B408" t="str">
            <v>202110</v>
          </cell>
          <cell r="C408">
            <v>15</v>
          </cell>
          <cell r="D408">
            <v>3</v>
          </cell>
          <cell r="E408">
            <v>0</v>
          </cell>
        </row>
        <row r="409">
          <cell r="A409" t="str">
            <v>DIS</v>
          </cell>
          <cell r="B409" t="str">
            <v>202120</v>
          </cell>
          <cell r="C409">
            <v>12</v>
          </cell>
          <cell r="D409">
            <v>5</v>
          </cell>
          <cell r="E409">
            <v>0</v>
          </cell>
        </row>
        <row r="410">
          <cell r="A410" t="str">
            <v>DIS</v>
          </cell>
          <cell r="B410" t="str">
            <v>202210</v>
          </cell>
          <cell r="C410">
            <v>10</v>
          </cell>
          <cell r="D410">
            <v>2</v>
          </cell>
          <cell r="E410">
            <v>0</v>
          </cell>
        </row>
        <row r="411">
          <cell r="A411" t="str">
            <v>DIS</v>
          </cell>
          <cell r="B411" t="str">
            <v>202220</v>
          </cell>
          <cell r="C411">
            <v>13</v>
          </cell>
          <cell r="D411">
            <v>1</v>
          </cell>
          <cell r="E411">
            <v>0</v>
          </cell>
        </row>
        <row r="412">
          <cell r="A412" t="str">
            <v>DIS</v>
          </cell>
          <cell r="B412" t="str">
            <v>202310</v>
          </cell>
          <cell r="C412">
            <v>19</v>
          </cell>
          <cell r="D412">
            <v>4</v>
          </cell>
          <cell r="E412">
            <v>0</v>
          </cell>
        </row>
        <row r="413">
          <cell r="A413" t="str">
            <v>DMI</v>
          </cell>
          <cell r="B413" t="str">
            <v>200520</v>
          </cell>
          <cell r="C413">
            <v>22</v>
          </cell>
          <cell r="D413">
            <v>9</v>
          </cell>
          <cell r="E413">
            <v>13</v>
          </cell>
        </row>
        <row r="414">
          <cell r="A414" t="str">
            <v>DMI</v>
          </cell>
          <cell r="B414" t="str">
            <v>200610</v>
          </cell>
          <cell r="C414">
            <v>20</v>
          </cell>
          <cell r="D414">
            <v>11</v>
          </cell>
          <cell r="E414">
            <v>9</v>
          </cell>
        </row>
        <row r="415">
          <cell r="A415" t="str">
            <v>DMI</v>
          </cell>
          <cell r="B415" t="str">
            <v>200620</v>
          </cell>
          <cell r="C415">
            <v>38</v>
          </cell>
          <cell r="D415">
            <v>12</v>
          </cell>
          <cell r="E415">
            <v>26</v>
          </cell>
        </row>
        <row r="416">
          <cell r="A416" t="str">
            <v>DMI</v>
          </cell>
          <cell r="B416" t="str">
            <v>200710</v>
          </cell>
          <cell r="C416">
            <v>19</v>
          </cell>
          <cell r="D416">
            <v>10</v>
          </cell>
          <cell r="E416">
            <v>9</v>
          </cell>
        </row>
        <row r="417">
          <cell r="A417" t="str">
            <v>DMI</v>
          </cell>
          <cell r="B417" t="str">
            <v>200720</v>
          </cell>
          <cell r="C417">
            <v>34</v>
          </cell>
          <cell r="D417">
            <v>15</v>
          </cell>
          <cell r="E417">
            <v>19</v>
          </cell>
        </row>
        <row r="418">
          <cell r="A418" t="str">
            <v>DMI</v>
          </cell>
          <cell r="B418" t="str">
            <v>200810</v>
          </cell>
          <cell r="C418">
            <v>18</v>
          </cell>
          <cell r="D418">
            <v>9</v>
          </cell>
          <cell r="E418">
            <v>9</v>
          </cell>
        </row>
        <row r="419">
          <cell r="A419" t="str">
            <v>DMI</v>
          </cell>
          <cell r="B419" t="str">
            <v>200820</v>
          </cell>
          <cell r="C419">
            <v>35</v>
          </cell>
          <cell r="D419">
            <v>18</v>
          </cell>
          <cell r="E419">
            <v>17</v>
          </cell>
        </row>
        <row r="420">
          <cell r="A420" t="str">
            <v>DMI</v>
          </cell>
          <cell r="B420" t="str">
            <v>200910</v>
          </cell>
          <cell r="C420">
            <v>18</v>
          </cell>
          <cell r="D420">
            <v>7</v>
          </cell>
          <cell r="E420">
            <v>11</v>
          </cell>
        </row>
        <row r="421">
          <cell r="A421" t="str">
            <v>DMI</v>
          </cell>
          <cell r="B421" t="str">
            <v>200920</v>
          </cell>
          <cell r="C421">
            <v>32</v>
          </cell>
          <cell r="D421">
            <v>13</v>
          </cell>
          <cell r="E421">
            <v>19</v>
          </cell>
        </row>
        <row r="422">
          <cell r="A422" t="str">
            <v>DMI</v>
          </cell>
          <cell r="B422" t="str">
            <v>201010</v>
          </cell>
          <cell r="C422">
            <v>19</v>
          </cell>
          <cell r="D422">
            <v>9</v>
          </cell>
          <cell r="E422">
            <v>10</v>
          </cell>
        </row>
        <row r="423">
          <cell r="A423" t="str">
            <v>DMI</v>
          </cell>
          <cell r="B423" t="str">
            <v>201020</v>
          </cell>
          <cell r="C423">
            <v>39</v>
          </cell>
          <cell r="D423">
            <v>18</v>
          </cell>
          <cell r="E423">
            <v>21</v>
          </cell>
        </row>
        <row r="424">
          <cell r="A424" t="str">
            <v>DMI</v>
          </cell>
          <cell r="B424" t="str">
            <v>201110</v>
          </cell>
          <cell r="C424">
            <v>24</v>
          </cell>
          <cell r="D424">
            <v>11</v>
          </cell>
          <cell r="E424">
            <v>13</v>
          </cell>
        </row>
        <row r="425">
          <cell r="A425" t="str">
            <v>DMI</v>
          </cell>
          <cell r="B425" t="str">
            <v>201120</v>
          </cell>
          <cell r="C425">
            <v>41</v>
          </cell>
          <cell r="D425">
            <v>23</v>
          </cell>
          <cell r="E425">
            <v>18</v>
          </cell>
        </row>
        <row r="426">
          <cell r="A426" t="str">
            <v>DMI</v>
          </cell>
          <cell r="B426" t="str">
            <v>201210</v>
          </cell>
          <cell r="C426">
            <v>23</v>
          </cell>
          <cell r="D426">
            <v>11</v>
          </cell>
          <cell r="E426">
            <v>12</v>
          </cell>
        </row>
        <row r="427">
          <cell r="A427" t="str">
            <v>DMI</v>
          </cell>
          <cell r="B427" t="str">
            <v>201220</v>
          </cell>
          <cell r="C427">
            <v>38</v>
          </cell>
          <cell r="D427">
            <v>16</v>
          </cell>
          <cell r="E427">
            <v>21</v>
          </cell>
        </row>
        <row r="428">
          <cell r="A428" t="str">
            <v>DMI</v>
          </cell>
          <cell r="B428" t="str">
            <v>201310</v>
          </cell>
          <cell r="C428">
            <v>18</v>
          </cell>
          <cell r="D428">
            <v>7</v>
          </cell>
          <cell r="E428">
            <v>11</v>
          </cell>
        </row>
        <row r="429">
          <cell r="A429" t="str">
            <v>DMI</v>
          </cell>
          <cell r="B429" t="str">
            <v>201320</v>
          </cell>
          <cell r="C429">
            <v>36</v>
          </cell>
          <cell r="D429">
            <v>8</v>
          </cell>
          <cell r="E429">
            <v>28</v>
          </cell>
        </row>
        <row r="430">
          <cell r="A430" t="str">
            <v>DMI</v>
          </cell>
          <cell r="B430" t="str">
            <v>201410</v>
          </cell>
          <cell r="C430">
            <v>18</v>
          </cell>
          <cell r="D430">
            <v>8</v>
          </cell>
          <cell r="E430">
            <v>10</v>
          </cell>
        </row>
        <row r="431">
          <cell r="A431" t="str">
            <v>DMI</v>
          </cell>
          <cell r="B431" t="str">
            <v>201420</v>
          </cell>
          <cell r="C431">
            <v>29</v>
          </cell>
          <cell r="D431">
            <v>11</v>
          </cell>
          <cell r="E431">
            <v>18</v>
          </cell>
        </row>
        <row r="432">
          <cell r="A432" t="str">
            <v>DMI</v>
          </cell>
          <cell r="B432" t="str">
            <v>201510</v>
          </cell>
          <cell r="C432">
            <v>31</v>
          </cell>
          <cell r="D432">
            <v>8</v>
          </cell>
          <cell r="E432">
            <v>23</v>
          </cell>
        </row>
        <row r="433">
          <cell r="A433" t="str">
            <v>DMI</v>
          </cell>
          <cell r="B433" t="str">
            <v>201520</v>
          </cell>
          <cell r="C433">
            <v>33</v>
          </cell>
          <cell r="D433">
            <v>10</v>
          </cell>
          <cell r="E433">
            <v>22</v>
          </cell>
        </row>
        <row r="434">
          <cell r="A434" t="str">
            <v>DMI</v>
          </cell>
          <cell r="B434" t="str">
            <v>201610</v>
          </cell>
          <cell r="C434">
            <v>34</v>
          </cell>
          <cell r="D434">
            <v>18</v>
          </cell>
          <cell r="E434">
            <v>15</v>
          </cell>
        </row>
        <row r="435">
          <cell r="A435" t="str">
            <v>DMI</v>
          </cell>
          <cell r="B435" t="str">
            <v>201620</v>
          </cell>
          <cell r="C435">
            <v>33</v>
          </cell>
          <cell r="D435">
            <v>12</v>
          </cell>
          <cell r="E435">
            <v>21</v>
          </cell>
        </row>
        <row r="436">
          <cell r="A436" t="str">
            <v>DMI</v>
          </cell>
          <cell r="B436" t="str">
            <v>201710</v>
          </cell>
          <cell r="C436">
            <v>27</v>
          </cell>
          <cell r="D436">
            <v>11</v>
          </cell>
          <cell r="E436">
            <v>15</v>
          </cell>
        </row>
        <row r="437">
          <cell r="A437" t="str">
            <v>DMI</v>
          </cell>
          <cell r="B437" t="str">
            <v>201720</v>
          </cell>
          <cell r="C437">
            <v>28</v>
          </cell>
          <cell r="D437">
            <v>8</v>
          </cell>
          <cell r="E437">
            <v>14</v>
          </cell>
        </row>
        <row r="438">
          <cell r="A438" t="str">
            <v>DMI</v>
          </cell>
          <cell r="B438" t="str">
            <v>201810</v>
          </cell>
          <cell r="C438">
            <v>33</v>
          </cell>
          <cell r="D438">
            <v>9</v>
          </cell>
          <cell r="E438">
            <v>15</v>
          </cell>
        </row>
        <row r="439">
          <cell r="A439" t="str">
            <v>DMI</v>
          </cell>
          <cell r="B439" t="str">
            <v>201820</v>
          </cell>
          <cell r="C439">
            <v>35</v>
          </cell>
          <cell r="D439">
            <v>10</v>
          </cell>
          <cell r="E439">
            <v>13</v>
          </cell>
        </row>
        <row r="440">
          <cell r="A440" t="str">
            <v>DMI</v>
          </cell>
          <cell r="B440" t="str">
            <v>201910</v>
          </cell>
          <cell r="C440">
            <v>17</v>
          </cell>
          <cell r="D440">
            <v>7</v>
          </cell>
          <cell r="E440">
            <v>0</v>
          </cell>
        </row>
        <row r="441">
          <cell r="A441" t="str">
            <v>DMI</v>
          </cell>
          <cell r="B441" t="str">
            <v>201920</v>
          </cell>
          <cell r="C441">
            <v>28</v>
          </cell>
          <cell r="D441">
            <v>10</v>
          </cell>
          <cell r="E441">
            <v>0</v>
          </cell>
        </row>
        <row r="442">
          <cell r="A442" t="str">
            <v>DMI</v>
          </cell>
          <cell r="B442" t="str">
            <v>202010</v>
          </cell>
          <cell r="C442">
            <v>37</v>
          </cell>
          <cell r="D442">
            <v>11</v>
          </cell>
          <cell r="E442">
            <v>0</v>
          </cell>
        </row>
        <row r="443">
          <cell r="A443" t="str">
            <v>DMI</v>
          </cell>
          <cell r="B443" t="str">
            <v>202020</v>
          </cell>
          <cell r="C443">
            <v>31</v>
          </cell>
          <cell r="D443">
            <v>6</v>
          </cell>
          <cell r="E443">
            <v>1</v>
          </cell>
        </row>
        <row r="444">
          <cell r="A444" t="str">
            <v>DMI</v>
          </cell>
          <cell r="B444" t="str">
            <v>202110</v>
          </cell>
          <cell r="C444">
            <v>29</v>
          </cell>
          <cell r="D444">
            <v>8</v>
          </cell>
          <cell r="E444">
            <v>0</v>
          </cell>
        </row>
        <row r="445">
          <cell r="A445" t="str">
            <v>DMI</v>
          </cell>
          <cell r="B445" t="str">
            <v>202120</v>
          </cell>
          <cell r="C445">
            <v>34</v>
          </cell>
          <cell r="D445">
            <v>5</v>
          </cell>
          <cell r="E445">
            <v>0</v>
          </cell>
        </row>
        <row r="446">
          <cell r="A446" t="str">
            <v>DMI</v>
          </cell>
          <cell r="B446" t="str">
            <v>202210</v>
          </cell>
          <cell r="C446">
            <v>46</v>
          </cell>
          <cell r="D446">
            <v>8</v>
          </cell>
          <cell r="E446">
            <v>0</v>
          </cell>
        </row>
        <row r="447">
          <cell r="A447" t="str">
            <v>DMI</v>
          </cell>
          <cell r="B447" t="str">
            <v>202220</v>
          </cell>
          <cell r="C447">
            <v>39</v>
          </cell>
          <cell r="D447">
            <v>11</v>
          </cell>
          <cell r="E447">
            <v>0</v>
          </cell>
        </row>
        <row r="448">
          <cell r="A448" t="str">
            <v>DMI</v>
          </cell>
          <cell r="B448" t="str">
            <v>202310</v>
          </cell>
          <cell r="C448">
            <v>25</v>
          </cell>
          <cell r="D448">
            <v>0</v>
          </cell>
          <cell r="E448">
            <v>0</v>
          </cell>
        </row>
        <row r="449">
          <cell r="A449" t="str">
            <v>ECO</v>
          </cell>
          <cell r="B449" t="str">
            <v>200620</v>
          </cell>
          <cell r="C449">
            <v>8</v>
          </cell>
          <cell r="D449">
            <v>5</v>
          </cell>
          <cell r="E449">
            <v>3</v>
          </cell>
        </row>
        <row r="450">
          <cell r="A450" t="str">
            <v>ECO</v>
          </cell>
          <cell r="B450" t="str">
            <v>200710</v>
          </cell>
          <cell r="C450">
            <v>3</v>
          </cell>
          <cell r="D450">
            <v>3</v>
          </cell>
          <cell r="E450">
            <v>0</v>
          </cell>
        </row>
        <row r="451">
          <cell r="A451" t="str">
            <v>ECO</v>
          </cell>
          <cell r="B451" t="str">
            <v>200720</v>
          </cell>
          <cell r="C451">
            <v>26</v>
          </cell>
          <cell r="D451">
            <v>9</v>
          </cell>
          <cell r="E451">
            <v>17</v>
          </cell>
        </row>
        <row r="452">
          <cell r="A452" t="str">
            <v>ECO</v>
          </cell>
          <cell r="B452" t="str">
            <v>200810</v>
          </cell>
          <cell r="C452">
            <v>15</v>
          </cell>
          <cell r="D452">
            <v>5</v>
          </cell>
          <cell r="E452">
            <v>10</v>
          </cell>
        </row>
        <row r="453">
          <cell r="A453" t="str">
            <v>ECO</v>
          </cell>
          <cell r="B453" t="str">
            <v>200820</v>
          </cell>
          <cell r="C453">
            <v>26</v>
          </cell>
          <cell r="D453">
            <v>20</v>
          </cell>
          <cell r="E453">
            <v>6</v>
          </cell>
        </row>
        <row r="454">
          <cell r="A454" t="str">
            <v>ECO</v>
          </cell>
          <cell r="B454" t="str">
            <v>200910</v>
          </cell>
          <cell r="C454">
            <v>13</v>
          </cell>
          <cell r="D454">
            <v>6</v>
          </cell>
          <cell r="E454">
            <v>7</v>
          </cell>
        </row>
        <row r="455">
          <cell r="A455" t="str">
            <v>ECO</v>
          </cell>
          <cell r="B455" t="str">
            <v>200920</v>
          </cell>
          <cell r="C455">
            <v>13</v>
          </cell>
          <cell r="D455">
            <v>8</v>
          </cell>
          <cell r="E455">
            <v>5</v>
          </cell>
        </row>
        <row r="456">
          <cell r="A456" t="str">
            <v>ECO</v>
          </cell>
          <cell r="B456" t="str">
            <v>201010</v>
          </cell>
          <cell r="C456">
            <v>4</v>
          </cell>
          <cell r="D456">
            <v>1</v>
          </cell>
          <cell r="E456">
            <v>3</v>
          </cell>
        </row>
        <row r="457">
          <cell r="A457" t="str">
            <v>ECO</v>
          </cell>
          <cell r="B457" t="str">
            <v>201020</v>
          </cell>
          <cell r="C457">
            <v>9</v>
          </cell>
          <cell r="D457">
            <v>1</v>
          </cell>
          <cell r="E457">
            <v>7</v>
          </cell>
        </row>
        <row r="458">
          <cell r="A458" t="str">
            <v>ECO</v>
          </cell>
          <cell r="B458" t="str">
            <v>201110</v>
          </cell>
          <cell r="C458">
            <v>5</v>
          </cell>
          <cell r="D458">
            <v>3</v>
          </cell>
          <cell r="E458">
            <v>2</v>
          </cell>
        </row>
        <row r="459">
          <cell r="A459" t="str">
            <v>ECO</v>
          </cell>
          <cell r="B459" t="str">
            <v>201120</v>
          </cell>
          <cell r="C459">
            <v>9</v>
          </cell>
          <cell r="D459">
            <v>3</v>
          </cell>
          <cell r="E459">
            <v>6</v>
          </cell>
        </row>
        <row r="460">
          <cell r="A460" t="str">
            <v>ECO</v>
          </cell>
          <cell r="B460" t="str">
            <v>201210</v>
          </cell>
          <cell r="C460">
            <v>4</v>
          </cell>
          <cell r="D460">
            <v>3</v>
          </cell>
          <cell r="E460">
            <v>1</v>
          </cell>
        </row>
        <row r="461">
          <cell r="A461" t="str">
            <v>ECO</v>
          </cell>
          <cell r="B461" t="str">
            <v>201220</v>
          </cell>
          <cell r="C461">
            <v>2</v>
          </cell>
          <cell r="D461">
            <v>0</v>
          </cell>
          <cell r="E461">
            <v>2</v>
          </cell>
        </row>
        <row r="462">
          <cell r="A462" t="str">
            <v>ECO</v>
          </cell>
          <cell r="B462" t="str">
            <v>201310</v>
          </cell>
          <cell r="C462">
            <v>1</v>
          </cell>
          <cell r="D462">
            <v>1</v>
          </cell>
          <cell r="E462">
            <v>0</v>
          </cell>
        </row>
        <row r="463">
          <cell r="A463" t="str">
            <v>ECO</v>
          </cell>
          <cell r="B463" t="str">
            <v>201320</v>
          </cell>
          <cell r="C463">
            <v>13</v>
          </cell>
          <cell r="D463">
            <v>5</v>
          </cell>
          <cell r="E463">
            <v>8</v>
          </cell>
        </row>
        <row r="464">
          <cell r="A464" t="str">
            <v>ECO</v>
          </cell>
          <cell r="B464" t="str">
            <v>201410</v>
          </cell>
          <cell r="C464">
            <v>4</v>
          </cell>
          <cell r="D464">
            <v>3</v>
          </cell>
          <cell r="E464">
            <v>1</v>
          </cell>
        </row>
        <row r="465">
          <cell r="A465" t="str">
            <v>ECO</v>
          </cell>
          <cell r="B465" t="str">
            <v>201420</v>
          </cell>
          <cell r="C465">
            <v>13</v>
          </cell>
          <cell r="D465">
            <v>7</v>
          </cell>
          <cell r="E465">
            <v>6</v>
          </cell>
        </row>
        <row r="466">
          <cell r="A466" t="str">
            <v>ECO</v>
          </cell>
          <cell r="B466" t="str">
            <v>201510</v>
          </cell>
          <cell r="C466">
            <v>12</v>
          </cell>
          <cell r="D466">
            <v>6</v>
          </cell>
          <cell r="E466">
            <v>6</v>
          </cell>
        </row>
        <row r="467">
          <cell r="A467" t="str">
            <v>ECO</v>
          </cell>
          <cell r="B467" t="str">
            <v>201520</v>
          </cell>
          <cell r="C467">
            <v>8</v>
          </cell>
          <cell r="D467">
            <v>1</v>
          </cell>
          <cell r="E467">
            <v>7</v>
          </cell>
        </row>
        <row r="468">
          <cell r="A468" t="str">
            <v>ECO</v>
          </cell>
          <cell r="B468" t="str">
            <v>201610</v>
          </cell>
          <cell r="C468">
            <v>12</v>
          </cell>
          <cell r="D468">
            <v>6</v>
          </cell>
          <cell r="E468">
            <v>5</v>
          </cell>
        </row>
        <row r="469">
          <cell r="A469" t="str">
            <v>ECO</v>
          </cell>
          <cell r="B469" t="str">
            <v>201620</v>
          </cell>
          <cell r="C469">
            <v>8</v>
          </cell>
          <cell r="D469">
            <v>2</v>
          </cell>
          <cell r="E469">
            <v>5</v>
          </cell>
        </row>
        <row r="470">
          <cell r="A470" t="str">
            <v>ECO</v>
          </cell>
          <cell r="B470" t="str">
            <v>201710</v>
          </cell>
          <cell r="C470">
            <v>9</v>
          </cell>
          <cell r="D470">
            <v>2</v>
          </cell>
          <cell r="E470">
            <v>7</v>
          </cell>
        </row>
        <row r="471">
          <cell r="A471" t="str">
            <v>ECO</v>
          </cell>
          <cell r="B471" t="str">
            <v>201720</v>
          </cell>
          <cell r="C471">
            <v>9</v>
          </cell>
          <cell r="D471">
            <v>2</v>
          </cell>
          <cell r="E471">
            <v>7</v>
          </cell>
        </row>
        <row r="472">
          <cell r="A472" t="str">
            <v>ECO</v>
          </cell>
          <cell r="B472" t="str">
            <v>201810</v>
          </cell>
          <cell r="C472">
            <v>5</v>
          </cell>
          <cell r="D472">
            <v>3</v>
          </cell>
          <cell r="E472">
            <v>2</v>
          </cell>
        </row>
        <row r="473">
          <cell r="A473" t="str">
            <v>ECO</v>
          </cell>
          <cell r="B473" t="str">
            <v>201820</v>
          </cell>
          <cell r="C473">
            <v>7</v>
          </cell>
          <cell r="D473">
            <v>2</v>
          </cell>
          <cell r="E473">
            <v>4</v>
          </cell>
        </row>
        <row r="474">
          <cell r="A474" t="str">
            <v>ECO</v>
          </cell>
          <cell r="B474" t="str">
            <v>201910</v>
          </cell>
          <cell r="C474">
            <v>4</v>
          </cell>
          <cell r="D474">
            <v>1</v>
          </cell>
          <cell r="E474">
            <v>1</v>
          </cell>
        </row>
        <row r="475">
          <cell r="A475" t="str">
            <v>ECO</v>
          </cell>
          <cell r="B475" t="str">
            <v>201920</v>
          </cell>
          <cell r="C475">
            <v>3</v>
          </cell>
          <cell r="D475">
            <v>0</v>
          </cell>
          <cell r="E475">
            <v>0</v>
          </cell>
        </row>
        <row r="476">
          <cell r="A476" t="str">
            <v>ECO</v>
          </cell>
          <cell r="B476" t="str">
            <v>202010</v>
          </cell>
          <cell r="C476">
            <v>4</v>
          </cell>
          <cell r="D476">
            <v>2</v>
          </cell>
          <cell r="E476">
            <v>0</v>
          </cell>
        </row>
        <row r="477">
          <cell r="A477" t="str">
            <v>ECO</v>
          </cell>
          <cell r="B477" t="str">
            <v>202020</v>
          </cell>
          <cell r="C477">
            <v>4</v>
          </cell>
          <cell r="D477">
            <v>2</v>
          </cell>
          <cell r="E477">
            <v>0</v>
          </cell>
        </row>
        <row r="478">
          <cell r="A478" t="str">
            <v>ECO</v>
          </cell>
          <cell r="B478" t="str">
            <v>202110</v>
          </cell>
          <cell r="C478">
            <v>4</v>
          </cell>
          <cell r="D478">
            <v>0</v>
          </cell>
          <cell r="E478">
            <v>0</v>
          </cell>
        </row>
        <row r="479">
          <cell r="A479" t="str">
            <v>ECO</v>
          </cell>
          <cell r="B479" t="str">
            <v>202120</v>
          </cell>
          <cell r="C479">
            <v>4</v>
          </cell>
          <cell r="D479">
            <v>1</v>
          </cell>
          <cell r="E479">
            <v>0</v>
          </cell>
        </row>
        <row r="480">
          <cell r="A480" t="str">
            <v>ECO</v>
          </cell>
          <cell r="B480" t="str">
            <v>202210</v>
          </cell>
          <cell r="C480">
            <v>6</v>
          </cell>
          <cell r="D480">
            <v>0</v>
          </cell>
          <cell r="E480">
            <v>0</v>
          </cell>
        </row>
        <row r="481">
          <cell r="A481" t="str">
            <v>ECO</v>
          </cell>
          <cell r="B481" t="str">
            <v>202220</v>
          </cell>
          <cell r="C481">
            <v>6</v>
          </cell>
          <cell r="D481">
            <v>0</v>
          </cell>
          <cell r="E481">
            <v>0</v>
          </cell>
        </row>
        <row r="482">
          <cell r="A482" t="str">
            <v>ECO</v>
          </cell>
          <cell r="B482" t="str">
            <v>202310</v>
          </cell>
          <cell r="C482">
            <v>6</v>
          </cell>
          <cell r="D482">
            <v>0</v>
          </cell>
          <cell r="E482">
            <v>0</v>
          </cell>
        </row>
        <row r="483">
          <cell r="A483" t="str">
            <v>ENI</v>
          </cell>
          <cell r="B483" t="str">
            <v>199520</v>
          </cell>
          <cell r="C483">
            <v>1</v>
          </cell>
          <cell r="D483">
            <v>1</v>
          </cell>
          <cell r="E483">
            <v>0</v>
          </cell>
        </row>
        <row r="484">
          <cell r="A484" t="str">
            <v>ENI</v>
          </cell>
          <cell r="B484" t="str">
            <v>199610</v>
          </cell>
          <cell r="C484">
            <v>2</v>
          </cell>
          <cell r="D484">
            <v>2</v>
          </cell>
          <cell r="E484">
            <v>0</v>
          </cell>
        </row>
        <row r="485">
          <cell r="A485" t="str">
            <v>ENI</v>
          </cell>
          <cell r="B485" t="str">
            <v>199620</v>
          </cell>
          <cell r="C485">
            <v>1</v>
          </cell>
          <cell r="D485">
            <v>0</v>
          </cell>
          <cell r="E485">
            <v>1</v>
          </cell>
        </row>
        <row r="486">
          <cell r="A486" t="str">
            <v>ENI</v>
          </cell>
          <cell r="B486" t="str">
            <v>199710</v>
          </cell>
          <cell r="C486">
            <v>2</v>
          </cell>
          <cell r="D486">
            <v>2</v>
          </cell>
          <cell r="E486">
            <v>0</v>
          </cell>
        </row>
        <row r="487">
          <cell r="A487" t="str">
            <v>ENI</v>
          </cell>
          <cell r="B487" t="str">
            <v>199720</v>
          </cell>
          <cell r="C487">
            <v>1</v>
          </cell>
          <cell r="D487">
            <v>1</v>
          </cell>
          <cell r="E487">
            <v>0</v>
          </cell>
        </row>
        <row r="488">
          <cell r="A488" t="str">
            <v>ENI</v>
          </cell>
          <cell r="B488" t="str">
            <v>199810</v>
          </cell>
          <cell r="C488">
            <v>1</v>
          </cell>
          <cell r="D488">
            <v>0</v>
          </cell>
          <cell r="E488">
            <v>1</v>
          </cell>
        </row>
        <row r="489">
          <cell r="A489" t="str">
            <v>ENI</v>
          </cell>
          <cell r="B489" t="str">
            <v>199820</v>
          </cell>
          <cell r="C489">
            <v>184</v>
          </cell>
          <cell r="D489">
            <v>87</v>
          </cell>
          <cell r="E489">
            <v>97</v>
          </cell>
        </row>
        <row r="490">
          <cell r="A490" t="str">
            <v>ENI</v>
          </cell>
          <cell r="B490" t="str">
            <v>199910</v>
          </cell>
          <cell r="C490">
            <v>64</v>
          </cell>
          <cell r="D490">
            <v>27</v>
          </cell>
          <cell r="E490">
            <v>37</v>
          </cell>
        </row>
        <row r="491">
          <cell r="A491" t="str">
            <v>ENI</v>
          </cell>
          <cell r="B491" t="str">
            <v>199920</v>
          </cell>
          <cell r="C491">
            <v>174</v>
          </cell>
          <cell r="D491">
            <v>84</v>
          </cell>
          <cell r="E491">
            <v>90</v>
          </cell>
        </row>
        <row r="492">
          <cell r="A492" t="str">
            <v>ENI</v>
          </cell>
          <cell r="B492" t="str">
            <v>200010</v>
          </cell>
          <cell r="C492">
            <v>49</v>
          </cell>
          <cell r="D492">
            <v>23</v>
          </cell>
          <cell r="E492">
            <v>26</v>
          </cell>
        </row>
        <row r="493">
          <cell r="A493" t="str">
            <v>ENI</v>
          </cell>
          <cell r="B493" t="str">
            <v>200020</v>
          </cell>
          <cell r="C493">
            <v>179</v>
          </cell>
          <cell r="D493">
            <v>87</v>
          </cell>
          <cell r="E493">
            <v>92</v>
          </cell>
        </row>
        <row r="494">
          <cell r="A494" t="str">
            <v>ENI</v>
          </cell>
          <cell r="B494" t="str">
            <v>200110</v>
          </cell>
          <cell r="C494">
            <v>49</v>
          </cell>
          <cell r="D494">
            <v>26</v>
          </cell>
          <cell r="E494">
            <v>23</v>
          </cell>
        </row>
        <row r="495">
          <cell r="A495" t="str">
            <v>ENI</v>
          </cell>
          <cell r="B495" t="str">
            <v>200120</v>
          </cell>
          <cell r="C495">
            <v>128</v>
          </cell>
          <cell r="D495">
            <v>54</v>
          </cell>
          <cell r="E495">
            <v>74</v>
          </cell>
        </row>
        <row r="496">
          <cell r="A496" t="str">
            <v>ENI</v>
          </cell>
          <cell r="B496" t="str">
            <v>200210</v>
          </cell>
          <cell r="C496">
            <v>45</v>
          </cell>
          <cell r="D496">
            <v>28</v>
          </cell>
          <cell r="E496">
            <v>17</v>
          </cell>
        </row>
        <row r="497">
          <cell r="A497" t="str">
            <v>ENI</v>
          </cell>
          <cell r="B497" t="str">
            <v>200220</v>
          </cell>
          <cell r="C497">
            <v>81</v>
          </cell>
          <cell r="D497">
            <v>40</v>
          </cell>
          <cell r="E497">
            <v>41</v>
          </cell>
        </row>
        <row r="498">
          <cell r="A498" t="str">
            <v>ENI</v>
          </cell>
          <cell r="B498" t="str">
            <v>200310</v>
          </cell>
          <cell r="C498">
            <v>50</v>
          </cell>
          <cell r="D498">
            <v>28</v>
          </cell>
          <cell r="E498">
            <v>22</v>
          </cell>
        </row>
        <row r="499">
          <cell r="A499" t="str">
            <v>ENI</v>
          </cell>
          <cell r="B499" t="str">
            <v>200320</v>
          </cell>
          <cell r="C499">
            <v>150</v>
          </cell>
          <cell r="D499">
            <v>76</v>
          </cell>
          <cell r="E499">
            <v>74</v>
          </cell>
        </row>
        <row r="500">
          <cell r="A500" t="str">
            <v>ENI</v>
          </cell>
          <cell r="B500" t="str">
            <v>200410</v>
          </cell>
          <cell r="C500">
            <v>54</v>
          </cell>
          <cell r="D500">
            <v>36</v>
          </cell>
          <cell r="E500">
            <v>18</v>
          </cell>
        </row>
        <row r="501">
          <cell r="A501" t="str">
            <v>ENI</v>
          </cell>
          <cell r="B501" t="str">
            <v>200420</v>
          </cell>
          <cell r="C501">
            <v>142</v>
          </cell>
          <cell r="D501">
            <v>76</v>
          </cell>
          <cell r="E501">
            <v>66</v>
          </cell>
        </row>
        <row r="502">
          <cell r="A502" t="str">
            <v>ENI</v>
          </cell>
          <cell r="B502" t="str">
            <v>200510</v>
          </cell>
          <cell r="C502">
            <v>50</v>
          </cell>
          <cell r="D502">
            <v>22</v>
          </cell>
          <cell r="E502">
            <v>28</v>
          </cell>
        </row>
        <row r="503">
          <cell r="A503" t="str">
            <v>ENI</v>
          </cell>
          <cell r="B503" t="str">
            <v>200520</v>
          </cell>
          <cell r="C503">
            <v>148</v>
          </cell>
          <cell r="D503">
            <v>72</v>
          </cell>
          <cell r="E503">
            <v>76</v>
          </cell>
        </row>
        <row r="504">
          <cell r="A504" t="str">
            <v>ENI</v>
          </cell>
          <cell r="B504" t="str">
            <v>200610</v>
          </cell>
          <cell r="C504">
            <v>43</v>
          </cell>
          <cell r="D504">
            <v>25</v>
          </cell>
          <cell r="E504">
            <v>18</v>
          </cell>
        </row>
        <row r="505">
          <cell r="A505" t="str">
            <v>ENI</v>
          </cell>
          <cell r="B505" t="str">
            <v>200620</v>
          </cell>
          <cell r="C505">
            <v>155</v>
          </cell>
          <cell r="D505">
            <v>74</v>
          </cell>
          <cell r="E505">
            <v>81</v>
          </cell>
        </row>
        <row r="506">
          <cell r="A506" t="str">
            <v>ENI</v>
          </cell>
          <cell r="B506" t="str">
            <v>200710</v>
          </cell>
          <cell r="C506">
            <v>50</v>
          </cell>
          <cell r="D506">
            <v>31</v>
          </cell>
          <cell r="E506">
            <v>19</v>
          </cell>
        </row>
        <row r="507">
          <cell r="A507" t="str">
            <v>ENI</v>
          </cell>
          <cell r="B507" t="str">
            <v>200720</v>
          </cell>
          <cell r="C507">
            <v>179</v>
          </cell>
          <cell r="D507">
            <v>91</v>
          </cell>
          <cell r="E507">
            <v>88</v>
          </cell>
        </row>
        <row r="508">
          <cell r="A508" t="str">
            <v>ENI</v>
          </cell>
          <cell r="B508" t="str">
            <v>200810</v>
          </cell>
          <cell r="C508">
            <v>71</v>
          </cell>
          <cell r="D508">
            <v>35</v>
          </cell>
          <cell r="E508">
            <v>36</v>
          </cell>
        </row>
        <row r="509">
          <cell r="A509" t="str">
            <v>ENI</v>
          </cell>
          <cell r="B509" t="str">
            <v>200820</v>
          </cell>
          <cell r="C509">
            <v>142</v>
          </cell>
          <cell r="D509">
            <v>68</v>
          </cell>
          <cell r="E509">
            <v>74</v>
          </cell>
        </row>
        <row r="510">
          <cell r="A510" t="str">
            <v>ENI</v>
          </cell>
          <cell r="B510" t="str">
            <v>200910</v>
          </cell>
          <cell r="C510">
            <v>55</v>
          </cell>
          <cell r="D510">
            <v>30</v>
          </cell>
          <cell r="E510">
            <v>25</v>
          </cell>
        </row>
        <row r="511">
          <cell r="A511" t="str">
            <v>ENI</v>
          </cell>
          <cell r="B511" t="str">
            <v>200920</v>
          </cell>
          <cell r="C511">
            <v>117</v>
          </cell>
          <cell r="D511">
            <v>44</v>
          </cell>
          <cell r="E511">
            <v>73</v>
          </cell>
        </row>
        <row r="512">
          <cell r="A512" t="str">
            <v>ENI</v>
          </cell>
          <cell r="B512" t="str">
            <v>201010</v>
          </cell>
          <cell r="C512">
            <v>33</v>
          </cell>
          <cell r="D512">
            <v>13</v>
          </cell>
          <cell r="E512">
            <v>20</v>
          </cell>
        </row>
        <row r="513">
          <cell r="A513" t="str">
            <v>ENI</v>
          </cell>
          <cell r="B513" t="str">
            <v>201020</v>
          </cell>
          <cell r="C513">
            <v>109</v>
          </cell>
          <cell r="D513">
            <v>38</v>
          </cell>
          <cell r="E513">
            <v>70</v>
          </cell>
        </row>
        <row r="514">
          <cell r="A514" t="str">
            <v>ENI</v>
          </cell>
          <cell r="B514" t="str">
            <v>201110</v>
          </cell>
          <cell r="C514">
            <v>60</v>
          </cell>
          <cell r="D514">
            <v>24</v>
          </cell>
          <cell r="E514">
            <v>36</v>
          </cell>
        </row>
        <row r="515">
          <cell r="A515" t="str">
            <v>ENI</v>
          </cell>
          <cell r="B515" t="str">
            <v>201120</v>
          </cell>
          <cell r="C515">
            <v>101</v>
          </cell>
          <cell r="D515">
            <v>49</v>
          </cell>
          <cell r="E515">
            <v>51</v>
          </cell>
        </row>
        <row r="516">
          <cell r="A516" t="str">
            <v>ENI</v>
          </cell>
          <cell r="B516" t="str">
            <v>201210</v>
          </cell>
          <cell r="C516">
            <v>78</v>
          </cell>
          <cell r="D516">
            <v>34</v>
          </cell>
          <cell r="E516">
            <v>44</v>
          </cell>
        </row>
        <row r="517">
          <cell r="A517" t="str">
            <v>ENI</v>
          </cell>
          <cell r="B517" t="str">
            <v>201220</v>
          </cell>
          <cell r="C517">
            <v>120</v>
          </cell>
          <cell r="D517">
            <v>50</v>
          </cell>
          <cell r="E517">
            <v>69</v>
          </cell>
        </row>
        <row r="518">
          <cell r="A518" t="str">
            <v>ENI</v>
          </cell>
          <cell r="B518" t="str">
            <v>201310</v>
          </cell>
          <cell r="C518">
            <v>101</v>
          </cell>
          <cell r="D518">
            <v>48</v>
          </cell>
          <cell r="E518">
            <v>53</v>
          </cell>
        </row>
        <row r="519">
          <cell r="A519" t="str">
            <v>ENI</v>
          </cell>
          <cell r="B519" t="str">
            <v>201320</v>
          </cell>
          <cell r="C519">
            <v>108</v>
          </cell>
          <cell r="D519">
            <v>45</v>
          </cell>
          <cell r="E519">
            <v>63</v>
          </cell>
        </row>
        <row r="520">
          <cell r="A520" t="str">
            <v>ENI</v>
          </cell>
          <cell r="B520" t="str">
            <v>201410</v>
          </cell>
          <cell r="C520">
            <v>70</v>
          </cell>
          <cell r="D520">
            <v>35</v>
          </cell>
          <cell r="E520">
            <v>35</v>
          </cell>
        </row>
        <row r="521">
          <cell r="A521" t="str">
            <v>ENI</v>
          </cell>
          <cell r="B521" t="str">
            <v>201420</v>
          </cell>
          <cell r="C521">
            <v>125</v>
          </cell>
          <cell r="D521">
            <v>57</v>
          </cell>
          <cell r="E521">
            <v>68</v>
          </cell>
        </row>
        <row r="522">
          <cell r="A522" t="str">
            <v>ENI</v>
          </cell>
          <cell r="B522" t="str">
            <v>201510</v>
          </cell>
          <cell r="C522">
            <v>105</v>
          </cell>
          <cell r="D522">
            <v>42</v>
          </cell>
          <cell r="E522">
            <v>61</v>
          </cell>
        </row>
        <row r="523">
          <cell r="A523" t="str">
            <v>ENI</v>
          </cell>
          <cell r="B523" t="str">
            <v>201520</v>
          </cell>
          <cell r="C523">
            <v>93</v>
          </cell>
          <cell r="D523">
            <v>29</v>
          </cell>
          <cell r="E523">
            <v>63</v>
          </cell>
        </row>
        <row r="524">
          <cell r="A524" t="str">
            <v>ENI</v>
          </cell>
          <cell r="B524" t="str">
            <v>201610</v>
          </cell>
          <cell r="C524">
            <v>137</v>
          </cell>
          <cell r="D524">
            <v>51</v>
          </cell>
          <cell r="E524">
            <v>86</v>
          </cell>
        </row>
        <row r="525">
          <cell r="A525" t="str">
            <v>ENI</v>
          </cell>
          <cell r="B525" t="str">
            <v>201620</v>
          </cell>
          <cell r="C525">
            <v>83</v>
          </cell>
          <cell r="D525">
            <v>31</v>
          </cell>
          <cell r="E525">
            <v>51</v>
          </cell>
        </row>
        <row r="526">
          <cell r="A526" t="str">
            <v>ENI</v>
          </cell>
          <cell r="B526" t="str">
            <v>201710</v>
          </cell>
          <cell r="C526">
            <v>93</v>
          </cell>
          <cell r="D526">
            <v>36</v>
          </cell>
          <cell r="E526">
            <v>55</v>
          </cell>
        </row>
        <row r="527">
          <cell r="A527" t="str">
            <v>ENI</v>
          </cell>
          <cell r="B527" t="str">
            <v>201720</v>
          </cell>
          <cell r="C527">
            <v>67</v>
          </cell>
          <cell r="D527">
            <v>20</v>
          </cell>
          <cell r="E527">
            <v>42</v>
          </cell>
        </row>
        <row r="528">
          <cell r="A528" t="str">
            <v>ENI</v>
          </cell>
          <cell r="B528" t="str">
            <v>201810</v>
          </cell>
          <cell r="C528">
            <v>60</v>
          </cell>
          <cell r="D528">
            <v>13</v>
          </cell>
          <cell r="E528">
            <v>35</v>
          </cell>
        </row>
        <row r="529">
          <cell r="A529" t="str">
            <v>ENI</v>
          </cell>
          <cell r="B529" t="str">
            <v>201820</v>
          </cell>
          <cell r="C529">
            <v>50</v>
          </cell>
          <cell r="D529">
            <v>21</v>
          </cell>
          <cell r="E529">
            <v>15</v>
          </cell>
        </row>
        <row r="530">
          <cell r="A530" t="str">
            <v>ENI</v>
          </cell>
          <cell r="B530" t="str">
            <v>201910</v>
          </cell>
          <cell r="C530">
            <v>45</v>
          </cell>
          <cell r="D530">
            <v>7</v>
          </cell>
          <cell r="E530">
            <v>6</v>
          </cell>
        </row>
        <row r="531">
          <cell r="A531" t="str">
            <v>ENI</v>
          </cell>
          <cell r="B531" t="str">
            <v>201920</v>
          </cell>
          <cell r="C531">
            <v>62</v>
          </cell>
          <cell r="D531">
            <v>20</v>
          </cell>
          <cell r="E531">
            <v>0</v>
          </cell>
        </row>
        <row r="532">
          <cell r="A532" t="str">
            <v>ENI</v>
          </cell>
          <cell r="B532" t="str">
            <v>202010</v>
          </cell>
          <cell r="C532">
            <v>52</v>
          </cell>
          <cell r="D532">
            <v>12</v>
          </cell>
          <cell r="E532">
            <v>1</v>
          </cell>
        </row>
        <row r="533">
          <cell r="A533" t="str">
            <v>ENI</v>
          </cell>
          <cell r="B533" t="str">
            <v>202020</v>
          </cell>
          <cell r="C533">
            <v>55</v>
          </cell>
          <cell r="D533">
            <v>11</v>
          </cell>
          <cell r="E533">
            <v>0</v>
          </cell>
        </row>
        <row r="534">
          <cell r="A534" t="str">
            <v>ENI</v>
          </cell>
          <cell r="B534" t="str">
            <v>202110</v>
          </cell>
          <cell r="C534">
            <v>46</v>
          </cell>
          <cell r="D534">
            <v>10</v>
          </cell>
          <cell r="E534">
            <v>0</v>
          </cell>
        </row>
        <row r="535">
          <cell r="A535" t="str">
            <v>ENI</v>
          </cell>
          <cell r="B535" t="str">
            <v>202120</v>
          </cell>
          <cell r="C535">
            <v>42</v>
          </cell>
          <cell r="D535">
            <v>9</v>
          </cell>
          <cell r="E535">
            <v>0</v>
          </cell>
        </row>
        <row r="536">
          <cell r="A536" t="str">
            <v>ENI</v>
          </cell>
          <cell r="B536" t="str">
            <v>202210</v>
          </cell>
          <cell r="C536">
            <v>64</v>
          </cell>
          <cell r="D536">
            <v>14</v>
          </cell>
          <cell r="E536">
            <v>0</v>
          </cell>
        </row>
        <row r="537">
          <cell r="A537" t="str">
            <v>ENI</v>
          </cell>
          <cell r="B537" t="str">
            <v>202220</v>
          </cell>
          <cell r="C537">
            <v>59</v>
          </cell>
          <cell r="D537">
            <v>7</v>
          </cell>
          <cell r="E537">
            <v>0</v>
          </cell>
        </row>
        <row r="538">
          <cell r="A538" t="str">
            <v>ENI</v>
          </cell>
          <cell r="B538" t="str">
            <v>202310</v>
          </cell>
          <cell r="C538">
            <v>41</v>
          </cell>
          <cell r="D538">
            <v>1</v>
          </cell>
          <cell r="E538">
            <v>0</v>
          </cell>
        </row>
        <row r="539">
          <cell r="A539" t="str">
            <v>ENI</v>
          </cell>
          <cell r="B539" t="str">
            <v>202320</v>
          </cell>
          <cell r="C539">
            <v>1</v>
          </cell>
          <cell r="D539">
            <v>0</v>
          </cell>
          <cell r="E539">
            <v>0</v>
          </cell>
        </row>
        <row r="540">
          <cell r="A540" t="str">
            <v>FIN</v>
          </cell>
          <cell r="B540" t="str">
            <v>201910</v>
          </cell>
          <cell r="C540">
            <v>14</v>
          </cell>
          <cell r="D540">
            <v>10</v>
          </cell>
          <cell r="E540">
            <v>1</v>
          </cell>
        </row>
        <row r="541">
          <cell r="A541" t="str">
            <v>FIN</v>
          </cell>
          <cell r="B541" t="str">
            <v>201920</v>
          </cell>
          <cell r="C541">
            <v>11</v>
          </cell>
          <cell r="D541">
            <v>2</v>
          </cell>
          <cell r="E541">
            <v>0</v>
          </cell>
        </row>
        <row r="542">
          <cell r="A542" t="str">
            <v>FIN</v>
          </cell>
          <cell r="B542" t="str">
            <v>202010</v>
          </cell>
          <cell r="C542">
            <v>14</v>
          </cell>
          <cell r="D542">
            <v>7</v>
          </cell>
          <cell r="E542">
            <v>2</v>
          </cell>
        </row>
        <row r="543">
          <cell r="A543" t="str">
            <v>FIN</v>
          </cell>
          <cell r="B543" t="str">
            <v>202020</v>
          </cell>
          <cell r="C543">
            <v>12</v>
          </cell>
          <cell r="D543">
            <v>3</v>
          </cell>
          <cell r="E543">
            <v>0</v>
          </cell>
        </row>
        <row r="544">
          <cell r="A544" t="str">
            <v>FIN</v>
          </cell>
          <cell r="B544" t="str">
            <v>202110</v>
          </cell>
          <cell r="C544">
            <v>15</v>
          </cell>
          <cell r="D544">
            <v>3</v>
          </cell>
          <cell r="E544">
            <v>0</v>
          </cell>
        </row>
        <row r="545">
          <cell r="A545" t="str">
            <v>FIN</v>
          </cell>
          <cell r="B545" t="str">
            <v>202120</v>
          </cell>
          <cell r="C545">
            <v>14</v>
          </cell>
          <cell r="D545">
            <v>3</v>
          </cell>
          <cell r="E545">
            <v>0</v>
          </cell>
        </row>
        <row r="546">
          <cell r="A546" t="str">
            <v>FIN</v>
          </cell>
          <cell r="B546" t="str">
            <v>202210</v>
          </cell>
          <cell r="C546">
            <v>32</v>
          </cell>
          <cell r="D546">
            <v>2</v>
          </cell>
          <cell r="E546">
            <v>0</v>
          </cell>
        </row>
        <row r="547">
          <cell r="A547" t="str">
            <v>FIN</v>
          </cell>
          <cell r="B547" t="str">
            <v>202220</v>
          </cell>
          <cell r="C547">
            <v>19</v>
          </cell>
          <cell r="D547">
            <v>4</v>
          </cell>
          <cell r="E547">
            <v>0</v>
          </cell>
        </row>
        <row r="548">
          <cell r="A548" t="str">
            <v>FIN</v>
          </cell>
          <cell r="B548" t="str">
            <v>202310</v>
          </cell>
          <cell r="C548">
            <v>20</v>
          </cell>
          <cell r="D548">
            <v>1</v>
          </cell>
          <cell r="E548">
            <v>0</v>
          </cell>
        </row>
        <row r="549">
          <cell r="A549" t="str">
            <v>IAG</v>
          </cell>
          <cell r="B549" t="str">
            <v>202120</v>
          </cell>
          <cell r="C549">
            <v>1</v>
          </cell>
          <cell r="D549">
            <v>1</v>
          </cell>
          <cell r="E549">
            <v>0</v>
          </cell>
        </row>
        <row r="550">
          <cell r="A550" t="str">
            <v>IBQ</v>
          </cell>
          <cell r="B550" t="str">
            <v>201520</v>
          </cell>
          <cell r="C550">
            <v>31</v>
          </cell>
          <cell r="D550">
            <v>9</v>
          </cell>
          <cell r="E550">
            <v>21</v>
          </cell>
        </row>
        <row r="551">
          <cell r="A551" t="str">
            <v>IBQ</v>
          </cell>
          <cell r="B551" t="str">
            <v>201610</v>
          </cell>
          <cell r="C551">
            <v>65</v>
          </cell>
          <cell r="D551">
            <v>20</v>
          </cell>
          <cell r="E551">
            <v>45</v>
          </cell>
        </row>
        <row r="552">
          <cell r="A552" t="str">
            <v>IBQ</v>
          </cell>
          <cell r="B552" t="str">
            <v>201620</v>
          </cell>
          <cell r="C552">
            <v>55</v>
          </cell>
          <cell r="D552">
            <v>21</v>
          </cell>
          <cell r="E552">
            <v>32</v>
          </cell>
        </row>
        <row r="553">
          <cell r="A553" t="str">
            <v>IBQ</v>
          </cell>
          <cell r="B553" t="str">
            <v>201710</v>
          </cell>
          <cell r="C553">
            <v>65</v>
          </cell>
          <cell r="D553">
            <v>13</v>
          </cell>
          <cell r="E553">
            <v>46</v>
          </cell>
        </row>
        <row r="554">
          <cell r="A554" t="str">
            <v>IBQ</v>
          </cell>
          <cell r="B554" t="str">
            <v>201720</v>
          </cell>
          <cell r="C554">
            <v>24</v>
          </cell>
          <cell r="D554">
            <v>7</v>
          </cell>
          <cell r="E554">
            <v>11</v>
          </cell>
        </row>
        <row r="555">
          <cell r="A555" t="str">
            <v>IBQ</v>
          </cell>
          <cell r="B555" t="str">
            <v>201810</v>
          </cell>
          <cell r="C555">
            <v>49</v>
          </cell>
          <cell r="D555">
            <v>15</v>
          </cell>
          <cell r="E555">
            <v>23</v>
          </cell>
        </row>
        <row r="556">
          <cell r="A556" t="str">
            <v>IBQ</v>
          </cell>
          <cell r="B556" t="str">
            <v>201820</v>
          </cell>
          <cell r="C556">
            <v>24</v>
          </cell>
          <cell r="D556">
            <v>8</v>
          </cell>
          <cell r="E556">
            <v>8</v>
          </cell>
        </row>
        <row r="557">
          <cell r="A557" t="str">
            <v>IBQ</v>
          </cell>
          <cell r="B557" t="str">
            <v>201910</v>
          </cell>
          <cell r="C557">
            <v>24</v>
          </cell>
          <cell r="D557">
            <v>5</v>
          </cell>
          <cell r="E557">
            <v>0</v>
          </cell>
        </row>
        <row r="558">
          <cell r="A558" t="str">
            <v>IBQ</v>
          </cell>
          <cell r="B558" t="str">
            <v>201920</v>
          </cell>
          <cell r="C558">
            <v>24</v>
          </cell>
          <cell r="D558">
            <v>8</v>
          </cell>
          <cell r="E558">
            <v>0</v>
          </cell>
        </row>
        <row r="559">
          <cell r="A559" t="str">
            <v>IBQ</v>
          </cell>
          <cell r="B559" t="str">
            <v>202010</v>
          </cell>
          <cell r="C559">
            <v>25</v>
          </cell>
          <cell r="D559">
            <v>3</v>
          </cell>
          <cell r="E559">
            <v>0</v>
          </cell>
        </row>
        <row r="560">
          <cell r="A560" t="str">
            <v>IBQ</v>
          </cell>
          <cell r="B560" t="str">
            <v>202020</v>
          </cell>
          <cell r="C560">
            <v>26</v>
          </cell>
          <cell r="D560">
            <v>5</v>
          </cell>
          <cell r="E560">
            <v>0</v>
          </cell>
        </row>
        <row r="561">
          <cell r="A561" t="str">
            <v>IBQ</v>
          </cell>
          <cell r="B561" t="str">
            <v>202110</v>
          </cell>
          <cell r="C561">
            <v>17</v>
          </cell>
          <cell r="D561">
            <v>2</v>
          </cell>
          <cell r="E561">
            <v>0</v>
          </cell>
        </row>
        <row r="562">
          <cell r="A562" t="str">
            <v>IBQ</v>
          </cell>
          <cell r="B562" t="str">
            <v>202120</v>
          </cell>
          <cell r="C562">
            <v>17</v>
          </cell>
          <cell r="D562">
            <v>2</v>
          </cell>
          <cell r="E562">
            <v>0</v>
          </cell>
        </row>
        <row r="563">
          <cell r="A563" t="str">
            <v>IBQ</v>
          </cell>
          <cell r="B563" t="str">
            <v>202210</v>
          </cell>
          <cell r="C563">
            <v>23</v>
          </cell>
          <cell r="D563">
            <v>9</v>
          </cell>
          <cell r="E563">
            <v>0</v>
          </cell>
        </row>
        <row r="564">
          <cell r="A564" t="str">
            <v>IBQ</v>
          </cell>
          <cell r="B564" t="str">
            <v>202220</v>
          </cell>
          <cell r="C564">
            <v>27</v>
          </cell>
          <cell r="D564">
            <v>7</v>
          </cell>
          <cell r="E564">
            <v>0</v>
          </cell>
        </row>
        <row r="565">
          <cell r="A565" t="str">
            <v>IBQ</v>
          </cell>
          <cell r="B565" t="str">
            <v>202310</v>
          </cell>
          <cell r="C565">
            <v>24</v>
          </cell>
          <cell r="D565">
            <v>4</v>
          </cell>
          <cell r="E565">
            <v>0</v>
          </cell>
        </row>
        <row r="566">
          <cell r="A566" t="str">
            <v>IND</v>
          </cell>
          <cell r="B566" t="str">
            <v>199720</v>
          </cell>
          <cell r="C566">
            <v>70</v>
          </cell>
          <cell r="D566">
            <v>41</v>
          </cell>
          <cell r="E566">
            <v>29</v>
          </cell>
        </row>
        <row r="567">
          <cell r="A567" t="str">
            <v>IND</v>
          </cell>
          <cell r="B567" t="str">
            <v>199810</v>
          </cell>
          <cell r="C567">
            <v>23</v>
          </cell>
          <cell r="D567">
            <v>15</v>
          </cell>
          <cell r="E567">
            <v>8</v>
          </cell>
        </row>
        <row r="568">
          <cell r="A568" t="str">
            <v>IND</v>
          </cell>
          <cell r="B568" t="str">
            <v>199820</v>
          </cell>
          <cell r="C568">
            <v>56</v>
          </cell>
          <cell r="D568">
            <v>35</v>
          </cell>
          <cell r="E568">
            <v>21</v>
          </cell>
        </row>
        <row r="569">
          <cell r="A569" t="str">
            <v>IND</v>
          </cell>
          <cell r="B569" t="str">
            <v>199910</v>
          </cell>
          <cell r="C569">
            <v>18</v>
          </cell>
          <cell r="D569">
            <v>7</v>
          </cell>
          <cell r="E569">
            <v>11</v>
          </cell>
        </row>
        <row r="570">
          <cell r="A570" t="str">
            <v>IND</v>
          </cell>
          <cell r="B570" t="str">
            <v>199920</v>
          </cell>
          <cell r="C570">
            <v>35</v>
          </cell>
          <cell r="D570">
            <v>16</v>
          </cell>
          <cell r="E570">
            <v>19</v>
          </cell>
        </row>
        <row r="571">
          <cell r="A571" t="str">
            <v>IND</v>
          </cell>
          <cell r="B571" t="str">
            <v>200010</v>
          </cell>
          <cell r="C571">
            <v>8</v>
          </cell>
          <cell r="D571">
            <v>4</v>
          </cell>
          <cell r="E571">
            <v>4</v>
          </cell>
        </row>
        <row r="572">
          <cell r="A572" t="str">
            <v>IND</v>
          </cell>
          <cell r="B572" t="str">
            <v>200020</v>
          </cell>
          <cell r="C572">
            <v>42</v>
          </cell>
          <cell r="D572">
            <v>17</v>
          </cell>
          <cell r="E572">
            <v>25</v>
          </cell>
        </row>
        <row r="573">
          <cell r="A573" t="str">
            <v>IND</v>
          </cell>
          <cell r="B573" t="str">
            <v>200110</v>
          </cell>
          <cell r="C573">
            <v>16</v>
          </cell>
          <cell r="D573">
            <v>8</v>
          </cell>
          <cell r="E573">
            <v>8</v>
          </cell>
        </row>
        <row r="574">
          <cell r="A574" t="str">
            <v>IND</v>
          </cell>
          <cell r="B574" t="str">
            <v>200120</v>
          </cell>
          <cell r="C574">
            <v>37</v>
          </cell>
          <cell r="D574">
            <v>17</v>
          </cell>
          <cell r="E574">
            <v>20</v>
          </cell>
        </row>
        <row r="575">
          <cell r="A575" t="str">
            <v>IND</v>
          </cell>
          <cell r="B575" t="str">
            <v>200210</v>
          </cell>
          <cell r="C575">
            <v>22</v>
          </cell>
          <cell r="D575">
            <v>9</v>
          </cell>
          <cell r="E575">
            <v>13</v>
          </cell>
        </row>
        <row r="576">
          <cell r="A576" t="str">
            <v>IND</v>
          </cell>
          <cell r="B576" t="str">
            <v>200220</v>
          </cell>
          <cell r="C576">
            <v>33</v>
          </cell>
          <cell r="D576">
            <v>13</v>
          </cell>
          <cell r="E576">
            <v>20</v>
          </cell>
        </row>
        <row r="577">
          <cell r="A577" t="str">
            <v>IND</v>
          </cell>
          <cell r="B577" t="str">
            <v>200310</v>
          </cell>
          <cell r="C577">
            <v>12</v>
          </cell>
          <cell r="D577">
            <v>8</v>
          </cell>
          <cell r="E577">
            <v>4</v>
          </cell>
        </row>
        <row r="578">
          <cell r="A578" t="str">
            <v>IND</v>
          </cell>
          <cell r="B578" t="str">
            <v>200320</v>
          </cell>
          <cell r="C578">
            <v>53</v>
          </cell>
          <cell r="D578">
            <v>30</v>
          </cell>
          <cell r="E578">
            <v>23</v>
          </cell>
        </row>
        <row r="579">
          <cell r="A579" t="str">
            <v>IND</v>
          </cell>
          <cell r="B579" t="str">
            <v>200410</v>
          </cell>
          <cell r="C579">
            <v>19</v>
          </cell>
          <cell r="D579">
            <v>9</v>
          </cell>
          <cell r="E579">
            <v>10</v>
          </cell>
        </row>
        <row r="580">
          <cell r="A580" t="str">
            <v>IND</v>
          </cell>
          <cell r="B580" t="str">
            <v>200420</v>
          </cell>
          <cell r="C580">
            <v>63</v>
          </cell>
          <cell r="D580">
            <v>27</v>
          </cell>
          <cell r="E580">
            <v>36</v>
          </cell>
        </row>
        <row r="581">
          <cell r="A581" t="str">
            <v>IND</v>
          </cell>
          <cell r="B581" t="str">
            <v>200510</v>
          </cell>
          <cell r="C581">
            <v>24</v>
          </cell>
          <cell r="D581">
            <v>12</v>
          </cell>
          <cell r="E581">
            <v>12</v>
          </cell>
        </row>
        <row r="582">
          <cell r="A582" t="str">
            <v>IND</v>
          </cell>
          <cell r="B582" t="str">
            <v>200520</v>
          </cell>
          <cell r="C582">
            <v>102</v>
          </cell>
          <cell r="D582">
            <v>51</v>
          </cell>
          <cell r="E582">
            <v>51</v>
          </cell>
        </row>
        <row r="583">
          <cell r="A583" t="str">
            <v>IND</v>
          </cell>
          <cell r="B583" t="str">
            <v>200610</v>
          </cell>
          <cell r="C583">
            <v>24</v>
          </cell>
          <cell r="D583">
            <v>6</v>
          </cell>
          <cell r="E583">
            <v>18</v>
          </cell>
        </row>
        <row r="584">
          <cell r="A584" t="str">
            <v>IND</v>
          </cell>
          <cell r="B584" t="str">
            <v>200620</v>
          </cell>
          <cell r="C584">
            <v>109</v>
          </cell>
          <cell r="D584">
            <v>36</v>
          </cell>
          <cell r="E584">
            <v>73</v>
          </cell>
        </row>
        <row r="585">
          <cell r="A585" t="str">
            <v>IND</v>
          </cell>
          <cell r="B585" t="str">
            <v>200710</v>
          </cell>
          <cell r="C585">
            <v>35</v>
          </cell>
          <cell r="D585">
            <v>18</v>
          </cell>
          <cell r="E585">
            <v>17</v>
          </cell>
        </row>
        <row r="586">
          <cell r="A586" t="str">
            <v>IND</v>
          </cell>
          <cell r="B586" t="str">
            <v>200720</v>
          </cell>
          <cell r="C586">
            <v>113</v>
          </cell>
          <cell r="D586">
            <v>42</v>
          </cell>
          <cell r="E586">
            <v>71</v>
          </cell>
        </row>
        <row r="587">
          <cell r="A587" t="str">
            <v>IND</v>
          </cell>
          <cell r="B587" t="str">
            <v>200810</v>
          </cell>
          <cell r="C587">
            <v>41</v>
          </cell>
          <cell r="D587">
            <v>20</v>
          </cell>
          <cell r="E587">
            <v>21</v>
          </cell>
        </row>
        <row r="588">
          <cell r="A588" t="str">
            <v>IND</v>
          </cell>
          <cell r="B588" t="str">
            <v>200820</v>
          </cell>
          <cell r="C588">
            <v>129</v>
          </cell>
          <cell r="D588">
            <v>39</v>
          </cell>
          <cell r="E588">
            <v>90</v>
          </cell>
        </row>
        <row r="589">
          <cell r="A589" t="str">
            <v>IND</v>
          </cell>
          <cell r="B589" t="str">
            <v>200910</v>
          </cell>
          <cell r="C589">
            <v>42</v>
          </cell>
          <cell r="D589">
            <v>12</v>
          </cell>
          <cell r="E589">
            <v>30</v>
          </cell>
        </row>
        <row r="590">
          <cell r="A590" t="str">
            <v>IND</v>
          </cell>
          <cell r="B590" t="str">
            <v>200920</v>
          </cell>
          <cell r="C590">
            <v>106</v>
          </cell>
          <cell r="D590">
            <v>39</v>
          </cell>
          <cell r="E590">
            <v>67</v>
          </cell>
        </row>
        <row r="591">
          <cell r="A591" t="str">
            <v>IND</v>
          </cell>
          <cell r="B591" t="str">
            <v>201010</v>
          </cell>
          <cell r="C591">
            <v>43</v>
          </cell>
          <cell r="D591">
            <v>18</v>
          </cell>
          <cell r="E591">
            <v>25</v>
          </cell>
        </row>
        <row r="592">
          <cell r="A592" t="str">
            <v>IND</v>
          </cell>
          <cell r="B592" t="str">
            <v>201020</v>
          </cell>
          <cell r="C592">
            <v>86</v>
          </cell>
          <cell r="D592">
            <v>29</v>
          </cell>
          <cell r="E592">
            <v>57</v>
          </cell>
        </row>
        <row r="593">
          <cell r="A593" t="str">
            <v>IND</v>
          </cell>
          <cell r="B593" t="str">
            <v>201110</v>
          </cell>
          <cell r="C593">
            <v>45</v>
          </cell>
          <cell r="D593">
            <v>23</v>
          </cell>
          <cell r="E593">
            <v>22</v>
          </cell>
        </row>
        <row r="594">
          <cell r="A594" t="str">
            <v>IND</v>
          </cell>
          <cell r="B594" t="str">
            <v>201120</v>
          </cell>
          <cell r="C594">
            <v>95</v>
          </cell>
          <cell r="D594">
            <v>29</v>
          </cell>
          <cell r="E594">
            <v>66</v>
          </cell>
        </row>
        <row r="595">
          <cell r="A595" t="str">
            <v>IND</v>
          </cell>
          <cell r="B595" t="str">
            <v>201210</v>
          </cell>
          <cell r="C595">
            <v>58</v>
          </cell>
          <cell r="D595">
            <v>27</v>
          </cell>
          <cell r="E595">
            <v>31</v>
          </cell>
        </row>
        <row r="596">
          <cell r="A596" t="str">
            <v>IND</v>
          </cell>
          <cell r="B596" t="str">
            <v>201220</v>
          </cell>
          <cell r="C596">
            <v>86</v>
          </cell>
          <cell r="D596">
            <v>40</v>
          </cell>
          <cell r="E596">
            <v>46</v>
          </cell>
        </row>
        <row r="597">
          <cell r="A597" t="str">
            <v>IND</v>
          </cell>
          <cell r="B597" t="str">
            <v>201310</v>
          </cell>
          <cell r="C597">
            <v>64</v>
          </cell>
          <cell r="D597">
            <v>33</v>
          </cell>
          <cell r="E597">
            <v>31</v>
          </cell>
        </row>
        <row r="598">
          <cell r="A598" t="str">
            <v>IND</v>
          </cell>
          <cell r="B598" t="str">
            <v>201320</v>
          </cell>
          <cell r="C598">
            <v>67</v>
          </cell>
          <cell r="D598">
            <v>25</v>
          </cell>
          <cell r="E598">
            <v>42</v>
          </cell>
        </row>
        <row r="599">
          <cell r="A599" t="str">
            <v>IND</v>
          </cell>
          <cell r="B599" t="str">
            <v>201410</v>
          </cell>
          <cell r="C599">
            <v>53</v>
          </cell>
          <cell r="D599">
            <v>25</v>
          </cell>
          <cell r="E599">
            <v>28</v>
          </cell>
        </row>
        <row r="600">
          <cell r="A600" t="str">
            <v>IND</v>
          </cell>
          <cell r="B600" t="str">
            <v>201420</v>
          </cell>
          <cell r="C600">
            <v>77</v>
          </cell>
          <cell r="D600">
            <v>24</v>
          </cell>
          <cell r="E600">
            <v>52</v>
          </cell>
        </row>
        <row r="601">
          <cell r="A601" t="str">
            <v>IND</v>
          </cell>
          <cell r="B601" t="str">
            <v>201510</v>
          </cell>
          <cell r="C601">
            <v>109</v>
          </cell>
          <cell r="D601">
            <v>36</v>
          </cell>
          <cell r="E601">
            <v>72</v>
          </cell>
        </row>
        <row r="602">
          <cell r="A602" t="str">
            <v>IND</v>
          </cell>
          <cell r="B602" t="str">
            <v>201520</v>
          </cell>
          <cell r="C602">
            <v>54</v>
          </cell>
          <cell r="D602">
            <v>17</v>
          </cell>
          <cell r="E602">
            <v>36</v>
          </cell>
        </row>
        <row r="603">
          <cell r="A603" t="str">
            <v>IND</v>
          </cell>
          <cell r="B603" t="str">
            <v>201610</v>
          </cell>
          <cell r="C603">
            <v>136</v>
          </cell>
          <cell r="D603">
            <v>39</v>
          </cell>
          <cell r="E603">
            <v>95</v>
          </cell>
        </row>
        <row r="604">
          <cell r="A604" t="str">
            <v>IND</v>
          </cell>
          <cell r="B604" t="str">
            <v>201620</v>
          </cell>
          <cell r="C604">
            <v>70</v>
          </cell>
          <cell r="D604">
            <v>21</v>
          </cell>
          <cell r="E604">
            <v>49</v>
          </cell>
        </row>
        <row r="605">
          <cell r="A605" t="str">
            <v>IND</v>
          </cell>
          <cell r="B605" t="str">
            <v>201710</v>
          </cell>
          <cell r="C605">
            <v>72</v>
          </cell>
          <cell r="D605">
            <v>14</v>
          </cell>
          <cell r="E605">
            <v>57</v>
          </cell>
        </row>
        <row r="606">
          <cell r="A606" t="str">
            <v>IND</v>
          </cell>
          <cell r="B606" t="str">
            <v>201720</v>
          </cell>
          <cell r="C606">
            <v>52</v>
          </cell>
          <cell r="D606">
            <v>17</v>
          </cell>
          <cell r="E606">
            <v>27</v>
          </cell>
        </row>
        <row r="607">
          <cell r="A607" t="str">
            <v>IND</v>
          </cell>
          <cell r="B607" t="str">
            <v>201810</v>
          </cell>
          <cell r="C607">
            <v>42</v>
          </cell>
          <cell r="D607">
            <v>10</v>
          </cell>
          <cell r="E607">
            <v>28</v>
          </cell>
        </row>
        <row r="608">
          <cell r="A608" t="str">
            <v>IND</v>
          </cell>
          <cell r="B608" t="str">
            <v>201820</v>
          </cell>
          <cell r="C608">
            <v>61</v>
          </cell>
          <cell r="D608">
            <v>15</v>
          </cell>
          <cell r="E608">
            <v>31</v>
          </cell>
        </row>
        <row r="609">
          <cell r="A609" t="str">
            <v>IND</v>
          </cell>
          <cell r="B609" t="str">
            <v>201910</v>
          </cell>
          <cell r="C609">
            <v>22</v>
          </cell>
          <cell r="D609">
            <v>4</v>
          </cell>
          <cell r="E609">
            <v>2</v>
          </cell>
        </row>
        <row r="610">
          <cell r="A610" t="str">
            <v>IND</v>
          </cell>
          <cell r="B610" t="str">
            <v>201920</v>
          </cell>
          <cell r="C610">
            <v>30</v>
          </cell>
          <cell r="D610">
            <v>3</v>
          </cell>
          <cell r="E610">
            <v>1</v>
          </cell>
        </row>
        <row r="611">
          <cell r="A611" t="str">
            <v>IND</v>
          </cell>
          <cell r="B611" t="str">
            <v>202010</v>
          </cell>
          <cell r="C611">
            <v>27</v>
          </cell>
          <cell r="D611">
            <v>3</v>
          </cell>
          <cell r="E611">
            <v>1</v>
          </cell>
        </row>
        <row r="612">
          <cell r="A612" t="str">
            <v>IND</v>
          </cell>
          <cell r="B612" t="str">
            <v>202020</v>
          </cell>
          <cell r="C612">
            <v>30</v>
          </cell>
          <cell r="D612">
            <v>7</v>
          </cell>
          <cell r="E612">
            <v>0</v>
          </cell>
        </row>
        <row r="613">
          <cell r="A613" t="str">
            <v>IND</v>
          </cell>
          <cell r="B613" t="str">
            <v>202110</v>
          </cell>
          <cell r="C613">
            <v>13</v>
          </cell>
          <cell r="D613">
            <v>1</v>
          </cell>
          <cell r="E613">
            <v>0</v>
          </cell>
        </row>
        <row r="614">
          <cell r="A614" t="str">
            <v>IND</v>
          </cell>
          <cell r="B614" t="str">
            <v>202120</v>
          </cell>
          <cell r="C614">
            <v>20</v>
          </cell>
          <cell r="D614">
            <v>5</v>
          </cell>
          <cell r="E614">
            <v>0</v>
          </cell>
        </row>
        <row r="615">
          <cell r="A615" t="str">
            <v>IND</v>
          </cell>
          <cell r="B615" t="str">
            <v>202210</v>
          </cell>
          <cell r="C615">
            <v>28</v>
          </cell>
          <cell r="D615">
            <v>4</v>
          </cell>
          <cell r="E615">
            <v>0</v>
          </cell>
        </row>
        <row r="616">
          <cell r="A616" t="str">
            <v>IND</v>
          </cell>
          <cell r="B616" t="str">
            <v>202220</v>
          </cell>
          <cell r="C616">
            <v>29</v>
          </cell>
          <cell r="D616">
            <v>4</v>
          </cell>
          <cell r="E616">
            <v>0</v>
          </cell>
        </row>
        <row r="617">
          <cell r="A617" t="str">
            <v>IND</v>
          </cell>
          <cell r="B617" t="str">
            <v>202310</v>
          </cell>
          <cell r="C617">
            <v>31</v>
          </cell>
          <cell r="D617">
            <v>1</v>
          </cell>
          <cell r="E617">
            <v>0</v>
          </cell>
        </row>
        <row r="618">
          <cell r="A618" t="str">
            <v>LAT</v>
          </cell>
          <cell r="B618" t="str">
            <v>201520</v>
          </cell>
          <cell r="C618">
            <v>3</v>
          </cell>
          <cell r="D618">
            <v>2</v>
          </cell>
          <cell r="E618">
            <v>1</v>
          </cell>
        </row>
        <row r="619">
          <cell r="A619" t="str">
            <v>LAT</v>
          </cell>
          <cell r="B619" t="str">
            <v>201610</v>
          </cell>
          <cell r="C619">
            <v>2</v>
          </cell>
          <cell r="D619">
            <v>0</v>
          </cell>
          <cell r="E619">
            <v>2</v>
          </cell>
        </row>
        <row r="620">
          <cell r="A620" t="str">
            <v>LAT</v>
          </cell>
          <cell r="B620" t="str">
            <v>201620</v>
          </cell>
          <cell r="C620">
            <v>6</v>
          </cell>
          <cell r="D620">
            <v>5</v>
          </cell>
          <cell r="E620">
            <v>1</v>
          </cell>
        </row>
        <row r="621">
          <cell r="A621" t="str">
            <v>LAT</v>
          </cell>
          <cell r="B621" t="str">
            <v>201710</v>
          </cell>
          <cell r="C621">
            <v>2</v>
          </cell>
          <cell r="D621">
            <v>2</v>
          </cell>
          <cell r="E621">
            <v>0</v>
          </cell>
        </row>
        <row r="622">
          <cell r="A622" t="str">
            <v>LAT</v>
          </cell>
          <cell r="B622" t="str">
            <v>201720</v>
          </cell>
          <cell r="C622">
            <v>1</v>
          </cell>
          <cell r="D622">
            <v>1</v>
          </cell>
          <cell r="E622">
            <v>0</v>
          </cell>
        </row>
        <row r="623">
          <cell r="A623" t="str">
            <v>LAT</v>
          </cell>
          <cell r="B623" t="str">
            <v>201810</v>
          </cell>
          <cell r="C623">
            <v>1</v>
          </cell>
          <cell r="D623">
            <v>1</v>
          </cell>
          <cell r="E623">
            <v>0</v>
          </cell>
        </row>
        <row r="624">
          <cell r="A624" t="str">
            <v>LAT</v>
          </cell>
          <cell r="B624" t="str">
            <v>201820</v>
          </cell>
          <cell r="C624">
            <v>1</v>
          </cell>
          <cell r="D624">
            <v>1</v>
          </cell>
          <cell r="E624">
            <v>0</v>
          </cell>
        </row>
        <row r="625">
          <cell r="A625" t="str">
            <v>LAT</v>
          </cell>
          <cell r="B625" t="str">
            <v>201910</v>
          </cell>
          <cell r="C625">
            <v>2</v>
          </cell>
          <cell r="D625">
            <v>1</v>
          </cell>
          <cell r="E625">
            <v>0</v>
          </cell>
        </row>
        <row r="626">
          <cell r="A626" t="str">
            <v>LAT</v>
          </cell>
          <cell r="B626" t="str">
            <v>202010</v>
          </cell>
          <cell r="C626">
            <v>3</v>
          </cell>
          <cell r="D626">
            <v>0</v>
          </cell>
          <cell r="E626">
            <v>0</v>
          </cell>
        </row>
        <row r="627">
          <cell r="A627" t="str">
            <v>LAT</v>
          </cell>
          <cell r="B627" t="str">
            <v>202110</v>
          </cell>
          <cell r="C627">
            <v>2</v>
          </cell>
          <cell r="D627">
            <v>1</v>
          </cell>
          <cell r="E627">
            <v>0</v>
          </cell>
        </row>
        <row r="628">
          <cell r="A628" t="str">
            <v>LAT</v>
          </cell>
          <cell r="B628" t="str">
            <v>202120</v>
          </cell>
          <cell r="C628">
            <v>4</v>
          </cell>
          <cell r="D628">
            <v>1</v>
          </cell>
          <cell r="E628">
            <v>0</v>
          </cell>
        </row>
        <row r="629">
          <cell r="A629" t="str">
            <v>LAT</v>
          </cell>
          <cell r="B629" t="str">
            <v>202210</v>
          </cell>
          <cell r="C629">
            <v>3</v>
          </cell>
          <cell r="D629">
            <v>0</v>
          </cell>
          <cell r="E629">
            <v>0</v>
          </cell>
        </row>
        <row r="630">
          <cell r="A630" t="str">
            <v>LAT</v>
          </cell>
          <cell r="B630" t="str">
            <v>202220</v>
          </cell>
          <cell r="C630">
            <v>2</v>
          </cell>
          <cell r="D630">
            <v>1</v>
          </cell>
          <cell r="E630">
            <v>0</v>
          </cell>
        </row>
        <row r="631">
          <cell r="A631" t="str">
            <v>LAT</v>
          </cell>
          <cell r="B631" t="str">
            <v>202310</v>
          </cell>
          <cell r="C631">
            <v>4</v>
          </cell>
          <cell r="D631">
            <v>1</v>
          </cell>
          <cell r="E631">
            <v>0</v>
          </cell>
        </row>
        <row r="632">
          <cell r="A632" t="str">
            <v>LBP</v>
          </cell>
          <cell r="B632" t="str">
            <v>201520</v>
          </cell>
          <cell r="C632">
            <v>3</v>
          </cell>
          <cell r="D632">
            <v>0</v>
          </cell>
          <cell r="E632">
            <v>3</v>
          </cell>
        </row>
        <row r="633">
          <cell r="A633" t="str">
            <v>LBP</v>
          </cell>
          <cell r="B633" t="str">
            <v>201610</v>
          </cell>
          <cell r="C633">
            <v>3</v>
          </cell>
          <cell r="D633">
            <v>0</v>
          </cell>
          <cell r="E633">
            <v>3</v>
          </cell>
        </row>
        <row r="634">
          <cell r="A634" t="str">
            <v>LBP</v>
          </cell>
          <cell r="B634" t="str">
            <v>201620</v>
          </cell>
          <cell r="C634">
            <v>2</v>
          </cell>
          <cell r="D634">
            <v>1</v>
          </cell>
          <cell r="E634">
            <v>1</v>
          </cell>
        </row>
        <row r="635">
          <cell r="A635" t="str">
            <v>LBP</v>
          </cell>
          <cell r="B635" t="str">
            <v>201710</v>
          </cell>
          <cell r="C635">
            <v>5</v>
          </cell>
          <cell r="D635">
            <v>1</v>
          </cell>
          <cell r="E635">
            <v>4</v>
          </cell>
        </row>
        <row r="636">
          <cell r="A636" t="str">
            <v>LBP</v>
          </cell>
          <cell r="B636" t="str">
            <v>201720</v>
          </cell>
          <cell r="C636">
            <v>2</v>
          </cell>
          <cell r="D636">
            <v>0</v>
          </cell>
          <cell r="E636">
            <v>2</v>
          </cell>
        </row>
        <row r="637">
          <cell r="A637" t="str">
            <v>LBP</v>
          </cell>
          <cell r="B637" t="str">
            <v>201820</v>
          </cell>
          <cell r="C637">
            <v>3</v>
          </cell>
          <cell r="D637">
            <v>2</v>
          </cell>
          <cell r="E637">
            <v>1</v>
          </cell>
        </row>
        <row r="638">
          <cell r="A638" t="str">
            <v>LBP</v>
          </cell>
          <cell r="B638" t="str">
            <v>201920</v>
          </cell>
          <cell r="C638">
            <v>5</v>
          </cell>
          <cell r="D638">
            <v>0</v>
          </cell>
          <cell r="E638">
            <v>0</v>
          </cell>
        </row>
        <row r="639">
          <cell r="A639" t="str">
            <v>LBP</v>
          </cell>
          <cell r="B639" t="str">
            <v>202010</v>
          </cell>
          <cell r="C639">
            <v>2</v>
          </cell>
          <cell r="D639">
            <v>1</v>
          </cell>
          <cell r="E639">
            <v>0</v>
          </cell>
        </row>
        <row r="640">
          <cell r="A640" t="str">
            <v>LBP</v>
          </cell>
          <cell r="B640" t="str">
            <v>202110</v>
          </cell>
          <cell r="C640">
            <v>2</v>
          </cell>
          <cell r="D640">
            <v>2</v>
          </cell>
          <cell r="E640">
            <v>0</v>
          </cell>
        </row>
        <row r="641">
          <cell r="A641" t="str">
            <v>LBP</v>
          </cell>
          <cell r="B641" t="str">
            <v>202210</v>
          </cell>
          <cell r="C641">
            <v>3</v>
          </cell>
          <cell r="D641">
            <v>2</v>
          </cell>
          <cell r="E641">
            <v>0</v>
          </cell>
        </row>
        <row r="642">
          <cell r="A642" t="str">
            <v>LBP</v>
          </cell>
          <cell r="B642" t="str">
            <v>202220</v>
          </cell>
          <cell r="C642">
            <v>1</v>
          </cell>
          <cell r="D642">
            <v>0</v>
          </cell>
          <cell r="E642">
            <v>0</v>
          </cell>
        </row>
        <row r="643">
          <cell r="A643" t="str">
            <v>LBP</v>
          </cell>
          <cell r="B643" t="str">
            <v>202310</v>
          </cell>
          <cell r="C643">
            <v>3</v>
          </cell>
          <cell r="D643">
            <v>0</v>
          </cell>
          <cell r="E643">
            <v>0</v>
          </cell>
        </row>
        <row r="644">
          <cell r="A644" t="str">
            <v>LCN</v>
          </cell>
          <cell r="B644" t="str">
            <v>201610</v>
          </cell>
          <cell r="C644">
            <v>2</v>
          </cell>
          <cell r="D644">
            <v>1</v>
          </cell>
          <cell r="E644">
            <v>1</v>
          </cell>
        </row>
        <row r="645">
          <cell r="A645" t="str">
            <v>LCN</v>
          </cell>
          <cell r="B645" t="str">
            <v>201620</v>
          </cell>
          <cell r="C645">
            <v>2</v>
          </cell>
          <cell r="D645">
            <v>0</v>
          </cell>
          <cell r="E645">
            <v>2</v>
          </cell>
        </row>
        <row r="646">
          <cell r="A646" t="str">
            <v>LCN</v>
          </cell>
          <cell r="B646" t="str">
            <v>201710</v>
          </cell>
          <cell r="C646">
            <v>2</v>
          </cell>
          <cell r="D646">
            <v>0</v>
          </cell>
          <cell r="E646">
            <v>2</v>
          </cell>
        </row>
        <row r="647">
          <cell r="A647" t="str">
            <v>LCN</v>
          </cell>
          <cell r="B647" t="str">
            <v>201720</v>
          </cell>
          <cell r="C647">
            <v>2</v>
          </cell>
          <cell r="D647">
            <v>2</v>
          </cell>
          <cell r="E647">
            <v>0</v>
          </cell>
        </row>
        <row r="648">
          <cell r="A648" t="str">
            <v>LCN</v>
          </cell>
          <cell r="B648" t="str">
            <v>201810</v>
          </cell>
          <cell r="C648">
            <v>2</v>
          </cell>
          <cell r="D648">
            <v>1</v>
          </cell>
          <cell r="E648">
            <v>1</v>
          </cell>
        </row>
        <row r="649">
          <cell r="A649" t="str">
            <v>LCN</v>
          </cell>
          <cell r="B649" t="str">
            <v>201920</v>
          </cell>
          <cell r="C649">
            <v>2</v>
          </cell>
          <cell r="D649">
            <v>0</v>
          </cell>
          <cell r="E649">
            <v>1</v>
          </cell>
        </row>
        <row r="650">
          <cell r="A650" t="str">
            <v>LCN</v>
          </cell>
          <cell r="B650" t="str">
            <v>202010</v>
          </cell>
          <cell r="C650">
            <v>3</v>
          </cell>
          <cell r="D650">
            <v>3</v>
          </cell>
          <cell r="E650">
            <v>0</v>
          </cell>
        </row>
        <row r="651">
          <cell r="A651" t="str">
            <v>LCN</v>
          </cell>
          <cell r="B651" t="str">
            <v>202120</v>
          </cell>
          <cell r="C651">
            <v>2</v>
          </cell>
          <cell r="D651">
            <v>0</v>
          </cell>
          <cell r="E651">
            <v>0</v>
          </cell>
        </row>
        <row r="652">
          <cell r="A652" t="str">
            <v>LCN</v>
          </cell>
          <cell r="B652" t="str">
            <v>202220</v>
          </cell>
          <cell r="C652">
            <v>3</v>
          </cell>
          <cell r="D652">
            <v>1</v>
          </cell>
          <cell r="E652">
            <v>0</v>
          </cell>
        </row>
        <row r="653">
          <cell r="A653" t="str">
            <v>LCS</v>
          </cell>
          <cell r="B653" t="str">
            <v>201610</v>
          </cell>
          <cell r="C653">
            <v>1</v>
          </cell>
          <cell r="D653">
            <v>1</v>
          </cell>
          <cell r="E653">
            <v>0</v>
          </cell>
        </row>
        <row r="654">
          <cell r="A654" t="str">
            <v>LCS</v>
          </cell>
          <cell r="B654" t="str">
            <v>201620</v>
          </cell>
          <cell r="C654">
            <v>1</v>
          </cell>
          <cell r="D654">
            <v>0</v>
          </cell>
          <cell r="E654">
            <v>1</v>
          </cell>
        </row>
        <row r="655">
          <cell r="A655" t="str">
            <v>LCS</v>
          </cell>
          <cell r="B655" t="str">
            <v>201710</v>
          </cell>
          <cell r="C655">
            <v>7</v>
          </cell>
          <cell r="D655">
            <v>2</v>
          </cell>
          <cell r="E655">
            <v>4</v>
          </cell>
        </row>
        <row r="656">
          <cell r="A656" t="str">
            <v>LCS</v>
          </cell>
          <cell r="B656" t="str">
            <v>201720</v>
          </cell>
          <cell r="C656">
            <v>2</v>
          </cell>
          <cell r="D656">
            <v>0</v>
          </cell>
          <cell r="E656">
            <v>1</v>
          </cell>
        </row>
        <row r="657">
          <cell r="A657" t="str">
            <v>LCS</v>
          </cell>
          <cell r="B657" t="str">
            <v>201810</v>
          </cell>
          <cell r="C657">
            <v>3</v>
          </cell>
          <cell r="D657">
            <v>0</v>
          </cell>
          <cell r="E657">
            <v>3</v>
          </cell>
        </row>
        <row r="658">
          <cell r="A658" t="str">
            <v>LCS</v>
          </cell>
          <cell r="B658" t="str">
            <v>201820</v>
          </cell>
          <cell r="C658">
            <v>2</v>
          </cell>
          <cell r="D658">
            <v>1</v>
          </cell>
          <cell r="E658">
            <v>0</v>
          </cell>
        </row>
        <row r="659">
          <cell r="A659" t="str">
            <v>LCS</v>
          </cell>
          <cell r="B659" t="str">
            <v>201910</v>
          </cell>
          <cell r="C659">
            <v>1</v>
          </cell>
          <cell r="D659">
            <v>0</v>
          </cell>
          <cell r="E659">
            <v>1</v>
          </cell>
        </row>
        <row r="660">
          <cell r="A660" t="str">
            <v>LCS</v>
          </cell>
          <cell r="B660" t="str">
            <v>202010</v>
          </cell>
          <cell r="C660">
            <v>11</v>
          </cell>
          <cell r="D660">
            <v>0</v>
          </cell>
          <cell r="E660">
            <v>0</v>
          </cell>
        </row>
        <row r="661">
          <cell r="A661" t="str">
            <v>LCS</v>
          </cell>
          <cell r="B661" t="str">
            <v>202020</v>
          </cell>
          <cell r="C661">
            <v>3</v>
          </cell>
          <cell r="D661">
            <v>1</v>
          </cell>
          <cell r="E661">
            <v>0</v>
          </cell>
        </row>
        <row r="662">
          <cell r="A662" t="str">
            <v>LCS</v>
          </cell>
          <cell r="B662" t="str">
            <v>202110</v>
          </cell>
          <cell r="C662">
            <v>1</v>
          </cell>
          <cell r="D662">
            <v>0</v>
          </cell>
          <cell r="E662">
            <v>0</v>
          </cell>
        </row>
        <row r="663">
          <cell r="A663" t="str">
            <v>LCS</v>
          </cell>
          <cell r="B663" t="str">
            <v>202120</v>
          </cell>
          <cell r="C663">
            <v>1</v>
          </cell>
          <cell r="D663">
            <v>0</v>
          </cell>
          <cell r="E663">
            <v>0</v>
          </cell>
        </row>
        <row r="664">
          <cell r="A664" t="str">
            <v>LCS</v>
          </cell>
          <cell r="B664" t="str">
            <v>202210</v>
          </cell>
          <cell r="C664">
            <v>4</v>
          </cell>
          <cell r="D664">
            <v>0</v>
          </cell>
          <cell r="E664">
            <v>0</v>
          </cell>
        </row>
        <row r="665">
          <cell r="A665" t="str">
            <v>LCS</v>
          </cell>
          <cell r="B665" t="str">
            <v>202220</v>
          </cell>
          <cell r="C665">
            <v>2</v>
          </cell>
          <cell r="D665">
            <v>0</v>
          </cell>
          <cell r="E665">
            <v>0</v>
          </cell>
        </row>
        <row r="666">
          <cell r="A666" t="str">
            <v>LCS</v>
          </cell>
          <cell r="B666" t="str">
            <v>202310</v>
          </cell>
          <cell r="C666">
            <v>4</v>
          </cell>
          <cell r="D666">
            <v>0</v>
          </cell>
          <cell r="E666">
            <v>0</v>
          </cell>
        </row>
        <row r="667">
          <cell r="A667" t="str">
            <v>LEI</v>
          </cell>
          <cell r="B667" t="str">
            <v>201520</v>
          </cell>
          <cell r="C667">
            <v>4</v>
          </cell>
          <cell r="D667">
            <v>0</v>
          </cell>
          <cell r="E667">
            <v>4</v>
          </cell>
        </row>
        <row r="668">
          <cell r="A668" t="str">
            <v>LEI</v>
          </cell>
          <cell r="B668" t="str">
            <v>201610</v>
          </cell>
          <cell r="C668">
            <v>17</v>
          </cell>
          <cell r="D668">
            <v>2</v>
          </cell>
          <cell r="E668">
            <v>15</v>
          </cell>
        </row>
        <row r="669">
          <cell r="A669" t="str">
            <v>LEI</v>
          </cell>
          <cell r="B669" t="str">
            <v>201620</v>
          </cell>
          <cell r="C669">
            <v>2</v>
          </cell>
          <cell r="D669">
            <v>0</v>
          </cell>
          <cell r="E669">
            <v>2</v>
          </cell>
        </row>
        <row r="670">
          <cell r="A670" t="str">
            <v>LEI</v>
          </cell>
          <cell r="B670" t="str">
            <v>201710</v>
          </cell>
          <cell r="C670">
            <v>13</v>
          </cell>
          <cell r="D670">
            <v>7</v>
          </cell>
          <cell r="E670">
            <v>6</v>
          </cell>
        </row>
        <row r="671">
          <cell r="A671" t="str">
            <v>LEI</v>
          </cell>
          <cell r="B671" t="str">
            <v>201720</v>
          </cell>
          <cell r="C671">
            <v>8</v>
          </cell>
          <cell r="D671">
            <v>3</v>
          </cell>
          <cell r="E671">
            <v>4</v>
          </cell>
        </row>
        <row r="672">
          <cell r="A672" t="str">
            <v>LEI</v>
          </cell>
          <cell r="B672" t="str">
            <v>201810</v>
          </cell>
          <cell r="C672">
            <v>20</v>
          </cell>
          <cell r="D672">
            <v>5</v>
          </cell>
          <cell r="E672">
            <v>9</v>
          </cell>
        </row>
        <row r="673">
          <cell r="A673" t="str">
            <v>LEI</v>
          </cell>
          <cell r="B673" t="str">
            <v>201820</v>
          </cell>
          <cell r="C673">
            <v>13</v>
          </cell>
          <cell r="D673">
            <v>6</v>
          </cell>
          <cell r="E673">
            <v>3</v>
          </cell>
        </row>
        <row r="674">
          <cell r="A674" t="str">
            <v>LEI</v>
          </cell>
          <cell r="B674" t="str">
            <v>201910</v>
          </cell>
          <cell r="C674">
            <v>19</v>
          </cell>
          <cell r="D674">
            <v>4</v>
          </cell>
          <cell r="E674">
            <v>0</v>
          </cell>
        </row>
        <row r="675">
          <cell r="A675" t="str">
            <v>LEI</v>
          </cell>
          <cell r="B675" t="str">
            <v>201920</v>
          </cell>
          <cell r="C675">
            <v>5</v>
          </cell>
          <cell r="D675">
            <v>2</v>
          </cell>
          <cell r="E675">
            <v>0</v>
          </cell>
        </row>
        <row r="676">
          <cell r="A676" t="str">
            <v>LEI</v>
          </cell>
          <cell r="B676" t="str">
            <v>202010</v>
          </cell>
          <cell r="C676">
            <v>18</v>
          </cell>
          <cell r="D676">
            <v>7</v>
          </cell>
          <cell r="E676">
            <v>0</v>
          </cell>
        </row>
        <row r="677">
          <cell r="A677" t="str">
            <v>LEI</v>
          </cell>
          <cell r="B677" t="str">
            <v>202020</v>
          </cell>
          <cell r="C677">
            <v>5</v>
          </cell>
          <cell r="D677">
            <v>2</v>
          </cell>
          <cell r="E677">
            <v>0</v>
          </cell>
        </row>
        <row r="678">
          <cell r="A678" t="str">
            <v>LEI</v>
          </cell>
          <cell r="B678" t="str">
            <v>202110</v>
          </cell>
          <cell r="C678">
            <v>16</v>
          </cell>
          <cell r="D678">
            <v>3</v>
          </cell>
          <cell r="E678">
            <v>0</v>
          </cell>
        </row>
        <row r="679">
          <cell r="A679" t="str">
            <v>LEI</v>
          </cell>
          <cell r="B679" t="str">
            <v>202120</v>
          </cell>
          <cell r="C679">
            <v>9</v>
          </cell>
          <cell r="D679">
            <v>1</v>
          </cell>
          <cell r="E679">
            <v>0</v>
          </cell>
        </row>
        <row r="680">
          <cell r="A680" t="str">
            <v>LEI</v>
          </cell>
          <cell r="B680" t="str">
            <v>202210</v>
          </cell>
          <cell r="C680">
            <v>25</v>
          </cell>
          <cell r="D680">
            <v>4</v>
          </cell>
          <cell r="E680">
            <v>0</v>
          </cell>
        </row>
        <row r="681">
          <cell r="A681" t="str">
            <v>LEI</v>
          </cell>
          <cell r="B681" t="str">
            <v>202220</v>
          </cell>
          <cell r="C681">
            <v>16</v>
          </cell>
          <cell r="D681">
            <v>0</v>
          </cell>
          <cell r="E681">
            <v>0</v>
          </cell>
        </row>
        <row r="682">
          <cell r="A682" t="str">
            <v>LEI</v>
          </cell>
          <cell r="B682" t="str">
            <v>202310</v>
          </cell>
          <cell r="C682">
            <v>23</v>
          </cell>
          <cell r="D682">
            <v>1</v>
          </cell>
          <cell r="E682">
            <v>0</v>
          </cell>
        </row>
        <row r="683">
          <cell r="A683" t="str">
            <v>LYL</v>
          </cell>
          <cell r="B683" t="str">
            <v>201610</v>
          </cell>
          <cell r="C683">
            <v>5</v>
          </cell>
          <cell r="D683">
            <v>1</v>
          </cell>
          <cell r="E683">
            <v>4</v>
          </cell>
        </row>
        <row r="684">
          <cell r="A684" t="str">
            <v>LYL</v>
          </cell>
          <cell r="B684" t="str">
            <v>201620</v>
          </cell>
          <cell r="C684">
            <v>7</v>
          </cell>
          <cell r="D684">
            <v>5</v>
          </cell>
          <cell r="E684">
            <v>2</v>
          </cell>
        </row>
        <row r="685">
          <cell r="A685" t="str">
            <v>LYL</v>
          </cell>
          <cell r="B685" t="str">
            <v>201710</v>
          </cell>
          <cell r="C685">
            <v>4</v>
          </cell>
          <cell r="D685">
            <v>2</v>
          </cell>
          <cell r="E685">
            <v>2</v>
          </cell>
        </row>
        <row r="686">
          <cell r="A686" t="str">
            <v>LYL</v>
          </cell>
          <cell r="B686" t="str">
            <v>201720</v>
          </cell>
          <cell r="C686">
            <v>3</v>
          </cell>
          <cell r="D686">
            <v>0</v>
          </cell>
          <cell r="E686">
            <v>2</v>
          </cell>
        </row>
        <row r="687">
          <cell r="A687" t="str">
            <v>LYL</v>
          </cell>
          <cell r="B687" t="str">
            <v>201810</v>
          </cell>
          <cell r="C687">
            <v>3</v>
          </cell>
          <cell r="D687">
            <v>0</v>
          </cell>
          <cell r="E687">
            <v>1</v>
          </cell>
        </row>
        <row r="688">
          <cell r="A688" t="str">
            <v>LYL</v>
          </cell>
          <cell r="B688" t="str">
            <v>201910</v>
          </cell>
          <cell r="C688">
            <v>1</v>
          </cell>
          <cell r="D688">
            <v>0</v>
          </cell>
          <cell r="E688">
            <v>0</v>
          </cell>
        </row>
        <row r="689">
          <cell r="A689" t="str">
            <v>LYL</v>
          </cell>
          <cell r="B689" t="str">
            <v>201920</v>
          </cell>
          <cell r="C689">
            <v>2</v>
          </cell>
          <cell r="D689">
            <v>0</v>
          </cell>
          <cell r="E689">
            <v>0</v>
          </cell>
        </row>
        <row r="690">
          <cell r="A690" t="str">
            <v>LYL</v>
          </cell>
          <cell r="B690" t="str">
            <v>202010</v>
          </cell>
          <cell r="C690">
            <v>4</v>
          </cell>
          <cell r="D690">
            <v>2</v>
          </cell>
          <cell r="E690">
            <v>0</v>
          </cell>
        </row>
        <row r="691">
          <cell r="A691" t="str">
            <v>LYL</v>
          </cell>
          <cell r="B691" t="str">
            <v>202020</v>
          </cell>
          <cell r="C691">
            <v>3</v>
          </cell>
          <cell r="D691">
            <v>0</v>
          </cell>
          <cell r="E691">
            <v>0</v>
          </cell>
        </row>
        <row r="692">
          <cell r="A692" t="str">
            <v>LYL</v>
          </cell>
          <cell r="B692" t="str">
            <v>202110</v>
          </cell>
          <cell r="C692">
            <v>2</v>
          </cell>
          <cell r="D692">
            <v>1</v>
          </cell>
          <cell r="E692">
            <v>0</v>
          </cell>
        </row>
        <row r="693">
          <cell r="A693" t="str">
            <v>LYL</v>
          </cell>
          <cell r="B693" t="str">
            <v>202120</v>
          </cell>
          <cell r="C693">
            <v>2</v>
          </cell>
          <cell r="D693">
            <v>0</v>
          </cell>
          <cell r="E693">
            <v>0</v>
          </cell>
        </row>
        <row r="694">
          <cell r="A694" t="str">
            <v>LYL</v>
          </cell>
          <cell r="B694" t="str">
            <v>202210</v>
          </cell>
          <cell r="C694">
            <v>11</v>
          </cell>
          <cell r="D694">
            <v>4</v>
          </cell>
          <cell r="E694">
            <v>0</v>
          </cell>
        </row>
        <row r="695">
          <cell r="A695" t="str">
            <v>LYL</v>
          </cell>
          <cell r="B695" t="str">
            <v>202220</v>
          </cell>
          <cell r="C695">
            <v>4</v>
          </cell>
          <cell r="D695">
            <v>0</v>
          </cell>
          <cell r="E695">
            <v>0</v>
          </cell>
        </row>
        <row r="696">
          <cell r="A696" t="str">
            <v>LYL</v>
          </cell>
          <cell r="B696" t="str">
            <v>202310</v>
          </cell>
          <cell r="C696">
            <v>5</v>
          </cell>
          <cell r="D696">
            <v>0</v>
          </cell>
          <cell r="E696">
            <v>0</v>
          </cell>
        </row>
        <row r="697">
          <cell r="A697" t="str">
            <v>MED</v>
          </cell>
          <cell r="B697" t="str">
            <v>200920</v>
          </cell>
          <cell r="C697">
            <v>51</v>
          </cell>
          <cell r="D697">
            <v>13</v>
          </cell>
          <cell r="E697">
            <v>38</v>
          </cell>
        </row>
        <row r="698">
          <cell r="A698" t="str">
            <v>MED</v>
          </cell>
          <cell r="B698" t="str">
            <v>201010</v>
          </cell>
          <cell r="C698">
            <v>25</v>
          </cell>
          <cell r="D698">
            <v>8</v>
          </cell>
          <cell r="E698">
            <v>17</v>
          </cell>
        </row>
        <row r="699">
          <cell r="A699" t="str">
            <v>MED</v>
          </cell>
          <cell r="B699" t="str">
            <v>201020</v>
          </cell>
          <cell r="C699">
            <v>59</v>
          </cell>
          <cell r="D699">
            <v>15</v>
          </cell>
          <cell r="E699">
            <v>44</v>
          </cell>
        </row>
        <row r="700">
          <cell r="A700" t="str">
            <v>MED</v>
          </cell>
          <cell r="B700" t="str">
            <v>201110</v>
          </cell>
          <cell r="C700">
            <v>34</v>
          </cell>
          <cell r="D700">
            <v>12</v>
          </cell>
          <cell r="E700">
            <v>22</v>
          </cell>
        </row>
        <row r="701">
          <cell r="A701" t="str">
            <v>MED</v>
          </cell>
          <cell r="B701" t="str">
            <v>201120</v>
          </cell>
          <cell r="C701">
            <v>60</v>
          </cell>
          <cell r="D701">
            <v>13</v>
          </cell>
          <cell r="E701">
            <v>47</v>
          </cell>
        </row>
        <row r="702">
          <cell r="A702" t="str">
            <v>MED</v>
          </cell>
          <cell r="B702" t="str">
            <v>201210</v>
          </cell>
          <cell r="C702">
            <v>53</v>
          </cell>
          <cell r="D702">
            <v>18</v>
          </cell>
          <cell r="E702">
            <v>35</v>
          </cell>
        </row>
        <row r="703">
          <cell r="A703" t="str">
            <v>MED</v>
          </cell>
          <cell r="B703" t="str">
            <v>201220</v>
          </cell>
          <cell r="C703">
            <v>60</v>
          </cell>
          <cell r="D703">
            <v>18</v>
          </cell>
          <cell r="E703">
            <v>41</v>
          </cell>
        </row>
        <row r="704">
          <cell r="A704" t="str">
            <v>MED</v>
          </cell>
          <cell r="B704" t="str">
            <v>201310</v>
          </cell>
          <cell r="C704">
            <v>56</v>
          </cell>
          <cell r="D704">
            <v>17</v>
          </cell>
          <cell r="E704">
            <v>39</v>
          </cell>
        </row>
        <row r="705">
          <cell r="A705" t="str">
            <v>MED</v>
          </cell>
          <cell r="B705" t="str">
            <v>201320</v>
          </cell>
          <cell r="C705">
            <v>52</v>
          </cell>
          <cell r="D705">
            <v>10</v>
          </cell>
          <cell r="E705">
            <v>42</v>
          </cell>
        </row>
        <row r="706">
          <cell r="A706" t="str">
            <v>MED</v>
          </cell>
          <cell r="B706" t="str">
            <v>201410</v>
          </cell>
          <cell r="C706">
            <v>61</v>
          </cell>
          <cell r="D706">
            <v>9</v>
          </cell>
          <cell r="E706">
            <v>52</v>
          </cell>
        </row>
        <row r="707">
          <cell r="A707" t="str">
            <v>MED</v>
          </cell>
          <cell r="B707" t="str">
            <v>201420</v>
          </cell>
          <cell r="C707">
            <v>67</v>
          </cell>
          <cell r="D707">
            <v>16</v>
          </cell>
          <cell r="E707">
            <v>50</v>
          </cell>
        </row>
        <row r="708">
          <cell r="A708" t="str">
            <v>MED</v>
          </cell>
          <cell r="B708" t="str">
            <v>201510</v>
          </cell>
          <cell r="C708">
            <v>69</v>
          </cell>
          <cell r="D708">
            <v>19</v>
          </cell>
          <cell r="E708">
            <v>50</v>
          </cell>
        </row>
        <row r="709">
          <cell r="A709" t="str">
            <v>MED</v>
          </cell>
          <cell r="B709" t="str">
            <v>201520</v>
          </cell>
          <cell r="C709">
            <v>64</v>
          </cell>
          <cell r="D709">
            <v>13</v>
          </cell>
          <cell r="E709">
            <v>51</v>
          </cell>
        </row>
        <row r="710">
          <cell r="A710" t="str">
            <v>MED</v>
          </cell>
          <cell r="B710" t="str">
            <v>201610</v>
          </cell>
          <cell r="C710">
            <v>74</v>
          </cell>
          <cell r="D710">
            <v>14</v>
          </cell>
          <cell r="E710">
            <v>59</v>
          </cell>
        </row>
        <row r="711">
          <cell r="A711" t="str">
            <v>MED</v>
          </cell>
          <cell r="B711" t="str">
            <v>201620</v>
          </cell>
          <cell r="C711">
            <v>62</v>
          </cell>
          <cell r="D711">
            <v>12</v>
          </cell>
          <cell r="E711">
            <v>48</v>
          </cell>
        </row>
        <row r="712">
          <cell r="A712" t="str">
            <v>MED</v>
          </cell>
          <cell r="B712" t="str">
            <v>201710</v>
          </cell>
          <cell r="C712">
            <v>68</v>
          </cell>
          <cell r="D712">
            <v>11</v>
          </cell>
          <cell r="E712">
            <v>51</v>
          </cell>
        </row>
        <row r="713">
          <cell r="A713" t="str">
            <v>MED</v>
          </cell>
          <cell r="B713" t="str">
            <v>201720</v>
          </cell>
          <cell r="C713">
            <v>63</v>
          </cell>
          <cell r="D713">
            <v>11</v>
          </cell>
          <cell r="E713">
            <v>42</v>
          </cell>
        </row>
        <row r="714">
          <cell r="A714" t="str">
            <v>MED</v>
          </cell>
          <cell r="B714" t="str">
            <v>201810</v>
          </cell>
          <cell r="C714">
            <v>70</v>
          </cell>
          <cell r="D714">
            <v>11</v>
          </cell>
          <cell r="E714">
            <v>0</v>
          </cell>
        </row>
        <row r="715">
          <cell r="A715" t="str">
            <v>MED</v>
          </cell>
          <cell r="B715" t="str">
            <v>201820</v>
          </cell>
          <cell r="C715">
            <v>65</v>
          </cell>
          <cell r="D715">
            <v>8</v>
          </cell>
          <cell r="E715">
            <v>0</v>
          </cell>
        </row>
        <row r="716">
          <cell r="A716" t="str">
            <v>MED</v>
          </cell>
          <cell r="B716" t="str">
            <v>201910</v>
          </cell>
          <cell r="C716">
            <v>73</v>
          </cell>
          <cell r="D716">
            <v>10</v>
          </cell>
          <cell r="E716">
            <v>0</v>
          </cell>
        </row>
        <row r="717">
          <cell r="A717" t="str">
            <v>MED</v>
          </cell>
          <cell r="B717" t="str">
            <v>201920</v>
          </cell>
          <cell r="C717">
            <v>67</v>
          </cell>
          <cell r="D717">
            <v>11</v>
          </cell>
          <cell r="E717">
            <v>0</v>
          </cell>
        </row>
        <row r="718">
          <cell r="A718" t="str">
            <v>MED</v>
          </cell>
          <cell r="B718" t="str">
            <v>202010</v>
          </cell>
          <cell r="C718">
            <v>79</v>
          </cell>
          <cell r="D718">
            <v>6</v>
          </cell>
          <cell r="E718">
            <v>0</v>
          </cell>
        </row>
        <row r="719">
          <cell r="A719" t="str">
            <v>MED</v>
          </cell>
          <cell r="B719" t="str">
            <v>202020</v>
          </cell>
          <cell r="C719">
            <v>80</v>
          </cell>
          <cell r="D719">
            <v>9</v>
          </cell>
          <cell r="E719">
            <v>0</v>
          </cell>
        </row>
        <row r="720">
          <cell r="A720" t="str">
            <v>MED</v>
          </cell>
          <cell r="B720" t="str">
            <v>202110</v>
          </cell>
          <cell r="C720">
            <v>80</v>
          </cell>
          <cell r="D720">
            <v>11</v>
          </cell>
          <cell r="E720">
            <v>0</v>
          </cell>
        </row>
        <row r="721">
          <cell r="A721" t="str">
            <v>MED</v>
          </cell>
          <cell r="B721" t="str">
            <v>202120</v>
          </cell>
          <cell r="C721">
            <v>75</v>
          </cell>
          <cell r="D721">
            <v>4</v>
          </cell>
          <cell r="E721">
            <v>0</v>
          </cell>
        </row>
        <row r="722">
          <cell r="A722" t="str">
            <v>MED</v>
          </cell>
          <cell r="B722" t="str">
            <v>202210</v>
          </cell>
          <cell r="C722">
            <v>83</v>
          </cell>
          <cell r="D722">
            <v>3</v>
          </cell>
          <cell r="E722">
            <v>0</v>
          </cell>
        </row>
        <row r="723">
          <cell r="A723" t="str">
            <v>MED</v>
          </cell>
          <cell r="B723" t="str">
            <v>202220</v>
          </cell>
          <cell r="C723">
            <v>81</v>
          </cell>
          <cell r="D723">
            <v>5</v>
          </cell>
          <cell r="E723">
            <v>0</v>
          </cell>
        </row>
        <row r="724">
          <cell r="A724" t="str">
            <v>MED</v>
          </cell>
          <cell r="B724" t="str">
            <v>202310</v>
          </cell>
          <cell r="C724">
            <v>78</v>
          </cell>
          <cell r="D724">
            <v>2</v>
          </cell>
          <cell r="E724">
            <v>0</v>
          </cell>
        </row>
        <row r="725">
          <cell r="A725" t="str">
            <v>MIP</v>
          </cell>
          <cell r="B725" t="str">
            <v>200520</v>
          </cell>
          <cell r="C725">
            <v>95</v>
          </cell>
          <cell r="D725">
            <v>51</v>
          </cell>
          <cell r="E725">
            <v>44</v>
          </cell>
        </row>
        <row r="726">
          <cell r="A726" t="str">
            <v>MIP</v>
          </cell>
          <cell r="B726" t="str">
            <v>200610</v>
          </cell>
          <cell r="C726">
            <v>44</v>
          </cell>
          <cell r="D726">
            <v>20</v>
          </cell>
          <cell r="E726">
            <v>24</v>
          </cell>
        </row>
        <row r="727">
          <cell r="A727" t="str">
            <v>MIP</v>
          </cell>
          <cell r="B727" t="str">
            <v>200620</v>
          </cell>
          <cell r="C727">
            <v>140</v>
          </cell>
          <cell r="D727">
            <v>61</v>
          </cell>
          <cell r="E727">
            <v>79</v>
          </cell>
        </row>
        <row r="728">
          <cell r="A728" t="str">
            <v>MIP</v>
          </cell>
          <cell r="B728" t="str">
            <v>200710</v>
          </cell>
          <cell r="C728">
            <v>62</v>
          </cell>
          <cell r="D728">
            <v>19</v>
          </cell>
          <cell r="E728">
            <v>43</v>
          </cell>
        </row>
        <row r="729">
          <cell r="A729" t="str">
            <v>MIP</v>
          </cell>
          <cell r="B729" t="str">
            <v>200720</v>
          </cell>
          <cell r="C729">
            <v>125</v>
          </cell>
          <cell r="D729">
            <v>47</v>
          </cell>
          <cell r="E729">
            <v>78</v>
          </cell>
        </row>
        <row r="730">
          <cell r="A730" t="str">
            <v>MIP</v>
          </cell>
          <cell r="B730" t="str">
            <v>200810</v>
          </cell>
          <cell r="C730">
            <v>67</v>
          </cell>
          <cell r="D730">
            <v>36</v>
          </cell>
          <cell r="E730">
            <v>31</v>
          </cell>
        </row>
        <row r="731">
          <cell r="A731" t="str">
            <v>MIP</v>
          </cell>
          <cell r="B731" t="str">
            <v>200820</v>
          </cell>
          <cell r="C731">
            <v>112</v>
          </cell>
          <cell r="D731">
            <v>39</v>
          </cell>
          <cell r="E731">
            <v>73</v>
          </cell>
        </row>
        <row r="732">
          <cell r="A732" t="str">
            <v>MIP</v>
          </cell>
          <cell r="B732" t="str">
            <v>200910</v>
          </cell>
          <cell r="C732">
            <v>52</v>
          </cell>
          <cell r="D732">
            <v>20</v>
          </cell>
          <cell r="E732">
            <v>31</v>
          </cell>
        </row>
        <row r="733">
          <cell r="A733" t="str">
            <v>MIP</v>
          </cell>
          <cell r="B733" t="str">
            <v>200920</v>
          </cell>
          <cell r="C733">
            <v>107</v>
          </cell>
          <cell r="D733">
            <v>31</v>
          </cell>
          <cell r="E733">
            <v>76</v>
          </cell>
        </row>
        <row r="734">
          <cell r="A734" t="str">
            <v>MIP</v>
          </cell>
          <cell r="B734" t="str">
            <v>201010</v>
          </cell>
          <cell r="C734">
            <v>56</v>
          </cell>
          <cell r="D734">
            <v>25</v>
          </cell>
          <cell r="E734">
            <v>31</v>
          </cell>
        </row>
        <row r="735">
          <cell r="A735" t="str">
            <v>MIP</v>
          </cell>
          <cell r="B735" t="str">
            <v>201020</v>
          </cell>
          <cell r="C735">
            <v>88</v>
          </cell>
          <cell r="D735">
            <v>28</v>
          </cell>
          <cell r="E735">
            <v>60</v>
          </cell>
        </row>
        <row r="736">
          <cell r="A736" t="str">
            <v>MIP</v>
          </cell>
          <cell r="B736" t="str">
            <v>201110</v>
          </cell>
          <cell r="C736">
            <v>64</v>
          </cell>
          <cell r="D736">
            <v>25</v>
          </cell>
          <cell r="E736">
            <v>39</v>
          </cell>
        </row>
        <row r="737">
          <cell r="A737" t="str">
            <v>MIP</v>
          </cell>
          <cell r="B737" t="str">
            <v>201120</v>
          </cell>
          <cell r="C737">
            <v>102</v>
          </cell>
          <cell r="D737">
            <v>31</v>
          </cell>
          <cell r="E737">
            <v>71</v>
          </cell>
        </row>
        <row r="738">
          <cell r="A738" t="str">
            <v>MIP</v>
          </cell>
          <cell r="B738" t="str">
            <v>201210</v>
          </cell>
          <cell r="C738">
            <v>57</v>
          </cell>
          <cell r="D738">
            <v>22</v>
          </cell>
          <cell r="E738">
            <v>35</v>
          </cell>
        </row>
        <row r="739">
          <cell r="A739" t="str">
            <v>MIP</v>
          </cell>
          <cell r="B739" t="str">
            <v>201220</v>
          </cell>
          <cell r="C739">
            <v>90</v>
          </cell>
          <cell r="D739">
            <v>29</v>
          </cell>
          <cell r="E739">
            <v>61</v>
          </cell>
        </row>
        <row r="740">
          <cell r="A740" t="str">
            <v>MIP</v>
          </cell>
          <cell r="B740" t="str">
            <v>201310</v>
          </cell>
          <cell r="C740">
            <v>51</v>
          </cell>
          <cell r="D740">
            <v>18</v>
          </cell>
          <cell r="E740">
            <v>33</v>
          </cell>
        </row>
        <row r="741">
          <cell r="A741" t="str">
            <v>MIP</v>
          </cell>
          <cell r="B741" t="str">
            <v>201320</v>
          </cell>
          <cell r="C741">
            <v>78</v>
          </cell>
          <cell r="D741">
            <v>31</v>
          </cell>
          <cell r="E741">
            <v>46</v>
          </cell>
        </row>
        <row r="742">
          <cell r="A742" t="str">
            <v>MIP</v>
          </cell>
          <cell r="B742" t="str">
            <v>201410</v>
          </cell>
          <cell r="C742">
            <v>56</v>
          </cell>
          <cell r="D742">
            <v>17</v>
          </cell>
          <cell r="E742">
            <v>39</v>
          </cell>
        </row>
        <row r="743">
          <cell r="A743" t="str">
            <v>MIP</v>
          </cell>
          <cell r="B743" t="str">
            <v>201420</v>
          </cell>
          <cell r="C743">
            <v>109</v>
          </cell>
          <cell r="D743">
            <v>46</v>
          </cell>
          <cell r="E743">
            <v>63</v>
          </cell>
        </row>
        <row r="744">
          <cell r="A744" t="str">
            <v>MIP</v>
          </cell>
          <cell r="B744" t="str">
            <v>201510</v>
          </cell>
          <cell r="C744">
            <v>65</v>
          </cell>
          <cell r="D744">
            <v>17</v>
          </cell>
          <cell r="E744">
            <v>48</v>
          </cell>
        </row>
        <row r="745">
          <cell r="A745" t="str">
            <v>MIP</v>
          </cell>
          <cell r="B745" t="str">
            <v>201520</v>
          </cell>
          <cell r="C745">
            <v>81</v>
          </cell>
          <cell r="D745">
            <v>23</v>
          </cell>
          <cell r="E745">
            <v>58</v>
          </cell>
        </row>
        <row r="746">
          <cell r="A746" t="str">
            <v>MIP</v>
          </cell>
          <cell r="B746" t="str">
            <v>201610</v>
          </cell>
          <cell r="C746">
            <v>73</v>
          </cell>
          <cell r="D746">
            <v>21</v>
          </cell>
          <cell r="E746">
            <v>51</v>
          </cell>
        </row>
        <row r="747">
          <cell r="A747" t="str">
            <v>MIP</v>
          </cell>
          <cell r="B747" t="str">
            <v>201620</v>
          </cell>
          <cell r="C747">
            <v>83</v>
          </cell>
          <cell r="D747">
            <v>14</v>
          </cell>
          <cell r="E747">
            <v>66</v>
          </cell>
        </row>
        <row r="748">
          <cell r="A748" t="str">
            <v>MIP</v>
          </cell>
          <cell r="B748" t="str">
            <v>201710</v>
          </cell>
          <cell r="C748">
            <v>46</v>
          </cell>
          <cell r="D748">
            <v>14</v>
          </cell>
          <cell r="E748">
            <v>31</v>
          </cell>
        </row>
        <row r="749">
          <cell r="A749" t="str">
            <v>MIP</v>
          </cell>
          <cell r="B749" t="str">
            <v>201720</v>
          </cell>
          <cell r="C749">
            <v>68</v>
          </cell>
          <cell r="D749">
            <v>16</v>
          </cell>
          <cell r="E749">
            <v>44</v>
          </cell>
        </row>
        <row r="750">
          <cell r="A750" t="str">
            <v>MIP</v>
          </cell>
          <cell r="B750" t="str">
            <v>201810</v>
          </cell>
          <cell r="C750">
            <v>53</v>
          </cell>
          <cell r="D750">
            <v>13</v>
          </cell>
          <cell r="E750">
            <v>32</v>
          </cell>
        </row>
        <row r="751">
          <cell r="A751" t="str">
            <v>MIP</v>
          </cell>
          <cell r="B751" t="str">
            <v>201820</v>
          </cell>
          <cell r="C751">
            <v>56</v>
          </cell>
          <cell r="D751">
            <v>12</v>
          </cell>
          <cell r="E751">
            <v>35</v>
          </cell>
        </row>
        <row r="752">
          <cell r="A752" t="str">
            <v>MIP</v>
          </cell>
          <cell r="B752" t="str">
            <v>201910</v>
          </cell>
          <cell r="C752">
            <v>54</v>
          </cell>
          <cell r="D752">
            <v>15</v>
          </cell>
          <cell r="E752">
            <v>9</v>
          </cell>
        </row>
        <row r="753">
          <cell r="A753" t="str">
            <v>MIP</v>
          </cell>
          <cell r="B753" t="str">
            <v>201920</v>
          </cell>
          <cell r="C753">
            <v>67</v>
          </cell>
          <cell r="D753">
            <v>19</v>
          </cell>
          <cell r="E753">
            <v>6</v>
          </cell>
        </row>
        <row r="754">
          <cell r="A754" t="str">
            <v>MIP</v>
          </cell>
          <cell r="B754" t="str">
            <v>202010</v>
          </cell>
          <cell r="C754">
            <v>54</v>
          </cell>
          <cell r="D754">
            <v>11</v>
          </cell>
          <cell r="E754">
            <v>4</v>
          </cell>
        </row>
        <row r="755">
          <cell r="A755" t="str">
            <v>MIP</v>
          </cell>
          <cell r="B755" t="str">
            <v>202020</v>
          </cell>
          <cell r="C755">
            <v>59</v>
          </cell>
          <cell r="D755">
            <v>9</v>
          </cell>
          <cell r="E755">
            <v>2</v>
          </cell>
        </row>
        <row r="756">
          <cell r="A756" t="str">
            <v>MIP</v>
          </cell>
          <cell r="B756" t="str">
            <v>202110</v>
          </cell>
          <cell r="C756">
            <v>48</v>
          </cell>
          <cell r="D756">
            <v>2</v>
          </cell>
          <cell r="E756">
            <v>1</v>
          </cell>
        </row>
        <row r="757">
          <cell r="A757" t="str">
            <v>MIP</v>
          </cell>
          <cell r="B757" t="str">
            <v>202120</v>
          </cell>
          <cell r="C757">
            <v>39</v>
          </cell>
          <cell r="D757">
            <v>6</v>
          </cell>
          <cell r="E757">
            <v>0</v>
          </cell>
        </row>
        <row r="758">
          <cell r="A758" t="str">
            <v>MIP</v>
          </cell>
          <cell r="B758" t="str">
            <v>202210</v>
          </cell>
          <cell r="C758">
            <v>102</v>
          </cell>
          <cell r="D758">
            <v>13</v>
          </cell>
          <cell r="E758">
            <v>0</v>
          </cell>
        </row>
        <row r="759">
          <cell r="A759" t="str">
            <v>MIP</v>
          </cell>
          <cell r="B759" t="str">
            <v>202220</v>
          </cell>
          <cell r="C759">
            <v>45</v>
          </cell>
          <cell r="D759">
            <v>6</v>
          </cell>
          <cell r="E759">
            <v>0</v>
          </cell>
        </row>
        <row r="760">
          <cell r="A760" t="str">
            <v>MIP</v>
          </cell>
          <cell r="B760" t="str">
            <v>202310</v>
          </cell>
          <cell r="C760">
            <v>58</v>
          </cell>
          <cell r="D760">
            <v>1</v>
          </cell>
          <cell r="E760">
            <v>0</v>
          </cell>
        </row>
        <row r="761">
          <cell r="A761" t="str">
            <v>MIP</v>
          </cell>
          <cell r="B761" t="str">
            <v>202320</v>
          </cell>
          <cell r="C761">
            <v>1</v>
          </cell>
          <cell r="D761">
            <v>0</v>
          </cell>
          <cell r="E761">
            <v>0</v>
          </cell>
        </row>
        <row r="762">
          <cell r="A762" t="str">
            <v>MUS</v>
          </cell>
          <cell r="B762" t="str">
            <v>201710</v>
          </cell>
          <cell r="C762">
            <v>38</v>
          </cell>
          <cell r="D762">
            <v>18</v>
          </cell>
          <cell r="E762">
            <v>16</v>
          </cell>
        </row>
        <row r="763">
          <cell r="A763" t="str">
            <v>MUS</v>
          </cell>
          <cell r="B763" t="str">
            <v>201720</v>
          </cell>
          <cell r="C763">
            <v>40</v>
          </cell>
          <cell r="D763">
            <v>15</v>
          </cell>
          <cell r="E763">
            <v>22</v>
          </cell>
        </row>
        <row r="764">
          <cell r="A764" t="str">
            <v>MUS</v>
          </cell>
          <cell r="B764" t="str">
            <v>201810</v>
          </cell>
          <cell r="C764">
            <v>26</v>
          </cell>
          <cell r="D764">
            <v>5</v>
          </cell>
          <cell r="E764">
            <v>14</v>
          </cell>
        </row>
        <row r="765">
          <cell r="A765" t="str">
            <v>MUS</v>
          </cell>
          <cell r="B765" t="str">
            <v>201820</v>
          </cell>
          <cell r="C765">
            <v>30</v>
          </cell>
          <cell r="D765">
            <v>13</v>
          </cell>
          <cell r="E765">
            <v>3</v>
          </cell>
        </row>
        <row r="766">
          <cell r="A766" t="str">
            <v>MUS</v>
          </cell>
          <cell r="B766" t="str">
            <v>201910</v>
          </cell>
          <cell r="C766">
            <v>27</v>
          </cell>
          <cell r="D766">
            <v>11</v>
          </cell>
          <cell r="E766">
            <v>2</v>
          </cell>
        </row>
        <row r="767">
          <cell r="A767" t="str">
            <v>MUS</v>
          </cell>
          <cell r="B767" t="str">
            <v>201920</v>
          </cell>
          <cell r="C767">
            <v>21</v>
          </cell>
          <cell r="D767">
            <v>6</v>
          </cell>
          <cell r="E767">
            <v>0</v>
          </cell>
        </row>
        <row r="768">
          <cell r="A768" t="str">
            <v>MUS</v>
          </cell>
          <cell r="B768" t="str">
            <v>202010</v>
          </cell>
          <cell r="C768">
            <v>32</v>
          </cell>
          <cell r="D768">
            <v>6</v>
          </cell>
          <cell r="E768">
            <v>0</v>
          </cell>
        </row>
        <row r="769">
          <cell r="A769" t="str">
            <v>MUS</v>
          </cell>
          <cell r="B769" t="str">
            <v>202020</v>
          </cell>
          <cell r="C769">
            <v>21</v>
          </cell>
          <cell r="D769">
            <v>4</v>
          </cell>
          <cell r="E769">
            <v>0</v>
          </cell>
        </row>
        <row r="770">
          <cell r="A770" t="str">
            <v>MUS</v>
          </cell>
          <cell r="B770" t="str">
            <v>202110</v>
          </cell>
          <cell r="C770">
            <v>25</v>
          </cell>
          <cell r="D770">
            <v>8</v>
          </cell>
          <cell r="E770">
            <v>0</v>
          </cell>
        </row>
        <row r="771">
          <cell r="A771" t="str">
            <v>MUS</v>
          </cell>
          <cell r="B771" t="str">
            <v>202120</v>
          </cell>
          <cell r="C771">
            <v>26</v>
          </cell>
          <cell r="D771">
            <v>11</v>
          </cell>
          <cell r="E771">
            <v>0</v>
          </cell>
        </row>
        <row r="772">
          <cell r="A772" t="str">
            <v>MUS</v>
          </cell>
          <cell r="B772" t="str">
            <v>202210</v>
          </cell>
          <cell r="C772">
            <v>43</v>
          </cell>
          <cell r="D772">
            <v>5</v>
          </cell>
          <cell r="E772">
            <v>0</v>
          </cell>
        </row>
        <row r="773">
          <cell r="A773" t="str">
            <v>MUS</v>
          </cell>
          <cell r="B773" t="str">
            <v>202220</v>
          </cell>
          <cell r="C773">
            <v>32</v>
          </cell>
          <cell r="D773">
            <v>7</v>
          </cell>
          <cell r="E773">
            <v>0</v>
          </cell>
        </row>
        <row r="774">
          <cell r="A774" t="str">
            <v>MUS</v>
          </cell>
          <cell r="B774" t="str">
            <v>202310</v>
          </cell>
          <cell r="C774">
            <v>49</v>
          </cell>
          <cell r="D774">
            <v>6</v>
          </cell>
          <cell r="E774">
            <v>0</v>
          </cell>
        </row>
        <row r="775">
          <cell r="A775" t="str">
            <v>PSI</v>
          </cell>
          <cell r="B775" t="str">
            <v>200620</v>
          </cell>
          <cell r="C775">
            <v>15</v>
          </cell>
          <cell r="D775">
            <v>9</v>
          </cell>
          <cell r="E775">
            <v>6</v>
          </cell>
        </row>
        <row r="776">
          <cell r="A776" t="str">
            <v>PSI</v>
          </cell>
          <cell r="B776" t="str">
            <v>200710</v>
          </cell>
          <cell r="C776">
            <v>6</v>
          </cell>
          <cell r="D776">
            <v>1</v>
          </cell>
          <cell r="E776">
            <v>5</v>
          </cell>
        </row>
        <row r="777">
          <cell r="A777" t="str">
            <v>PSI</v>
          </cell>
          <cell r="B777" t="str">
            <v>200720</v>
          </cell>
          <cell r="C777">
            <v>15</v>
          </cell>
          <cell r="D777">
            <v>6</v>
          </cell>
          <cell r="E777">
            <v>9</v>
          </cell>
        </row>
        <row r="778">
          <cell r="A778" t="str">
            <v>PSI</v>
          </cell>
          <cell r="B778" t="str">
            <v>200810</v>
          </cell>
          <cell r="C778">
            <v>10</v>
          </cell>
          <cell r="D778">
            <v>3</v>
          </cell>
          <cell r="E778">
            <v>7</v>
          </cell>
        </row>
        <row r="779">
          <cell r="A779" t="str">
            <v>PSI</v>
          </cell>
          <cell r="B779" t="str">
            <v>200820</v>
          </cell>
          <cell r="C779">
            <v>11</v>
          </cell>
          <cell r="D779">
            <v>2</v>
          </cell>
          <cell r="E779">
            <v>9</v>
          </cell>
        </row>
        <row r="780">
          <cell r="A780" t="str">
            <v>PSI</v>
          </cell>
          <cell r="B780" t="str">
            <v>200910</v>
          </cell>
          <cell r="C780">
            <v>5</v>
          </cell>
          <cell r="D780">
            <v>1</v>
          </cell>
          <cell r="E780">
            <v>4</v>
          </cell>
        </row>
        <row r="781">
          <cell r="A781" t="str">
            <v>PSI</v>
          </cell>
          <cell r="B781" t="str">
            <v>200920</v>
          </cell>
          <cell r="C781">
            <v>15</v>
          </cell>
          <cell r="D781">
            <v>1</v>
          </cell>
          <cell r="E781">
            <v>14</v>
          </cell>
        </row>
        <row r="782">
          <cell r="A782" t="str">
            <v>PSI</v>
          </cell>
          <cell r="B782" t="str">
            <v>201010</v>
          </cell>
          <cell r="C782">
            <v>6</v>
          </cell>
          <cell r="D782">
            <v>1</v>
          </cell>
          <cell r="E782">
            <v>5</v>
          </cell>
        </row>
        <row r="783">
          <cell r="A783" t="str">
            <v>PSI</v>
          </cell>
          <cell r="B783" t="str">
            <v>201020</v>
          </cell>
          <cell r="C783">
            <v>9</v>
          </cell>
          <cell r="D783">
            <v>4</v>
          </cell>
          <cell r="E783">
            <v>5</v>
          </cell>
        </row>
        <row r="784">
          <cell r="A784" t="str">
            <v>PSI</v>
          </cell>
          <cell r="B784" t="str">
            <v>201110</v>
          </cell>
          <cell r="C784">
            <v>23</v>
          </cell>
          <cell r="D784">
            <v>7</v>
          </cell>
          <cell r="E784">
            <v>15</v>
          </cell>
        </row>
        <row r="785">
          <cell r="A785" t="str">
            <v>PSI</v>
          </cell>
          <cell r="B785" t="str">
            <v>201120</v>
          </cell>
          <cell r="C785">
            <v>21</v>
          </cell>
          <cell r="D785">
            <v>8</v>
          </cell>
          <cell r="E785">
            <v>13</v>
          </cell>
        </row>
        <row r="786">
          <cell r="A786" t="str">
            <v>PSI</v>
          </cell>
          <cell r="B786" t="str">
            <v>201210</v>
          </cell>
          <cell r="C786">
            <v>19</v>
          </cell>
          <cell r="D786">
            <v>6</v>
          </cell>
          <cell r="E786">
            <v>13</v>
          </cell>
        </row>
        <row r="787">
          <cell r="A787" t="str">
            <v>PSI</v>
          </cell>
          <cell r="B787" t="str">
            <v>201220</v>
          </cell>
          <cell r="C787">
            <v>28</v>
          </cell>
          <cell r="D787">
            <v>5</v>
          </cell>
          <cell r="E787">
            <v>23</v>
          </cell>
        </row>
        <row r="788">
          <cell r="A788" t="str">
            <v>PSI</v>
          </cell>
          <cell r="B788" t="str">
            <v>201310</v>
          </cell>
          <cell r="C788">
            <v>25</v>
          </cell>
          <cell r="D788">
            <v>7</v>
          </cell>
          <cell r="E788">
            <v>17</v>
          </cell>
        </row>
        <row r="789">
          <cell r="A789" t="str">
            <v>PSI</v>
          </cell>
          <cell r="B789" t="str">
            <v>201320</v>
          </cell>
          <cell r="C789">
            <v>20</v>
          </cell>
          <cell r="D789">
            <v>7</v>
          </cell>
          <cell r="E789">
            <v>13</v>
          </cell>
        </row>
        <row r="790">
          <cell r="A790" t="str">
            <v>PSI</v>
          </cell>
          <cell r="B790" t="str">
            <v>201410</v>
          </cell>
          <cell r="C790">
            <v>32</v>
          </cell>
          <cell r="D790">
            <v>12</v>
          </cell>
          <cell r="E790">
            <v>20</v>
          </cell>
        </row>
        <row r="791">
          <cell r="A791" t="str">
            <v>PSI</v>
          </cell>
          <cell r="B791" t="str">
            <v>201420</v>
          </cell>
          <cell r="C791">
            <v>27</v>
          </cell>
          <cell r="D791">
            <v>6</v>
          </cell>
          <cell r="E791">
            <v>21</v>
          </cell>
        </row>
        <row r="792">
          <cell r="A792" t="str">
            <v>PSI</v>
          </cell>
          <cell r="B792" t="str">
            <v>201510</v>
          </cell>
          <cell r="C792">
            <v>86</v>
          </cell>
          <cell r="D792">
            <v>16</v>
          </cell>
          <cell r="E792">
            <v>69</v>
          </cell>
        </row>
        <row r="793">
          <cell r="A793" t="str">
            <v>PSI</v>
          </cell>
          <cell r="B793" t="str">
            <v>201520</v>
          </cell>
          <cell r="C793">
            <v>31</v>
          </cell>
          <cell r="D793">
            <v>14</v>
          </cell>
          <cell r="E793">
            <v>17</v>
          </cell>
        </row>
        <row r="794">
          <cell r="A794" t="str">
            <v>PSI</v>
          </cell>
          <cell r="B794" t="str">
            <v>201610</v>
          </cell>
          <cell r="C794">
            <v>67</v>
          </cell>
          <cell r="D794">
            <v>18</v>
          </cell>
          <cell r="E794">
            <v>46</v>
          </cell>
        </row>
        <row r="795">
          <cell r="A795" t="str">
            <v>PSI</v>
          </cell>
          <cell r="B795" t="str">
            <v>201620</v>
          </cell>
          <cell r="C795">
            <v>25</v>
          </cell>
          <cell r="D795">
            <v>8</v>
          </cell>
          <cell r="E795">
            <v>15</v>
          </cell>
        </row>
        <row r="796">
          <cell r="A796" t="str">
            <v>PSI</v>
          </cell>
          <cell r="B796" t="str">
            <v>201710</v>
          </cell>
          <cell r="C796">
            <v>44</v>
          </cell>
          <cell r="D796">
            <v>14</v>
          </cell>
          <cell r="E796">
            <v>25</v>
          </cell>
        </row>
        <row r="797">
          <cell r="A797" t="str">
            <v>PSI</v>
          </cell>
          <cell r="B797" t="str">
            <v>201720</v>
          </cell>
          <cell r="C797">
            <v>25</v>
          </cell>
          <cell r="D797">
            <v>8</v>
          </cell>
          <cell r="E797">
            <v>16</v>
          </cell>
        </row>
        <row r="798">
          <cell r="A798" t="str">
            <v>PSI</v>
          </cell>
          <cell r="B798" t="str">
            <v>201810</v>
          </cell>
          <cell r="C798">
            <v>37</v>
          </cell>
          <cell r="D798">
            <v>9</v>
          </cell>
          <cell r="E798">
            <v>22</v>
          </cell>
        </row>
        <row r="799">
          <cell r="A799" t="str">
            <v>PSI</v>
          </cell>
          <cell r="B799" t="str">
            <v>201820</v>
          </cell>
          <cell r="C799">
            <v>33</v>
          </cell>
          <cell r="D799">
            <v>9</v>
          </cell>
          <cell r="E799">
            <v>15</v>
          </cell>
        </row>
        <row r="800">
          <cell r="A800" t="str">
            <v>PSI</v>
          </cell>
          <cell r="B800" t="str">
            <v>201910</v>
          </cell>
          <cell r="C800">
            <v>19</v>
          </cell>
          <cell r="D800">
            <v>3</v>
          </cell>
          <cell r="E800">
            <v>3</v>
          </cell>
        </row>
        <row r="801">
          <cell r="A801" t="str">
            <v>PSI</v>
          </cell>
          <cell r="B801" t="str">
            <v>201920</v>
          </cell>
          <cell r="C801">
            <v>21</v>
          </cell>
          <cell r="D801">
            <v>5</v>
          </cell>
          <cell r="E801">
            <v>1</v>
          </cell>
        </row>
        <row r="802">
          <cell r="A802" t="str">
            <v>PSI</v>
          </cell>
          <cell r="B802" t="str">
            <v>202010</v>
          </cell>
          <cell r="C802">
            <v>36</v>
          </cell>
          <cell r="D802">
            <v>9</v>
          </cell>
          <cell r="E802">
            <v>0</v>
          </cell>
        </row>
        <row r="803">
          <cell r="A803" t="str">
            <v>PSI</v>
          </cell>
          <cell r="B803" t="str">
            <v>202020</v>
          </cell>
          <cell r="C803">
            <v>15</v>
          </cell>
          <cell r="D803">
            <v>4</v>
          </cell>
          <cell r="E803">
            <v>0</v>
          </cell>
        </row>
        <row r="804">
          <cell r="A804" t="str">
            <v>PSI</v>
          </cell>
          <cell r="B804" t="str">
            <v>202110</v>
          </cell>
          <cell r="C804">
            <v>18</v>
          </cell>
          <cell r="D804">
            <v>5</v>
          </cell>
          <cell r="E804">
            <v>0</v>
          </cell>
        </row>
        <row r="805">
          <cell r="A805" t="str">
            <v>PSI</v>
          </cell>
          <cell r="B805" t="str">
            <v>202120</v>
          </cell>
          <cell r="C805">
            <v>16</v>
          </cell>
          <cell r="D805">
            <v>3</v>
          </cell>
          <cell r="E805">
            <v>0</v>
          </cell>
        </row>
        <row r="806">
          <cell r="A806" t="str">
            <v>PSI</v>
          </cell>
          <cell r="B806" t="str">
            <v>202210</v>
          </cell>
          <cell r="C806">
            <v>36</v>
          </cell>
          <cell r="D806">
            <v>3</v>
          </cell>
          <cell r="E806">
            <v>0</v>
          </cell>
        </row>
        <row r="807">
          <cell r="A807" t="str">
            <v>PSI</v>
          </cell>
          <cell r="B807" t="str">
            <v>202220</v>
          </cell>
          <cell r="C807">
            <v>26</v>
          </cell>
          <cell r="D807">
            <v>5</v>
          </cell>
          <cell r="E807">
            <v>0</v>
          </cell>
        </row>
        <row r="808">
          <cell r="A808" t="str">
            <v>PSI</v>
          </cell>
          <cell r="B808" t="str">
            <v>202310</v>
          </cell>
          <cell r="C808">
            <v>32</v>
          </cell>
          <cell r="D808">
            <v>5</v>
          </cell>
          <cell r="E808">
            <v>0</v>
          </cell>
        </row>
        <row r="809">
          <cell r="A809" t="str">
            <v>QUF</v>
          </cell>
          <cell r="B809" t="str">
            <v>200820</v>
          </cell>
          <cell r="C809">
            <v>48</v>
          </cell>
          <cell r="D809">
            <v>14</v>
          </cell>
          <cell r="E809">
            <v>34</v>
          </cell>
        </row>
        <row r="810">
          <cell r="A810" t="str">
            <v>QUF</v>
          </cell>
          <cell r="B810" t="str">
            <v>200910</v>
          </cell>
          <cell r="C810">
            <v>37</v>
          </cell>
          <cell r="D810">
            <v>16</v>
          </cell>
          <cell r="E810">
            <v>21</v>
          </cell>
        </row>
        <row r="811">
          <cell r="A811" t="str">
            <v>QUF</v>
          </cell>
          <cell r="B811" t="str">
            <v>200920</v>
          </cell>
          <cell r="C811">
            <v>34</v>
          </cell>
          <cell r="D811">
            <v>17</v>
          </cell>
          <cell r="E811">
            <v>17</v>
          </cell>
        </row>
        <row r="812">
          <cell r="A812" t="str">
            <v>QUF</v>
          </cell>
          <cell r="B812" t="str">
            <v>201010</v>
          </cell>
          <cell r="C812">
            <v>29</v>
          </cell>
          <cell r="D812">
            <v>10</v>
          </cell>
          <cell r="E812">
            <v>19</v>
          </cell>
        </row>
        <row r="813">
          <cell r="A813" t="str">
            <v>QUF</v>
          </cell>
          <cell r="B813" t="str">
            <v>201020</v>
          </cell>
          <cell r="C813">
            <v>40</v>
          </cell>
          <cell r="D813">
            <v>17</v>
          </cell>
          <cell r="E813">
            <v>23</v>
          </cell>
        </row>
        <row r="814">
          <cell r="A814" t="str">
            <v>QUF</v>
          </cell>
          <cell r="B814" t="str">
            <v>201110</v>
          </cell>
          <cell r="C814">
            <v>38</v>
          </cell>
          <cell r="D814">
            <v>22</v>
          </cell>
          <cell r="E814">
            <v>16</v>
          </cell>
        </row>
        <row r="815">
          <cell r="A815" t="str">
            <v>QUF</v>
          </cell>
          <cell r="B815" t="str">
            <v>201120</v>
          </cell>
          <cell r="C815">
            <v>44</v>
          </cell>
          <cell r="D815">
            <v>14</v>
          </cell>
          <cell r="E815">
            <v>30</v>
          </cell>
        </row>
        <row r="816">
          <cell r="A816" t="str">
            <v>QUF</v>
          </cell>
          <cell r="B816" t="str">
            <v>201210</v>
          </cell>
          <cell r="C816">
            <v>29</v>
          </cell>
          <cell r="D816">
            <v>12</v>
          </cell>
          <cell r="E816">
            <v>17</v>
          </cell>
        </row>
        <row r="817">
          <cell r="A817" t="str">
            <v>QUF</v>
          </cell>
          <cell r="B817" t="str">
            <v>201220</v>
          </cell>
          <cell r="C817">
            <v>55</v>
          </cell>
          <cell r="D817">
            <v>37</v>
          </cell>
          <cell r="E817">
            <v>18</v>
          </cell>
        </row>
        <row r="818">
          <cell r="A818" t="str">
            <v>QUF</v>
          </cell>
          <cell r="B818" t="str">
            <v>201310</v>
          </cell>
          <cell r="C818">
            <v>42</v>
          </cell>
          <cell r="D818">
            <v>23</v>
          </cell>
          <cell r="E818">
            <v>19</v>
          </cell>
        </row>
        <row r="819">
          <cell r="A819" t="str">
            <v>QUF</v>
          </cell>
          <cell r="B819" t="str">
            <v>201320</v>
          </cell>
          <cell r="C819">
            <v>44</v>
          </cell>
          <cell r="D819">
            <v>22</v>
          </cell>
          <cell r="E819">
            <v>22</v>
          </cell>
        </row>
        <row r="820">
          <cell r="A820" t="str">
            <v>QUF</v>
          </cell>
          <cell r="B820" t="str">
            <v>201410</v>
          </cell>
          <cell r="C820">
            <v>45</v>
          </cell>
          <cell r="D820">
            <v>21</v>
          </cell>
          <cell r="E820">
            <v>24</v>
          </cell>
        </row>
        <row r="821">
          <cell r="A821" t="str">
            <v>QUF</v>
          </cell>
          <cell r="B821" t="str">
            <v>201420</v>
          </cell>
          <cell r="C821">
            <v>71</v>
          </cell>
          <cell r="D821">
            <v>38</v>
          </cell>
          <cell r="E821">
            <v>33</v>
          </cell>
        </row>
        <row r="822">
          <cell r="A822" t="str">
            <v>QUF</v>
          </cell>
          <cell r="B822" t="str">
            <v>201510</v>
          </cell>
          <cell r="C822">
            <v>68</v>
          </cell>
          <cell r="D822">
            <v>22</v>
          </cell>
          <cell r="E822">
            <v>46</v>
          </cell>
        </row>
        <row r="823">
          <cell r="A823" t="str">
            <v>QUF</v>
          </cell>
          <cell r="B823" t="str">
            <v>201520</v>
          </cell>
          <cell r="C823">
            <v>38</v>
          </cell>
          <cell r="D823">
            <v>12</v>
          </cell>
          <cell r="E823">
            <v>26</v>
          </cell>
        </row>
        <row r="824">
          <cell r="A824" t="str">
            <v>QUF</v>
          </cell>
          <cell r="B824" t="str">
            <v>201610</v>
          </cell>
          <cell r="C824">
            <v>56</v>
          </cell>
          <cell r="D824">
            <v>19</v>
          </cell>
          <cell r="E824">
            <v>37</v>
          </cell>
        </row>
        <row r="825">
          <cell r="A825" t="str">
            <v>QUF</v>
          </cell>
          <cell r="B825" t="str">
            <v>201620</v>
          </cell>
          <cell r="C825">
            <v>48</v>
          </cell>
          <cell r="D825">
            <v>19</v>
          </cell>
          <cell r="E825">
            <v>28</v>
          </cell>
        </row>
        <row r="826">
          <cell r="A826" t="str">
            <v>QUF</v>
          </cell>
          <cell r="B826" t="str">
            <v>201710</v>
          </cell>
          <cell r="C826">
            <v>73</v>
          </cell>
          <cell r="D826">
            <v>23</v>
          </cell>
          <cell r="E826">
            <v>49</v>
          </cell>
        </row>
        <row r="827">
          <cell r="A827" t="str">
            <v>QUF</v>
          </cell>
          <cell r="B827" t="str">
            <v>201720</v>
          </cell>
          <cell r="C827">
            <v>49</v>
          </cell>
          <cell r="D827">
            <v>15</v>
          </cell>
          <cell r="E827">
            <v>32</v>
          </cell>
        </row>
        <row r="828">
          <cell r="A828" t="str">
            <v>QUF</v>
          </cell>
          <cell r="B828" t="str">
            <v>201810</v>
          </cell>
          <cell r="C828">
            <v>61</v>
          </cell>
          <cell r="D828">
            <v>15</v>
          </cell>
          <cell r="E828">
            <v>42</v>
          </cell>
        </row>
        <row r="829">
          <cell r="A829" t="str">
            <v>QUF</v>
          </cell>
          <cell r="B829" t="str">
            <v>201820</v>
          </cell>
          <cell r="C829">
            <v>39</v>
          </cell>
          <cell r="D829">
            <v>13</v>
          </cell>
          <cell r="E829">
            <v>13</v>
          </cell>
        </row>
        <row r="830">
          <cell r="A830" t="str">
            <v>QUF</v>
          </cell>
          <cell r="B830" t="str">
            <v>201910</v>
          </cell>
          <cell r="C830">
            <v>40</v>
          </cell>
          <cell r="D830">
            <v>7</v>
          </cell>
          <cell r="E830">
            <v>3</v>
          </cell>
        </row>
        <row r="831">
          <cell r="A831" t="str">
            <v>QUF</v>
          </cell>
          <cell r="B831" t="str">
            <v>201920</v>
          </cell>
          <cell r="C831">
            <v>44</v>
          </cell>
          <cell r="D831">
            <v>8</v>
          </cell>
          <cell r="E831">
            <v>1</v>
          </cell>
        </row>
        <row r="832">
          <cell r="A832" t="str">
            <v>QUF</v>
          </cell>
          <cell r="B832" t="str">
            <v>202010</v>
          </cell>
          <cell r="C832">
            <v>40</v>
          </cell>
          <cell r="D832">
            <v>5</v>
          </cell>
          <cell r="E832">
            <v>0</v>
          </cell>
        </row>
        <row r="833">
          <cell r="A833" t="str">
            <v>QUF</v>
          </cell>
          <cell r="B833" t="str">
            <v>202020</v>
          </cell>
          <cell r="C833">
            <v>47</v>
          </cell>
          <cell r="D833">
            <v>9</v>
          </cell>
          <cell r="E833">
            <v>0</v>
          </cell>
        </row>
        <row r="834">
          <cell r="A834" t="str">
            <v>QUF</v>
          </cell>
          <cell r="B834" t="str">
            <v>202110</v>
          </cell>
          <cell r="C834">
            <v>51</v>
          </cell>
          <cell r="D834">
            <v>5</v>
          </cell>
          <cell r="E834">
            <v>0</v>
          </cell>
        </row>
        <row r="835">
          <cell r="A835" t="str">
            <v>QUF</v>
          </cell>
          <cell r="B835" t="str">
            <v>202120</v>
          </cell>
          <cell r="C835">
            <v>40</v>
          </cell>
          <cell r="D835">
            <v>5</v>
          </cell>
          <cell r="E835">
            <v>0</v>
          </cell>
        </row>
        <row r="836">
          <cell r="A836" t="str">
            <v>QUF</v>
          </cell>
          <cell r="B836" t="str">
            <v>202210</v>
          </cell>
          <cell r="C836">
            <v>64</v>
          </cell>
          <cell r="D836">
            <v>13</v>
          </cell>
          <cell r="E836">
            <v>0</v>
          </cell>
        </row>
        <row r="837">
          <cell r="A837" t="str">
            <v>QUF</v>
          </cell>
          <cell r="B837" t="str">
            <v>202220</v>
          </cell>
          <cell r="C837">
            <v>46</v>
          </cell>
          <cell r="D837">
            <v>8</v>
          </cell>
          <cell r="E837">
            <v>0</v>
          </cell>
        </row>
        <row r="838">
          <cell r="A838" t="str">
            <v>QUF</v>
          </cell>
          <cell r="B838" t="str">
            <v>202310</v>
          </cell>
          <cell r="C838">
            <v>48</v>
          </cell>
          <cell r="D838">
            <v>2</v>
          </cell>
          <cell r="E838">
            <v>0</v>
          </cell>
        </row>
        <row r="839">
          <cell r="A839" t="str">
            <v>QUI</v>
          </cell>
          <cell r="B839" t="str">
            <v>200820</v>
          </cell>
          <cell r="C839">
            <v>7</v>
          </cell>
          <cell r="D839">
            <v>5</v>
          </cell>
          <cell r="E839">
            <v>2</v>
          </cell>
        </row>
        <row r="840">
          <cell r="A840" t="str">
            <v>QUI</v>
          </cell>
          <cell r="B840" t="str">
            <v>200910</v>
          </cell>
          <cell r="C840">
            <v>6</v>
          </cell>
          <cell r="D840">
            <v>4</v>
          </cell>
          <cell r="E840">
            <v>2</v>
          </cell>
        </row>
        <row r="841">
          <cell r="A841" t="str">
            <v>QUI</v>
          </cell>
          <cell r="B841" t="str">
            <v>200920</v>
          </cell>
          <cell r="C841">
            <v>4</v>
          </cell>
          <cell r="D841">
            <v>1</v>
          </cell>
          <cell r="E841">
            <v>3</v>
          </cell>
        </row>
        <row r="842">
          <cell r="A842" t="str">
            <v>QUI</v>
          </cell>
          <cell r="B842" t="str">
            <v>201010</v>
          </cell>
          <cell r="C842">
            <v>1</v>
          </cell>
          <cell r="D842">
            <v>0</v>
          </cell>
          <cell r="E842">
            <v>1</v>
          </cell>
        </row>
        <row r="843">
          <cell r="A843" t="str">
            <v>QUI</v>
          </cell>
          <cell r="B843" t="str">
            <v>201020</v>
          </cell>
          <cell r="C843">
            <v>4</v>
          </cell>
          <cell r="D843">
            <v>1</v>
          </cell>
          <cell r="E843">
            <v>3</v>
          </cell>
        </row>
        <row r="844">
          <cell r="A844" t="str">
            <v>QUI</v>
          </cell>
          <cell r="B844" t="str">
            <v>201110</v>
          </cell>
          <cell r="C844">
            <v>5</v>
          </cell>
          <cell r="D844">
            <v>4</v>
          </cell>
          <cell r="E844">
            <v>1</v>
          </cell>
        </row>
        <row r="845">
          <cell r="A845" t="str">
            <v>QUI</v>
          </cell>
          <cell r="B845" t="str">
            <v>201120</v>
          </cell>
          <cell r="C845">
            <v>10</v>
          </cell>
          <cell r="D845">
            <v>9</v>
          </cell>
          <cell r="E845">
            <v>1</v>
          </cell>
        </row>
        <row r="846">
          <cell r="A846" t="str">
            <v>QUI</v>
          </cell>
          <cell r="B846" t="str">
            <v>201210</v>
          </cell>
          <cell r="C846">
            <v>16</v>
          </cell>
          <cell r="D846">
            <v>13</v>
          </cell>
          <cell r="E846">
            <v>3</v>
          </cell>
        </row>
        <row r="847">
          <cell r="A847" t="str">
            <v>QUI</v>
          </cell>
          <cell r="B847" t="str">
            <v>201220</v>
          </cell>
          <cell r="C847">
            <v>14</v>
          </cell>
          <cell r="D847">
            <v>7</v>
          </cell>
          <cell r="E847">
            <v>7</v>
          </cell>
        </row>
        <row r="848">
          <cell r="A848" t="str">
            <v>QUI</v>
          </cell>
          <cell r="B848" t="str">
            <v>201310</v>
          </cell>
          <cell r="C848">
            <v>9</v>
          </cell>
          <cell r="D848">
            <v>5</v>
          </cell>
          <cell r="E848">
            <v>4</v>
          </cell>
        </row>
        <row r="849">
          <cell r="A849" t="str">
            <v>QUI</v>
          </cell>
          <cell r="B849" t="str">
            <v>201320</v>
          </cell>
          <cell r="C849">
            <v>20</v>
          </cell>
          <cell r="D849">
            <v>13</v>
          </cell>
          <cell r="E849">
            <v>7</v>
          </cell>
        </row>
        <row r="850">
          <cell r="A850" t="str">
            <v>QUI</v>
          </cell>
          <cell r="B850" t="str">
            <v>201410</v>
          </cell>
          <cell r="C850">
            <v>6</v>
          </cell>
          <cell r="D850">
            <v>4</v>
          </cell>
          <cell r="E850">
            <v>2</v>
          </cell>
        </row>
        <row r="851">
          <cell r="A851" t="str">
            <v>QUI</v>
          </cell>
          <cell r="B851" t="str">
            <v>201420</v>
          </cell>
          <cell r="C851">
            <v>17</v>
          </cell>
          <cell r="D851">
            <v>10</v>
          </cell>
          <cell r="E851">
            <v>7</v>
          </cell>
        </row>
        <row r="852">
          <cell r="A852" t="str">
            <v>QUI</v>
          </cell>
          <cell r="B852" t="str">
            <v>201510</v>
          </cell>
          <cell r="C852">
            <v>29</v>
          </cell>
          <cell r="D852">
            <v>10</v>
          </cell>
          <cell r="E852">
            <v>19</v>
          </cell>
        </row>
        <row r="853">
          <cell r="A853" t="str">
            <v>QUI</v>
          </cell>
          <cell r="B853" t="str">
            <v>201520</v>
          </cell>
          <cell r="C853">
            <v>5</v>
          </cell>
          <cell r="D853">
            <v>4</v>
          </cell>
          <cell r="E853">
            <v>1</v>
          </cell>
        </row>
        <row r="854">
          <cell r="A854" t="str">
            <v>QUI</v>
          </cell>
          <cell r="B854" t="str">
            <v>201610</v>
          </cell>
          <cell r="C854">
            <v>19</v>
          </cell>
          <cell r="D854">
            <v>7</v>
          </cell>
          <cell r="E854">
            <v>11</v>
          </cell>
        </row>
        <row r="855">
          <cell r="A855" t="str">
            <v>QUI</v>
          </cell>
          <cell r="B855" t="str">
            <v>201620</v>
          </cell>
          <cell r="C855">
            <v>12</v>
          </cell>
          <cell r="D855">
            <v>5</v>
          </cell>
          <cell r="E855">
            <v>7</v>
          </cell>
        </row>
        <row r="856">
          <cell r="A856" t="str">
            <v>QUI</v>
          </cell>
          <cell r="B856" t="str">
            <v>201710</v>
          </cell>
          <cell r="C856">
            <v>18</v>
          </cell>
          <cell r="D856">
            <v>5</v>
          </cell>
          <cell r="E856">
            <v>12</v>
          </cell>
        </row>
        <row r="857">
          <cell r="A857" t="str">
            <v>QUI</v>
          </cell>
          <cell r="B857" t="str">
            <v>201720</v>
          </cell>
          <cell r="C857">
            <v>8</v>
          </cell>
          <cell r="D857">
            <v>1</v>
          </cell>
          <cell r="E857">
            <v>5</v>
          </cell>
        </row>
        <row r="858">
          <cell r="A858" t="str">
            <v>QUI</v>
          </cell>
          <cell r="B858" t="str">
            <v>201810</v>
          </cell>
          <cell r="C858">
            <v>12</v>
          </cell>
          <cell r="D858">
            <v>2</v>
          </cell>
          <cell r="E858">
            <v>7</v>
          </cell>
        </row>
        <row r="859">
          <cell r="A859" t="str">
            <v>QUI</v>
          </cell>
          <cell r="B859" t="str">
            <v>201820</v>
          </cell>
          <cell r="C859">
            <v>8</v>
          </cell>
          <cell r="D859">
            <v>2</v>
          </cell>
          <cell r="E859">
            <v>3</v>
          </cell>
        </row>
        <row r="860">
          <cell r="A860" t="str">
            <v>QUI</v>
          </cell>
          <cell r="B860" t="str">
            <v>201910</v>
          </cell>
          <cell r="C860">
            <v>6</v>
          </cell>
          <cell r="D860">
            <v>2</v>
          </cell>
          <cell r="E860">
            <v>3</v>
          </cell>
        </row>
        <row r="861">
          <cell r="A861" t="str">
            <v>QUI</v>
          </cell>
          <cell r="B861" t="str">
            <v>201920</v>
          </cell>
          <cell r="C861">
            <v>3</v>
          </cell>
          <cell r="D861">
            <v>3</v>
          </cell>
          <cell r="E861">
            <v>0</v>
          </cell>
        </row>
        <row r="862">
          <cell r="A862" t="str">
            <v>QUI</v>
          </cell>
          <cell r="B862" t="str">
            <v>202010</v>
          </cell>
          <cell r="C862">
            <v>15</v>
          </cell>
          <cell r="D862">
            <v>6</v>
          </cell>
          <cell r="E862">
            <v>0</v>
          </cell>
        </row>
        <row r="863">
          <cell r="A863" t="str">
            <v>QUI</v>
          </cell>
          <cell r="B863" t="str">
            <v>202020</v>
          </cell>
          <cell r="C863">
            <v>7</v>
          </cell>
          <cell r="D863">
            <v>1</v>
          </cell>
          <cell r="E863">
            <v>0</v>
          </cell>
        </row>
        <row r="864">
          <cell r="A864" t="str">
            <v>QUI</v>
          </cell>
          <cell r="B864" t="str">
            <v>202110</v>
          </cell>
          <cell r="C864">
            <v>9</v>
          </cell>
          <cell r="D864">
            <v>2</v>
          </cell>
          <cell r="E864">
            <v>0</v>
          </cell>
        </row>
        <row r="865">
          <cell r="A865" t="str">
            <v>QUI</v>
          </cell>
          <cell r="B865" t="str">
            <v>202120</v>
          </cell>
          <cell r="C865">
            <v>8</v>
          </cell>
          <cell r="D865">
            <v>4</v>
          </cell>
          <cell r="E865">
            <v>0</v>
          </cell>
        </row>
        <row r="866">
          <cell r="A866" t="str">
            <v>QUI</v>
          </cell>
          <cell r="B866" t="str">
            <v>202210</v>
          </cell>
          <cell r="C866">
            <v>13</v>
          </cell>
          <cell r="D866">
            <v>2</v>
          </cell>
          <cell r="E866">
            <v>0</v>
          </cell>
        </row>
        <row r="867">
          <cell r="A867" t="str">
            <v>QUI</v>
          </cell>
          <cell r="B867" t="str">
            <v>202220</v>
          </cell>
          <cell r="C867">
            <v>3</v>
          </cell>
          <cell r="D867">
            <v>0</v>
          </cell>
          <cell r="E867">
            <v>0</v>
          </cell>
        </row>
        <row r="868">
          <cell r="A868" t="str">
            <v>QUI</v>
          </cell>
          <cell r="B868" t="str">
            <v>202310</v>
          </cell>
          <cell r="C868">
            <v>10</v>
          </cell>
          <cell r="D868">
            <v>3</v>
          </cell>
          <cell r="E868">
            <v>0</v>
          </cell>
        </row>
        <row r="869">
          <cell r="A869" t="str">
            <v>SIS</v>
          </cell>
          <cell r="B869" t="str">
            <v>198410</v>
          </cell>
          <cell r="C869">
            <v>52</v>
          </cell>
          <cell r="D869">
            <v>30</v>
          </cell>
          <cell r="E869">
            <v>22</v>
          </cell>
        </row>
        <row r="870">
          <cell r="A870" t="str">
            <v>SIS</v>
          </cell>
          <cell r="B870" t="str">
            <v>198420</v>
          </cell>
          <cell r="C870">
            <v>92</v>
          </cell>
          <cell r="D870">
            <v>48</v>
          </cell>
          <cell r="E870">
            <v>44</v>
          </cell>
        </row>
        <row r="871">
          <cell r="A871" t="str">
            <v>SIS</v>
          </cell>
          <cell r="B871" t="str">
            <v>198510</v>
          </cell>
          <cell r="C871">
            <v>81</v>
          </cell>
          <cell r="D871">
            <v>51</v>
          </cell>
          <cell r="E871">
            <v>30</v>
          </cell>
        </row>
        <row r="872">
          <cell r="A872" t="str">
            <v>SIS</v>
          </cell>
          <cell r="B872" t="str">
            <v>198520</v>
          </cell>
          <cell r="C872">
            <v>73</v>
          </cell>
          <cell r="D872">
            <v>40</v>
          </cell>
          <cell r="E872">
            <v>33</v>
          </cell>
        </row>
        <row r="873">
          <cell r="A873" t="str">
            <v>SIS</v>
          </cell>
          <cell r="B873" t="str">
            <v>198610</v>
          </cell>
          <cell r="C873">
            <v>56</v>
          </cell>
          <cell r="D873">
            <v>34</v>
          </cell>
          <cell r="E873">
            <v>22</v>
          </cell>
        </row>
        <row r="874">
          <cell r="A874" t="str">
            <v>SIS</v>
          </cell>
          <cell r="B874" t="str">
            <v>198620</v>
          </cell>
          <cell r="C874">
            <v>77</v>
          </cell>
          <cell r="D874">
            <v>51</v>
          </cell>
          <cell r="E874">
            <v>26</v>
          </cell>
        </row>
        <row r="875">
          <cell r="A875" t="str">
            <v>SIS</v>
          </cell>
          <cell r="B875" t="str">
            <v>198710</v>
          </cell>
          <cell r="C875">
            <v>55</v>
          </cell>
          <cell r="D875">
            <v>37</v>
          </cell>
          <cell r="E875">
            <v>18</v>
          </cell>
        </row>
        <row r="876">
          <cell r="A876" t="str">
            <v>SIS</v>
          </cell>
          <cell r="B876" t="str">
            <v>198720</v>
          </cell>
          <cell r="C876">
            <v>77</v>
          </cell>
          <cell r="D876">
            <v>54</v>
          </cell>
          <cell r="E876">
            <v>23</v>
          </cell>
        </row>
        <row r="877">
          <cell r="A877" t="str">
            <v>SIS</v>
          </cell>
          <cell r="B877" t="str">
            <v>198810</v>
          </cell>
          <cell r="C877">
            <v>45</v>
          </cell>
          <cell r="D877">
            <v>40</v>
          </cell>
          <cell r="E877">
            <v>5</v>
          </cell>
        </row>
        <row r="878">
          <cell r="A878" t="str">
            <v>SIS</v>
          </cell>
          <cell r="B878" t="str">
            <v>198820</v>
          </cell>
          <cell r="C878">
            <v>90</v>
          </cell>
          <cell r="D878">
            <v>64</v>
          </cell>
          <cell r="E878">
            <v>26</v>
          </cell>
        </row>
        <row r="879">
          <cell r="A879" t="str">
            <v>SIS</v>
          </cell>
          <cell r="B879" t="str">
            <v>198910</v>
          </cell>
          <cell r="C879">
            <v>66</v>
          </cell>
          <cell r="D879">
            <v>53</v>
          </cell>
          <cell r="E879">
            <v>13</v>
          </cell>
        </row>
        <row r="880">
          <cell r="A880" t="str">
            <v>SIS</v>
          </cell>
          <cell r="B880" t="str">
            <v>198920</v>
          </cell>
          <cell r="C880">
            <v>76</v>
          </cell>
          <cell r="D880">
            <v>52</v>
          </cell>
          <cell r="E880">
            <v>24</v>
          </cell>
        </row>
        <row r="881">
          <cell r="A881" t="str">
            <v>SIS</v>
          </cell>
          <cell r="B881" t="str">
            <v>199010</v>
          </cell>
          <cell r="C881">
            <v>55</v>
          </cell>
          <cell r="D881">
            <v>44</v>
          </cell>
          <cell r="E881">
            <v>11</v>
          </cell>
        </row>
        <row r="882">
          <cell r="A882" t="str">
            <v>SIS</v>
          </cell>
          <cell r="B882" t="str">
            <v>199020</v>
          </cell>
          <cell r="C882">
            <v>83</v>
          </cell>
          <cell r="D882">
            <v>50</v>
          </cell>
          <cell r="E882">
            <v>33</v>
          </cell>
        </row>
        <row r="883">
          <cell r="A883" t="str">
            <v>SIS</v>
          </cell>
          <cell r="B883" t="str">
            <v>199110</v>
          </cell>
          <cell r="C883">
            <v>42</v>
          </cell>
          <cell r="D883">
            <v>31</v>
          </cell>
          <cell r="E883">
            <v>11</v>
          </cell>
        </row>
        <row r="884">
          <cell r="A884" t="str">
            <v>SIS</v>
          </cell>
          <cell r="B884" t="str">
            <v>199120</v>
          </cell>
          <cell r="C884">
            <v>83</v>
          </cell>
          <cell r="D884">
            <v>56</v>
          </cell>
          <cell r="E884">
            <v>27</v>
          </cell>
        </row>
        <row r="885">
          <cell r="A885" t="str">
            <v>SIS</v>
          </cell>
          <cell r="B885" t="str">
            <v>199210</v>
          </cell>
          <cell r="C885">
            <v>43</v>
          </cell>
          <cell r="D885">
            <v>34</v>
          </cell>
          <cell r="E885">
            <v>9</v>
          </cell>
        </row>
        <row r="886">
          <cell r="A886" t="str">
            <v>SIS</v>
          </cell>
          <cell r="B886" t="str">
            <v>199220</v>
          </cell>
          <cell r="C886">
            <v>65</v>
          </cell>
          <cell r="D886">
            <v>44</v>
          </cell>
          <cell r="E886">
            <v>21</v>
          </cell>
        </row>
        <row r="887">
          <cell r="A887" t="str">
            <v>SIS</v>
          </cell>
          <cell r="B887" t="str">
            <v>199310</v>
          </cell>
          <cell r="C887">
            <v>31</v>
          </cell>
          <cell r="D887">
            <v>23</v>
          </cell>
          <cell r="E887">
            <v>8</v>
          </cell>
        </row>
        <row r="888">
          <cell r="A888" t="str">
            <v>SIS</v>
          </cell>
          <cell r="B888" t="str">
            <v>199320</v>
          </cell>
          <cell r="C888">
            <v>54</v>
          </cell>
          <cell r="D888">
            <v>41</v>
          </cell>
          <cell r="E888">
            <v>13</v>
          </cell>
        </row>
        <row r="889">
          <cell r="A889" t="str">
            <v>SIS</v>
          </cell>
          <cell r="B889" t="str">
            <v>199410</v>
          </cell>
          <cell r="C889">
            <v>29</v>
          </cell>
          <cell r="D889">
            <v>21</v>
          </cell>
          <cell r="E889">
            <v>8</v>
          </cell>
        </row>
        <row r="890">
          <cell r="A890" t="str">
            <v>SIS</v>
          </cell>
          <cell r="B890" t="str">
            <v>199420</v>
          </cell>
          <cell r="C890">
            <v>66</v>
          </cell>
          <cell r="D890">
            <v>45</v>
          </cell>
          <cell r="E890">
            <v>21</v>
          </cell>
        </row>
        <row r="891">
          <cell r="A891" t="str">
            <v>SIS</v>
          </cell>
          <cell r="B891" t="str">
            <v>199510</v>
          </cell>
          <cell r="C891">
            <v>35</v>
          </cell>
          <cell r="D891">
            <v>29</v>
          </cell>
          <cell r="E891">
            <v>6</v>
          </cell>
        </row>
        <row r="892">
          <cell r="A892" t="str">
            <v>SIS</v>
          </cell>
          <cell r="B892" t="str">
            <v>199520</v>
          </cell>
          <cell r="C892">
            <v>53</v>
          </cell>
          <cell r="D892">
            <v>32</v>
          </cell>
          <cell r="E892">
            <v>21</v>
          </cell>
        </row>
        <row r="893">
          <cell r="A893" t="str">
            <v>SIS</v>
          </cell>
          <cell r="B893" t="str">
            <v>199610</v>
          </cell>
          <cell r="C893">
            <v>32</v>
          </cell>
          <cell r="D893">
            <v>21</v>
          </cell>
          <cell r="E893">
            <v>11</v>
          </cell>
        </row>
        <row r="894">
          <cell r="A894" t="str">
            <v>SIS</v>
          </cell>
          <cell r="B894" t="str">
            <v>199620</v>
          </cell>
          <cell r="C894">
            <v>67</v>
          </cell>
          <cell r="D894">
            <v>43</v>
          </cell>
          <cell r="E894">
            <v>24</v>
          </cell>
        </row>
        <row r="895">
          <cell r="A895" t="str">
            <v>SIS</v>
          </cell>
          <cell r="B895" t="str">
            <v>199710</v>
          </cell>
          <cell r="C895">
            <v>20</v>
          </cell>
          <cell r="D895">
            <v>15</v>
          </cell>
          <cell r="E895">
            <v>5</v>
          </cell>
        </row>
        <row r="896">
          <cell r="A896" t="str">
            <v>SIS</v>
          </cell>
          <cell r="B896" t="str">
            <v>199720</v>
          </cell>
          <cell r="C896">
            <v>47</v>
          </cell>
          <cell r="D896">
            <v>27</v>
          </cell>
          <cell r="E896">
            <v>20</v>
          </cell>
        </row>
        <row r="897">
          <cell r="A897" t="str">
            <v>SIS</v>
          </cell>
          <cell r="B897" t="str">
            <v>199810</v>
          </cell>
          <cell r="C897">
            <v>24</v>
          </cell>
          <cell r="D897">
            <v>16</v>
          </cell>
          <cell r="E897">
            <v>8</v>
          </cell>
        </row>
        <row r="898">
          <cell r="A898" t="str">
            <v>SIS</v>
          </cell>
          <cell r="B898" t="str">
            <v>199820</v>
          </cell>
          <cell r="C898">
            <v>33</v>
          </cell>
          <cell r="D898">
            <v>22</v>
          </cell>
          <cell r="E898">
            <v>11</v>
          </cell>
        </row>
        <row r="899">
          <cell r="A899" t="str">
            <v>SIS</v>
          </cell>
          <cell r="B899" t="str">
            <v>199910</v>
          </cell>
          <cell r="C899">
            <v>23</v>
          </cell>
          <cell r="D899">
            <v>15</v>
          </cell>
          <cell r="E899">
            <v>8</v>
          </cell>
        </row>
        <row r="900">
          <cell r="A900" t="str">
            <v>SIS</v>
          </cell>
          <cell r="B900" t="str">
            <v>199920</v>
          </cell>
          <cell r="C900">
            <v>27</v>
          </cell>
          <cell r="D900">
            <v>17</v>
          </cell>
          <cell r="E900">
            <v>10</v>
          </cell>
        </row>
        <row r="901">
          <cell r="A901" t="str">
            <v>SIS</v>
          </cell>
          <cell r="B901" t="str">
            <v>200010</v>
          </cell>
          <cell r="C901">
            <v>22</v>
          </cell>
          <cell r="D901">
            <v>19</v>
          </cell>
          <cell r="E901">
            <v>3</v>
          </cell>
        </row>
        <row r="902">
          <cell r="A902" t="str">
            <v>SIS</v>
          </cell>
          <cell r="B902" t="str">
            <v>200020</v>
          </cell>
          <cell r="C902">
            <v>39</v>
          </cell>
          <cell r="D902">
            <v>26</v>
          </cell>
          <cell r="E902">
            <v>13</v>
          </cell>
        </row>
        <row r="903">
          <cell r="A903" t="str">
            <v>SIS</v>
          </cell>
          <cell r="B903" t="str">
            <v>200110</v>
          </cell>
          <cell r="C903">
            <v>15</v>
          </cell>
          <cell r="D903">
            <v>13</v>
          </cell>
          <cell r="E903">
            <v>2</v>
          </cell>
        </row>
        <row r="904">
          <cell r="A904" t="str">
            <v>SIS</v>
          </cell>
          <cell r="B904" t="str">
            <v>200120</v>
          </cell>
          <cell r="C904">
            <v>45</v>
          </cell>
          <cell r="D904">
            <v>25</v>
          </cell>
          <cell r="E904">
            <v>20</v>
          </cell>
        </row>
        <row r="905">
          <cell r="A905" t="str">
            <v>SIS</v>
          </cell>
          <cell r="B905" t="str">
            <v>200210</v>
          </cell>
          <cell r="C905">
            <v>15</v>
          </cell>
          <cell r="D905">
            <v>12</v>
          </cell>
          <cell r="E905">
            <v>3</v>
          </cell>
        </row>
        <row r="906">
          <cell r="A906" t="str">
            <v>SIS</v>
          </cell>
          <cell r="B906" t="str">
            <v>200220</v>
          </cell>
          <cell r="C906">
            <v>43</v>
          </cell>
          <cell r="D906">
            <v>24</v>
          </cell>
          <cell r="E906">
            <v>19</v>
          </cell>
        </row>
        <row r="907">
          <cell r="A907" t="str">
            <v>SIS</v>
          </cell>
          <cell r="B907" t="str">
            <v>200310</v>
          </cell>
          <cell r="C907">
            <v>22</v>
          </cell>
          <cell r="D907">
            <v>9</v>
          </cell>
          <cell r="E907">
            <v>13</v>
          </cell>
        </row>
        <row r="908">
          <cell r="A908" t="str">
            <v>SIS</v>
          </cell>
          <cell r="B908" t="str">
            <v>200320</v>
          </cell>
          <cell r="C908">
            <v>42</v>
          </cell>
          <cell r="D908">
            <v>27</v>
          </cell>
          <cell r="E908">
            <v>15</v>
          </cell>
        </row>
        <row r="909">
          <cell r="A909" t="str">
            <v>SIS</v>
          </cell>
          <cell r="B909" t="str">
            <v>200410</v>
          </cell>
          <cell r="C909">
            <v>9</v>
          </cell>
          <cell r="D909">
            <v>4</v>
          </cell>
          <cell r="E909">
            <v>5</v>
          </cell>
        </row>
        <row r="910">
          <cell r="A910" t="str">
            <v>SIS</v>
          </cell>
          <cell r="B910" t="str">
            <v>200420</v>
          </cell>
          <cell r="C910">
            <v>36</v>
          </cell>
          <cell r="D910">
            <v>17</v>
          </cell>
          <cell r="E910">
            <v>19</v>
          </cell>
        </row>
        <row r="911">
          <cell r="A911" t="str">
            <v>SIS</v>
          </cell>
          <cell r="B911" t="str">
            <v>200510</v>
          </cell>
          <cell r="C911">
            <v>14</v>
          </cell>
          <cell r="D911">
            <v>10</v>
          </cell>
          <cell r="E911">
            <v>4</v>
          </cell>
        </row>
        <row r="912">
          <cell r="A912" t="str">
            <v>SIS</v>
          </cell>
          <cell r="B912" t="str">
            <v>200520</v>
          </cell>
          <cell r="C912">
            <v>32</v>
          </cell>
          <cell r="D912">
            <v>21</v>
          </cell>
          <cell r="E912">
            <v>11</v>
          </cell>
        </row>
        <row r="913">
          <cell r="A913" t="str">
            <v>SIS</v>
          </cell>
          <cell r="B913" t="str">
            <v>200610</v>
          </cell>
          <cell r="C913">
            <v>12</v>
          </cell>
          <cell r="D913">
            <v>8</v>
          </cell>
          <cell r="E913">
            <v>4</v>
          </cell>
        </row>
        <row r="914">
          <cell r="A914" t="str">
            <v>SIS</v>
          </cell>
          <cell r="B914" t="str">
            <v>200620</v>
          </cell>
          <cell r="C914">
            <v>42</v>
          </cell>
          <cell r="D914">
            <v>23</v>
          </cell>
          <cell r="E914">
            <v>19</v>
          </cell>
        </row>
        <row r="915">
          <cell r="A915" t="str">
            <v>SIS</v>
          </cell>
          <cell r="B915" t="str">
            <v>200710</v>
          </cell>
          <cell r="C915">
            <v>19</v>
          </cell>
          <cell r="D915">
            <v>13</v>
          </cell>
          <cell r="E915">
            <v>6</v>
          </cell>
        </row>
        <row r="916">
          <cell r="A916" t="str">
            <v>SIS</v>
          </cell>
          <cell r="B916" t="str">
            <v>200720</v>
          </cell>
          <cell r="C916">
            <v>44</v>
          </cell>
          <cell r="D916">
            <v>30</v>
          </cell>
          <cell r="E916">
            <v>14</v>
          </cell>
        </row>
        <row r="917">
          <cell r="A917" t="str">
            <v>SIS</v>
          </cell>
          <cell r="B917" t="str">
            <v>200810</v>
          </cell>
          <cell r="C917">
            <v>20</v>
          </cell>
          <cell r="D917">
            <v>12</v>
          </cell>
          <cell r="E917">
            <v>8</v>
          </cell>
        </row>
        <row r="918">
          <cell r="A918" t="str">
            <v>SIS</v>
          </cell>
          <cell r="B918" t="str">
            <v>200820</v>
          </cell>
          <cell r="C918">
            <v>28</v>
          </cell>
          <cell r="D918">
            <v>12</v>
          </cell>
          <cell r="E918">
            <v>16</v>
          </cell>
        </row>
        <row r="919">
          <cell r="A919" t="str">
            <v>SIS</v>
          </cell>
          <cell r="B919" t="str">
            <v>200910</v>
          </cell>
          <cell r="C919">
            <v>14</v>
          </cell>
          <cell r="D919">
            <v>7</v>
          </cell>
          <cell r="E919">
            <v>6</v>
          </cell>
        </row>
        <row r="920">
          <cell r="A920" t="str">
            <v>SIS</v>
          </cell>
          <cell r="B920" t="str">
            <v>200920</v>
          </cell>
          <cell r="C920">
            <v>34</v>
          </cell>
          <cell r="D920">
            <v>21</v>
          </cell>
          <cell r="E920">
            <v>13</v>
          </cell>
        </row>
        <row r="921">
          <cell r="A921" t="str">
            <v>SIS</v>
          </cell>
          <cell r="B921" t="str">
            <v>201010</v>
          </cell>
          <cell r="C921">
            <v>16</v>
          </cell>
          <cell r="D921">
            <v>9</v>
          </cell>
          <cell r="E921">
            <v>7</v>
          </cell>
        </row>
        <row r="922">
          <cell r="A922" t="str">
            <v>SIS</v>
          </cell>
          <cell r="B922" t="str">
            <v>201020</v>
          </cell>
          <cell r="C922">
            <v>25</v>
          </cell>
          <cell r="D922">
            <v>14</v>
          </cell>
          <cell r="E922">
            <v>11</v>
          </cell>
        </row>
        <row r="923">
          <cell r="A923" t="str">
            <v>SIS</v>
          </cell>
          <cell r="B923" t="str">
            <v>201110</v>
          </cell>
          <cell r="C923">
            <v>14</v>
          </cell>
          <cell r="D923">
            <v>8</v>
          </cell>
          <cell r="E923">
            <v>6</v>
          </cell>
        </row>
        <row r="924">
          <cell r="A924" t="str">
            <v>SIS</v>
          </cell>
          <cell r="B924" t="str">
            <v>201120</v>
          </cell>
          <cell r="C924">
            <v>22</v>
          </cell>
          <cell r="D924">
            <v>13</v>
          </cell>
          <cell r="E924">
            <v>9</v>
          </cell>
        </row>
        <row r="925">
          <cell r="A925" t="str">
            <v>SIS</v>
          </cell>
          <cell r="B925" t="str">
            <v>201210</v>
          </cell>
          <cell r="C925">
            <v>21</v>
          </cell>
          <cell r="D925">
            <v>13</v>
          </cell>
          <cell r="E925">
            <v>8</v>
          </cell>
        </row>
        <row r="926">
          <cell r="A926" t="str">
            <v>SIS</v>
          </cell>
          <cell r="B926" t="str">
            <v>201220</v>
          </cell>
          <cell r="C926">
            <v>19</v>
          </cell>
          <cell r="D926">
            <v>11</v>
          </cell>
          <cell r="E926">
            <v>8</v>
          </cell>
        </row>
        <row r="927">
          <cell r="A927" t="str">
            <v>SIS</v>
          </cell>
          <cell r="B927" t="str">
            <v>201310</v>
          </cell>
          <cell r="C927">
            <v>18</v>
          </cell>
          <cell r="D927">
            <v>9</v>
          </cell>
          <cell r="E927">
            <v>9</v>
          </cell>
        </row>
        <row r="928">
          <cell r="A928" t="str">
            <v>SIS</v>
          </cell>
          <cell r="B928" t="str">
            <v>201320</v>
          </cell>
          <cell r="C928">
            <v>20</v>
          </cell>
          <cell r="D928">
            <v>11</v>
          </cell>
          <cell r="E928">
            <v>9</v>
          </cell>
        </row>
        <row r="929">
          <cell r="A929" t="str">
            <v>SIS</v>
          </cell>
          <cell r="B929" t="str">
            <v>201410</v>
          </cell>
          <cell r="C929">
            <v>22</v>
          </cell>
          <cell r="D929">
            <v>15</v>
          </cell>
          <cell r="E929">
            <v>7</v>
          </cell>
        </row>
        <row r="930">
          <cell r="A930" t="str">
            <v>SIS</v>
          </cell>
          <cell r="B930" t="str">
            <v>201420</v>
          </cell>
          <cell r="C930">
            <v>26</v>
          </cell>
          <cell r="D930">
            <v>17</v>
          </cell>
          <cell r="E930">
            <v>9</v>
          </cell>
        </row>
        <row r="931">
          <cell r="A931" t="str">
            <v>SIS</v>
          </cell>
          <cell r="B931" t="str">
            <v>201510</v>
          </cell>
          <cell r="C931">
            <v>40</v>
          </cell>
          <cell r="D931">
            <v>21</v>
          </cell>
          <cell r="E931">
            <v>19</v>
          </cell>
        </row>
        <row r="932">
          <cell r="A932" t="str">
            <v>SIS</v>
          </cell>
          <cell r="B932" t="str">
            <v>201520</v>
          </cell>
          <cell r="C932">
            <v>29</v>
          </cell>
          <cell r="D932">
            <v>10</v>
          </cell>
          <cell r="E932">
            <v>19</v>
          </cell>
        </row>
        <row r="933">
          <cell r="A933" t="str">
            <v>SIS</v>
          </cell>
          <cell r="B933" t="str">
            <v>201610</v>
          </cell>
          <cell r="C933">
            <v>61</v>
          </cell>
          <cell r="D933">
            <v>30</v>
          </cell>
          <cell r="E933">
            <v>30</v>
          </cell>
        </row>
        <row r="934">
          <cell r="A934" t="str">
            <v>SIS</v>
          </cell>
          <cell r="B934" t="str">
            <v>201620</v>
          </cell>
          <cell r="C934">
            <v>54</v>
          </cell>
          <cell r="D934">
            <v>25</v>
          </cell>
          <cell r="E934">
            <v>29</v>
          </cell>
        </row>
        <row r="935">
          <cell r="A935" t="str">
            <v>SIS</v>
          </cell>
          <cell r="B935" t="str">
            <v>201710</v>
          </cell>
          <cell r="C935">
            <v>76</v>
          </cell>
          <cell r="D935">
            <v>25</v>
          </cell>
          <cell r="E935">
            <v>48</v>
          </cell>
        </row>
        <row r="936">
          <cell r="A936" t="str">
            <v>SIS</v>
          </cell>
          <cell r="B936" t="str">
            <v>201720</v>
          </cell>
          <cell r="C936">
            <v>27</v>
          </cell>
          <cell r="D936">
            <v>11</v>
          </cell>
          <cell r="E936">
            <v>15</v>
          </cell>
        </row>
        <row r="937">
          <cell r="A937" t="str">
            <v>SIS</v>
          </cell>
          <cell r="B937" t="str">
            <v>201810</v>
          </cell>
          <cell r="C937">
            <v>38</v>
          </cell>
          <cell r="D937">
            <v>15</v>
          </cell>
          <cell r="E937">
            <v>17</v>
          </cell>
        </row>
        <row r="938">
          <cell r="A938" t="str">
            <v>SIS</v>
          </cell>
          <cell r="B938" t="str">
            <v>201820</v>
          </cell>
          <cell r="C938">
            <v>34</v>
          </cell>
          <cell r="D938">
            <v>8</v>
          </cell>
          <cell r="E938">
            <v>13</v>
          </cell>
        </row>
        <row r="939">
          <cell r="A939" t="str">
            <v>SIS</v>
          </cell>
          <cell r="B939" t="str">
            <v>201910</v>
          </cell>
          <cell r="C939">
            <v>24</v>
          </cell>
          <cell r="D939">
            <v>7</v>
          </cell>
          <cell r="E939">
            <v>2</v>
          </cell>
        </row>
        <row r="940">
          <cell r="A940" t="str">
            <v>SIS</v>
          </cell>
          <cell r="B940" t="str">
            <v>201920</v>
          </cell>
          <cell r="C940">
            <v>30</v>
          </cell>
          <cell r="D940">
            <v>11</v>
          </cell>
          <cell r="E940">
            <v>2</v>
          </cell>
        </row>
        <row r="941">
          <cell r="A941" t="str">
            <v>SIS</v>
          </cell>
          <cell r="B941" t="str">
            <v>202010</v>
          </cell>
          <cell r="C941">
            <v>47</v>
          </cell>
          <cell r="D941">
            <v>6</v>
          </cell>
          <cell r="E941">
            <v>0</v>
          </cell>
        </row>
        <row r="942">
          <cell r="A942" t="str">
            <v>SIS</v>
          </cell>
          <cell r="B942" t="str">
            <v>202020</v>
          </cell>
          <cell r="C942">
            <v>37</v>
          </cell>
          <cell r="D942">
            <v>10</v>
          </cell>
          <cell r="E942">
            <v>2</v>
          </cell>
        </row>
        <row r="943">
          <cell r="A943" t="str">
            <v>SIS</v>
          </cell>
          <cell r="B943" t="str">
            <v>202110</v>
          </cell>
          <cell r="C943">
            <v>38</v>
          </cell>
          <cell r="D943">
            <v>9</v>
          </cell>
          <cell r="E943">
            <v>0</v>
          </cell>
        </row>
        <row r="944">
          <cell r="A944" t="str">
            <v>SIS</v>
          </cell>
          <cell r="B944" t="str">
            <v>202120</v>
          </cell>
          <cell r="C944">
            <v>49</v>
          </cell>
          <cell r="D944">
            <v>13</v>
          </cell>
          <cell r="E944">
            <v>0</v>
          </cell>
        </row>
        <row r="945">
          <cell r="A945" t="str">
            <v>SIS</v>
          </cell>
          <cell r="B945" t="str">
            <v>202210</v>
          </cell>
          <cell r="C945">
            <v>73</v>
          </cell>
          <cell r="D945">
            <v>11</v>
          </cell>
          <cell r="E945">
            <v>0</v>
          </cell>
        </row>
        <row r="946">
          <cell r="A946" t="str">
            <v>SIS</v>
          </cell>
          <cell r="B946" t="str">
            <v>202220</v>
          </cell>
          <cell r="C946">
            <v>77</v>
          </cell>
          <cell r="D946">
            <v>8</v>
          </cell>
          <cell r="E946">
            <v>0</v>
          </cell>
        </row>
        <row r="947">
          <cell r="A947" t="str">
            <v>SIS</v>
          </cell>
          <cell r="B947" t="str">
            <v>202310</v>
          </cell>
          <cell r="C947">
            <v>75</v>
          </cell>
          <cell r="D947">
            <v>8</v>
          </cell>
          <cell r="E947">
            <v>0</v>
          </cell>
        </row>
        <row r="948">
          <cell r="A948" t="str">
            <v>SOC</v>
          </cell>
          <cell r="B948" t="str">
            <v>200620</v>
          </cell>
          <cell r="C948">
            <v>6</v>
          </cell>
          <cell r="D948">
            <v>4</v>
          </cell>
          <cell r="E948">
            <v>2</v>
          </cell>
        </row>
        <row r="949">
          <cell r="A949" t="str">
            <v>SOC</v>
          </cell>
          <cell r="B949" t="str">
            <v>200710</v>
          </cell>
          <cell r="C949">
            <v>1</v>
          </cell>
          <cell r="D949">
            <v>1</v>
          </cell>
          <cell r="E949">
            <v>0</v>
          </cell>
        </row>
        <row r="950">
          <cell r="A950" t="str">
            <v>SOC</v>
          </cell>
          <cell r="B950" t="str">
            <v>200720</v>
          </cell>
          <cell r="C950">
            <v>7</v>
          </cell>
          <cell r="D950">
            <v>2</v>
          </cell>
          <cell r="E950">
            <v>5</v>
          </cell>
        </row>
        <row r="951">
          <cell r="A951" t="str">
            <v>SOC</v>
          </cell>
          <cell r="B951" t="str">
            <v>200810</v>
          </cell>
          <cell r="C951">
            <v>8</v>
          </cell>
          <cell r="D951">
            <v>6</v>
          </cell>
          <cell r="E951">
            <v>2</v>
          </cell>
        </row>
        <row r="952">
          <cell r="A952" t="str">
            <v>SOC</v>
          </cell>
          <cell r="B952" t="str">
            <v>200820</v>
          </cell>
          <cell r="C952">
            <v>11</v>
          </cell>
          <cell r="D952">
            <v>4</v>
          </cell>
          <cell r="E952">
            <v>7</v>
          </cell>
        </row>
        <row r="953">
          <cell r="A953" t="str">
            <v>SOC</v>
          </cell>
          <cell r="B953" t="str">
            <v>200910</v>
          </cell>
          <cell r="C953">
            <v>7</v>
          </cell>
          <cell r="D953">
            <v>5</v>
          </cell>
          <cell r="E953">
            <v>2</v>
          </cell>
        </row>
        <row r="954">
          <cell r="A954" t="str">
            <v>SOC</v>
          </cell>
          <cell r="B954" t="str">
            <v>200920</v>
          </cell>
          <cell r="C954">
            <v>7</v>
          </cell>
          <cell r="D954">
            <v>4</v>
          </cell>
          <cell r="E954">
            <v>3</v>
          </cell>
        </row>
        <row r="955">
          <cell r="A955" t="str">
            <v>SOC</v>
          </cell>
          <cell r="B955" t="str">
            <v>201010</v>
          </cell>
          <cell r="C955">
            <v>7</v>
          </cell>
          <cell r="D955">
            <v>2</v>
          </cell>
          <cell r="E955">
            <v>5</v>
          </cell>
        </row>
        <row r="956">
          <cell r="A956" t="str">
            <v>SOC</v>
          </cell>
          <cell r="B956" t="str">
            <v>201020</v>
          </cell>
          <cell r="C956">
            <v>3</v>
          </cell>
          <cell r="D956">
            <v>0</v>
          </cell>
          <cell r="E956">
            <v>3</v>
          </cell>
        </row>
        <row r="957">
          <cell r="A957" t="str">
            <v>SOC</v>
          </cell>
          <cell r="B957" t="str">
            <v>201110</v>
          </cell>
          <cell r="C957">
            <v>3</v>
          </cell>
          <cell r="D957">
            <v>1</v>
          </cell>
          <cell r="E957">
            <v>2</v>
          </cell>
        </row>
        <row r="958">
          <cell r="A958" t="str">
            <v>SOC</v>
          </cell>
          <cell r="B958" t="str">
            <v>201120</v>
          </cell>
          <cell r="C958">
            <v>14</v>
          </cell>
          <cell r="D958">
            <v>7</v>
          </cell>
          <cell r="E958">
            <v>7</v>
          </cell>
        </row>
        <row r="959">
          <cell r="A959" t="str">
            <v>SOC</v>
          </cell>
          <cell r="B959" t="str">
            <v>201210</v>
          </cell>
          <cell r="C959">
            <v>5</v>
          </cell>
          <cell r="D959">
            <v>3</v>
          </cell>
          <cell r="E959">
            <v>2</v>
          </cell>
        </row>
        <row r="960">
          <cell r="A960" t="str">
            <v>SOC</v>
          </cell>
          <cell r="B960" t="str">
            <v>201220</v>
          </cell>
          <cell r="C960">
            <v>18</v>
          </cell>
          <cell r="D960">
            <v>6</v>
          </cell>
          <cell r="E960">
            <v>12</v>
          </cell>
        </row>
        <row r="961">
          <cell r="A961" t="str">
            <v>SOC</v>
          </cell>
          <cell r="B961" t="str">
            <v>201310</v>
          </cell>
          <cell r="C961">
            <v>7</v>
          </cell>
          <cell r="D961">
            <v>4</v>
          </cell>
          <cell r="E961">
            <v>3</v>
          </cell>
        </row>
        <row r="962">
          <cell r="A962" t="str">
            <v>SOC</v>
          </cell>
          <cell r="B962" t="str">
            <v>201320</v>
          </cell>
          <cell r="C962">
            <v>14</v>
          </cell>
          <cell r="D962">
            <v>3</v>
          </cell>
          <cell r="E962">
            <v>11</v>
          </cell>
        </row>
        <row r="963">
          <cell r="A963" t="str">
            <v>SOC</v>
          </cell>
          <cell r="B963" t="str">
            <v>201410</v>
          </cell>
          <cell r="C963">
            <v>7</v>
          </cell>
          <cell r="D963">
            <v>5</v>
          </cell>
          <cell r="E963">
            <v>2</v>
          </cell>
        </row>
        <row r="964">
          <cell r="A964" t="str">
            <v>SOC</v>
          </cell>
          <cell r="B964" t="str">
            <v>201420</v>
          </cell>
          <cell r="C964">
            <v>9</v>
          </cell>
          <cell r="D964">
            <v>4</v>
          </cell>
          <cell r="E964">
            <v>4</v>
          </cell>
        </row>
        <row r="965">
          <cell r="A965" t="str">
            <v>SOC</v>
          </cell>
          <cell r="B965" t="str">
            <v>201510</v>
          </cell>
          <cell r="C965">
            <v>19</v>
          </cell>
          <cell r="D965">
            <v>6</v>
          </cell>
          <cell r="E965">
            <v>12</v>
          </cell>
        </row>
        <row r="966">
          <cell r="A966" t="str">
            <v>SOC</v>
          </cell>
          <cell r="B966" t="str">
            <v>201520</v>
          </cell>
          <cell r="C966">
            <v>14</v>
          </cell>
          <cell r="D966">
            <v>5</v>
          </cell>
          <cell r="E966">
            <v>9</v>
          </cell>
        </row>
        <row r="967">
          <cell r="A967" t="str">
            <v>SOC</v>
          </cell>
          <cell r="B967" t="str">
            <v>201610</v>
          </cell>
          <cell r="C967">
            <v>9</v>
          </cell>
          <cell r="D967">
            <v>2</v>
          </cell>
          <cell r="E967">
            <v>6</v>
          </cell>
        </row>
        <row r="968">
          <cell r="A968" t="str">
            <v>SOC</v>
          </cell>
          <cell r="B968" t="str">
            <v>201620</v>
          </cell>
          <cell r="C968">
            <v>21</v>
          </cell>
          <cell r="D968">
            <v>8</v>
          </cell>
          <cell r="E968">
            <v>13</v>
          </cell>
        </row>
        <row r="969">
          <cell r="A969" t="str">
            <v>SOC</v>
          </cell>
          <cell r="B969" t="str">
            <v>201710</v>
          </cell>
          <cell r="C969">
            <v>21</v>
          </cell>
          <cell r="D969">
            <v>3</v>
          </cell>
          <cell r="E969">
            <v>18</v>
          </cell>
        </row>
        <row r="970">
          <cell r="A970" t="str">
            <v>SOC</v>
          </cell>
          <cell r="B970" t="str">
            <v>201720</v>
          </cell>
          <cell r="C970">
            <v>8</v>
          </cell>
          <cell r="D970">
            <v>4</v>
          </cell>
          <cell r="E970">
            <v>4</v>
          </cell>
        </row>
        <row r="971">
          <cell r="A971" t="str">
            <v>SOC</v>
          </cell>
          <cell r="B971" t="str">
            <v>201810</v>
          </cell>
          <cell r="C971">
            <v>6</v>
          </cell>
          <cell r="D971">
            <v>1</v>
          </cell>
          <cell r="E971">
            <v>4</v>
          </cell>
        </row>
        <row r="972">
          <cell r="A972" t="str">
            <v>SOC</v>
          </cell>
          <cell r="B972" t="str">
            <v>201820</v>
          </cell>
          <cell r="C972">
            <v>9</v>
          </cell>
          <cell r="D972">
            <v>4</v>
          </cell>
          <cell r="E972">
            <v>3</v>
          </cell>
        </row>
        <row r="973">
          <cell r="A973" t="str">
            <v>SOC</v>
          </cell>
          <cell r="B973" t="str">
            <v>201910</v>
          </cell>
          <cell r="C973">
            <v>2</v>
          </cell>
          <cell r="D973">
            <v>1</v>
          </cell>
          <cell r="E973">
            <v>1</v>
          </cell>
        </row>
        <row r="974">
          <cell r="A974" t="str">
            <v>SOC</v>
          </cell>
          <cell r="B974" t="str">
            <v>201920</v>
          </cell>
          <cell r="C974">
            <v>11</v>
          </cell>
          <cell r="D974">
            <v>2</v>
          </cell>
          <cell r="E974">
            <v>0</v>
          </cell>
        </row>
        <row r="975">
          <cell r="A975" t="str">
            <v>SOC</v>
          </cell>
          <cell r="B975" t="str">
            <v>202010</v>
          </cell>
          <cell r="C975">
            <v>6</v>
          </cell>
          <cell r="D975">
            <v>1</v>
          </cell>
          <cell r="E975">
            <v>0</v>
          </cell>
        </row>
        <row r="976">
          <cell r="A976" t="str">
            <v>SOC</v>
          </cell>
          <cell r="B976" t="str">
            <v>202020</v>
          </cell>
          <cell r="C976">
            <v>13</v>
          </cell>
          <cell r="D976">
            <v>2</v>
          </cell>
          <cell r="E976">
            <v>2</v>
          </cell>
        </row>
        <row r="977">
          <cell r="A977" t="str">
            <v>SOC</v>
          </cell>
          <cell r="B977" t="str">
            <v>202110</v>
          </cell>
          <cell r="C977">
            <v>2</v>
          </cell>
          <cell r="D977">
            <v>1</v>
          </cell>
          <cell r="E977">
            <v>0</v>
          </cell>
        </row>
        <row r="978">
          <cell r="A978" t="str">
            <v>SOC</v>
          </cell>
          <cell r="B978" t="str">
            <v>202120</v>
          </cell>
          <cell r="C978">
            <v>3</v>
          </cell>
          <cell r="D978">
            <v>0</v>
          </cell>
          <cell r="E978">
            <v>0</v>
          </cell>
        </row>
        <row r="979">
          <cell r="A979" t="str">
            <v>SOC</v>
          </cell>
          <cell r="B979" t="str">
            <v>202210</v>
          </cell>
          <cell r="C979">
            <v>17</v>
          </cell>
          <cell r="D979">
            <v>3</v>
          </cell>
          <cell r="E979">
            <v>0</v>
          </cell>
        </row>
        <row r="980">
          <cell r="A980" t="str">
            <v>SOC</v>
          </cell>
          <cell r="B980" t="str">
            <v>202220</v>
          </cell>
          <cell r="C980">
            <v>3</v>
          </cell>
          <cell r="D980">
            <v>0</v>
          </cell>
          <cell r="E980">
            <v>0</v>
          </cell>
        </row>
        <row r="981">
          <cell r="A981" t="str">
            <v>SOC</v>
          </cell>
          <cell r="B981" t="str">
            <v>202310</v>
          </cell>
          <cell r="C981">
            <v>8</v>
          </cell>
          <cell r="D981">
            <v>0</v>
          </cell>
          <cell r="E981">
            <v>0</v>
          </cell>
        </row>
        <row r="982">
          <cell r="A982" t="str">
            <v>TEL</v>
          </cell>
          <cell r="B982" t="str">
            <v>199820</v>
          </cell>
          <cell r="C982">
            <v>45</v>
          </cell>
          <cell r="D982">
            <v>28</v>
          </cell>
          <cell r="E982">
            <v>17</v>
          </cell>
        </row>
        <row r="983">
          <cell r="A983" t="str">
            <v>TEL</v>
          </cell>
          <cell r="B983" t="str">
            <v>199910</v>
          </cell>
          <cell r="C983">
            <v>19</v>
          </cell>
          <cell r="D983">
            <v>13</v>
          </cell>
          <cell r="E983">
            <v>6</v>
          </cell>
        </row>
        <row r="984">
          <cell r="A984" t="str">
            <v>TEL</v>
          </cell>
          <cell r="B984" t="str">
            <v>199920</v>
          </cell>
          <cell r="C984">
            <v>51</v>
          </cell>
          <cell r="D984">
            <v>31</v>
          </cell>
          <cell r="E984">
            <v>20</v>
          </cell>
        </row>
        <row r="985">
          <cell r="A985" t="str">
            <v>TEL</v>
          </cell>
          <cell r="B985" t="str">
            <v>200010</v>
          </cell>
          <cell r="C985">
            <v>27</v>
          </cell>
          <cell r="D985">
            <v>16</v>
          </cell>
          <cell r="E985">
            <v>11</v>
          </cell>
        </row>
        <row r="986">
          <cell r="A986" t="str">
            <v>TEL</v>
          </cell>
          <cell r="B986" t="str">
            <v>200020</v>
          </cell>
          <cell r="C986">
            <v>67</v>
          </cell>
          <cell r="D986">
            <v>41</v>
          </cell>
          <cell r="E986">
            <v>26</v>
          </cell>
        </row>
        <row r="987">
          <cell r="A987" t="str">
            <v>TEL</v>
          </cell>
          <cell r="B987" t="str">
            <v>200110</v>
          </cell>
          <cell r="C987">
            <v>13</v>
          </cell>
          <cell r="D987">
            <v>9</v>
          </cell>
          <cell r="E987">
            <v>4</v>
          </cell>
        </row>
        <row r="988">
          <cell r="A988" t="str">
            <v>TEL</v>
          </cell>
          <cell r="B988" t="str">
            <v>200120</v>
          </cell>
          <cell r="C988">
            <v>42</v>
          </cell>
          <cell r="D988">
            <v>28</v>
          </cell>
          <cell r="E988">
            <v>14</v>
          </cell>
        </row>
        <row r="989">
          <cell r="A989" t="str">
            <v>TEL</v>
          </cell>
          <cell r="B989" t="str">
            <v>200210</v>
          </cell>
          <cell r="C989">
            <v>17</v>
          </cell>
          <cell r="D989">
            <v>15</v>
          </cell>
          <cell r="E989">
            <v>2</v>
          </cell>
        </row>
        <row r="990">
          <cell r="A990" t="str">
            <v>TEL</v>
          </cell>
          <cell r="B990" t="str">
            <v>200220</v>
          </cell>
          <cell r="C990">
            <v>44</v>
          </cell>
          <cell r="D990">
            <v>29</v>
          </cell>
          <cell r="E990">
            <v>15</v>
          </cell>
        </row>
        <row r="991">
          <cell r="A991" t="str">
            <v>TEL</v>
          </cell>
          <cell r="B991" t="str">
            <v>200310</v>
          </cell>
          <cell r="C991">
            <v>14</v>
          </cell>
          <cell r="D991">
            <v>7</v>
          </cell>
          <cell r="E991">
            <v>7</v>
          </cell>
        </row>
        <row r="992">
          <cell r="A992" t="str">
            <v>TEL</v>
          </cell>
          <cell r="B992" t="str">
            <v>200320</v>
          </cell>
          <cell r="C992">
            <v>45</v>
          </cell>
          <cell r="D992">
            <v>28</v>
          </cell>
          <cell r="E992">
            <v>17</v>
          </cell>
        </row>
        <row r="993">
          <cell r="A993" t="str">
            <v>TEL</v>
          </cell>
          <cell r="B993" t="str">
            <v>200410</v>
          </cell>
          <cell r="C993">
            <v>15</v>
          </cell>
          <cell r="D993">
            <v>10</v>
          </cell>
          <cell r="E993">
            <v>5</v>
          </cell>
        </row>
        <row r="994">
          <cell r="A994" t="str">
            <v>TEL</v>
          </cell>
          <cell r="B994" t="str">
            <v>200420</v>
          </cell>
          <cell r="C994">
            <v>33</v>
          </cell>
          <cell r="D994">
            <v>22</v>
          </cell>
          <cell r="E994">
            <v>11</v>
          </cell>
        </row>
        <row r="995">
          <cell r="A995" t="str">
            <v>TEL</v>
          </cell>
          <cell r="B995" t="str">
            <v>200510</v>
          </cell>
          <cell r="C995">
            <v>14</v>
          </cell>
          <cell r="D995">
            <v>9</v>
          </cell>
          <cell r="E995">
            <v>5</v>
          </cell>
        </row>
        <row r="996">
          <cell r="A996" t="str">
            <v>TEL</v>
          </cell>
          <cell r="B996" t="str">
            <v>200520</v>
          </cell>
          <cell r="C996">
            <v>28</v>
          </cell>
          <cell r="D996">
            <v>18</v>
          </cell>
          <cell r="E996">
            <v>10</v>
          </cell>
        </row>
        <row r="997">
          <cell r="A997" t="str">
            <v>TEL</v>
          </cell>
          <cell r="B997" t="str">
            <v>200610</v>
          </cell>
          <cell r="C997">
            <v>17</v>
          </cell>
          <cell r="D997">
            <v>11</v>
          </cell>
          <cell r="E997">
            <v>6</v>
          </cell>
        </row>
        <row r="998">
          <cell r="A998" t="str">
            <v>TEL</v>
          </cell>
          <cell r="B998" t="str">
            <v>200620</v>
          </cell>
          <cell r="C998">
            <v>31</v>
          </cell>
          <cell r="D998">
            <v>23</v>
          </cell>
          <cell r="E998">
            <v>8</v>
          </cell>
        </row>
        <row r="999">
          <cell r="A999" t="str">
            <v>TEL</v>
          </cell>
          <cell r="B999" t="str">
            <v>200710</v>
          </cell>
          <cell r="C999">
            <v>14</v>
          </cell>
          <cell r="D999">
            <v>9</v>
          </cell>
          <cell r="E999">
            <v>5</v>
          </cell>
        </row>
        <row r="1000">
          <cell r="A1000" t="str">
            <v>TEL</v>
          </cell>
          <cell r="B1000" t="str">
            <v>200720</v>
          </cell>
          <cell r="C1000">
            <v>25</v>
          </cell>
          <cell r="D1000">
            <v>12</v>
          </cell>
          <cell r="E1000">
            <v>13</v>
          </cell>
        </row>
        <row r="1001">
          <cell r="A1001" t="str">
            <v>TEL</v>
          </cell>
          <cell r="B1001" t="str">
            <v>200810</v>
          </cell>
          <cell r="C1001">
            <v>6</v>
          </cell>
          <cell r="D1001">
            <v>3</v>
          </cell>
          <cell r="E1001">
            <v>3</v>
          </cell>
        </row>
        <row r="1002">
          <cell r="A1002" t="str">
            <v>TEL</v>
          </cell>
          <cell r="B1002" t="str">
            <v>200820</v>
          </cell>
          <cell r="C1002">
            <v>31</v>
          </cell>
          <cell r="D1002">
            <v>17</v>
          </cell>
          <cell r="E1002">
            <v>14</v>
          </cell>
        </row>
        <row r="1003">
          <cell r="A1003" t="str">
            <v>TEL</v>
          </cell>
          <cell r="B1003" t="str">
            <v>200910</v>
          </cell>
          <cell r="C1003">
            <v>10</v>
          </cell>
          <cell r="D1003">
            <v>9</v>
          </cell>
          <cell r="E1003">
            <v>1</v>
          </cell>
        </row>
        <row r="1004">
          <cell r="A1004" t="str">
            <v>TEL</v>
          </cell>
          <cell r="B1004" t="str">
            <v>200920</v>
          </cell>
          <cell r="C1004">
            <v>12</v>
          </cell>
          <cell r="D1004">
            <v>8</v>
          </cell>
          <cell r="E1004">
            <v>4</v>
          </cell>
        </row>
        <row r="1005">
          <cell r="A1005" t="str">
            <v>TEL</v>
          </cell>
          <cell r="B1005" t="str">
            <v>201010</v>
          </cell>
          <cell r="C1005">
            <v>10</v>
          </cell>
          <cell r="D1005">
            <v>5</v>
          </cell>
          <cell r="E1005">
            <v>5</v>
          </cell>
        </row>
        <row r="1006">
          <cell r="A1006" t="str">
            <v>TEL</v>
          </cell>
          <cell r="B1006" t="str">
            <v>201020</v>
          </cell>
          <cell r="C1006">
            <v>16</v>
          </cell>
          <cell r="D1006">
            <v>7</v>
          </cell>
          <cell r="E1006">
            <v>9</v>
          </cell>
        </row>
        <row r="1007">
          <cell r="A1007" t="str">
            <v>TEL</v>
          </cell>
          <cell r="B1007" t="str">
            <v>201110</v>
          </cell>
          <cell r="C1007">
            <v>8</v>
          </cell>
          <cell r="D1007">
            <v>3</v>
          </cell>
          <cell r="E1007">
            <v>5</v>
          </cell>
        </row>
        <row r="1008">
          <cell r="A1008" t="str">
            <v>TEL</v>
          </cell>
          <cell r="B1008" t="str">
            <v>201120</v>
          </cell>
          <cell r="C1008">
            <v>17</v>
          </cell>
          <cell r="D1008">
            <v>11</v>
          </cell>
          <cell r="E1008">
            <v>6</v>
          </cell>
        </row>
        <row r="1009">
          <cell r="A1009" t="str">
            <v>TEL</v>
          </cell>
          <cell r="B1009" t="str">
            <v>201210</v>
          </cell>
          <cell r="C1009">
            <v>13</v>
          </cell>
          <cell r="D1009">
            <v>5</v>
          </cell>
          <cell r="E1009">
            <v>8</v>
          </cell>
        </row>
        <row r="1010">
          <cell r="A1010" t="str">
            <v>TEL</v>
          </cell>
          <cell r="B1010" t="str">
            <v>201220</v>
          </cell>
          <cell r="C1010">
            <v>10</v>
          </cell>
          <cell r="D1010">
            <v>2</v>
          </cell>
          <cell r="E1010">
            <v>8</v>
          </cell>
        </row>
        <row r="1011">
          <cell r="A1011" t="str">
            <v>TEL</v>
          </cell>
          <cell r="B1011" t="str">
            <v>201310</v>
          </cell>
          <cell r="C1011">
            <v>15</v>
          </cell>
          <cell r="D1011">
            <v>12</v>
          </cell>
          <cell r="E1011">
            <v>3</v>
          </cell>
        </row>
        <row r="1012">
          <cell r="A1012" t="str">
            <v>TEL</v>
          </cell>
          <cell r="B1012" t="str">
            <v>201320</v>
          </cell>
          <cell r="C1012">
            <v>13</v>
          </cell>
          <cell r="D1012">
            <v>6</v>
          </cell>
          <cell r="E1012">
            <v>7</v>
          </cell>
        </row>
        <row r="1013">
          <cell r="A1013" t="str">
            <v>TEL</v>
          </cell>
          <cell r="B1013" t="str">
            <v>201410</v>
          </cell>
          <cell r="C1013">
            <v>12</v>
          </cell>
          <cell r="D1013">
            <v>7</v>
          </cell>
          <cell r="E1013">
            <v>5</v>
          </cell>
        </row>
        <row r="1014">
          <cell r="A1014" t="str">
            <v>TEL</v>
          </cell>
          <cell r="B1014" t="str">
            <v>201420</v>
          </cell>
          <cell r="C1014">
            <v>15</v>
          </cell>
          <cell r="D1014">
            <v>5</v>
          </cell>
          <cell r="E1014">
            <v>10</v>
          </cell>
        </row>
        <row r="1015">
          <cell r="A1015" t="str">
            <v>TEL</v>
          </cell>
          <cell r="B1015" t="str">
            <v>201510</v>
          </cell>
          <cell r="C1015">
            <v>20</v>
          </cell>
          <cell r="D1015">
            <v>10</v>
          </cell>
          <cell r="E1015">
            <v>10</v>
          </cell>
        </row>
        <row r="1016">
          <cell r="A1016" t="str">
            <v>TEL</v>
          </cell>
          <cell r="B1016" t="str">
            <v>201520</v>
          </cell>
          <cell r="C1016">
            <v>10</v>
          </cell>
          <cell r="D1016">
            <v>2</v>
          </cell>
          <cell r="E1016">
            <v>8</v>
          </cell>
        </row>
        <row r="1017">
          <cell r="A1017" t="str">
            <v>TEL</v>
          </cell>
          <cell r="B1017" t="str">
            <v>201610</v>
          </cell>
          <cell r="C1017">
            <v>24</v>
          </cell>
          <cell r="D1017">
            <v>8</v>
          </cell>
          <cell r="E1017">
            <v>15</v>
          </cell>
        </row>
        <row r="1018">
          <cell r="A1018" t="str">
            <v>TEL</v>
          </cell>
          <cell r="B1018" t="str">
            <v>201620</v>
          </cell>
          <cell r="C1018">
            <v>10</v>
          </cell>
          <cell r="D1018">
            <v>5</v>
          </cell>
          <cell r="E1018">
            <v>5</v>
          </cell>
        </row>
        <row r="1019">
          <cell r="A1019" t="str">
            <v>TEL</v>
          </cell>
          <cell r="B1019" t="str">
            <v>201710</v>
          </cell>
          <cell r="C1019">
            <v>25</v>
          </cell>
          <cell r="D1019">
            <v>12</v>
          </cell>
          <cell r="E1019">
            <v>12</v>
          </cell>
        </row>
        <row r="1020">
          <cell r="A1020" t="str">
            <v>TEL</v>
          </cell>
          <cell r="B1020" t="str">
            <v>201720</v>
          </cell>
          <cell r="C1020">
            <v>11</v>
          </cell>
          <cell r="D1020">
            <v>6</v>
          </cell>
          <cell r="E1020">
            <v>2</v>
          </cell>
        </row>
        <row r="1021">
          <cell r="A1021" t="str">
            <v>TEL</v>
          </cell>
          <cell r="B1021" t="str">
            <v>201810</v>
          </cell>
          <cell r="C1021">
            <v>12</v>
          </cell>
          <cell r="D1021">
            <v>6</v>
          </cell>
          <cell r="E1021">
            <v>5</v>
          </cell>
        </row>
        <row r="1022">
          <cell r="A1022" t="str">
            <v>TEL</v>
          </cell>
          <cell r="B1022" t="str">
            <v>201820</v>
          </cell>
          <cell r="C1022">
            <v>16</v>
          </cell>
          <cell r="D1022">
            <v>6</v>
          </cell>
          <cell r="E1022">
            <v>6</v>
          </cell>
        </row>
        <row r="1023">
          <cell r="A1023" t="str">
            <v>TEL</v>
          </cell>
          <cell r="B1023" t="str">
            <v>201910</v>
          </cell>
          <cell r="C1023">
            <v>10</v>
          </cell>
          <cell r="D1023">
            <v>2</v>
          </cell>
          <cell r="E1023">
            <v>2</v>
          </cell>
        </row>
        <row r="1024">
          <cell r="A1024" t="str">
            <v>TEL</v>
          </cell>
          <cell r="B1024" t="str">
            <v>201920</v>
          </cell>
          <cell r="C1024">
            <v>13</v>
          </cell>
          <cell r="D1024">
            <v>5</v>
          </cell>
          <cell r="E1024">
            <v>1</v>
          </cell>
        </row>
        <row r="1025">
          <cell r="A1025" t="str">
            <v>TEL</v>
          </cell>
          <cell r="B1025" t="str">
            <v>202010</v>
          </cell>
          <cell r="C1025">
            <v>21</v>
          </cell>
          <cell r="D1025">
            <v>3</v>
          </cell>
          <cell r="E1025">
            <v>0</v>
          </cell>
        </row>
        <row r="1026">
          <cell r="A1026" t="str">
            <v>TEL</v>
          </cell>
          <cell r="B1026" t="str">
            <v>202020</v>
          </cell>
          <cell r="C1026">
            <v>9</v>
          </cell>
          <cell r="D1026">
            <v>3</v>
          </cell>
          <cell r="E1026">
            <v>1</v>
          </cell>
        </row>
        <row r="1027">
          <cell r="A1027" t="str">
            <v>TEL</v>
          </cell>
          <cell r="B1027" t="str">
            <v>202110</v>
          </cell>
          <cell r="C1027">
            <v>6</v>
          </cell>
          <cell r="D1027">
            <v>0</v>
          </cell>
          <cell r="E1027">
            <v>0</v>
          </cell>
        </row>
        <row r="1028">
          <cell r="A1028" t="str">
            <v>TEL</v>
          </cell>
          <cell r="B1028" t="str">
            <v>202120</v>
          </cell>
          <cell r="C1028">
            <v>5</v>
          </cell>
          <cell r="D1028">
            <v>0</v>
          </cell>
          <cell r="E1028">
            <v>0</v>
          </cell>
        </row>
        <row r="1029">
          <cell r="A1029" t="str">
            <v>TEL</v>
          </cell>
          <cell r="B1029" t="str">
            <v>202210</v>
          </cell>
          <cell r="C1029">
            <v>18</v>
          </cell>
          <cell r="D1029">
            <v>4</v>
          </cell>
          <cell r="E1029">
            <v>0</v>
          </cell>
        </row>
        <row r="1030">
          <cell r="A1030" t="str">
            <v>TEL</v>
          </cell>
          <cell r="B1030" t="str">
            <v>202220</v>
          </cell>
          <cell r="C1030">
            <v>11</v>
          </cell>
          <cell r="D1030">
            <v>3</v>
          </cell>
          <cell r="E1030">
            <v>0</v>
          </cell>
        </row>
        <row r="1031">
          <cell r="A1031" t="str">
            <v>TEL</v>
          </cell>
          <cell r="B1031" t="str">
            <v>202310</v>
          </cell>
          <cell r="C1031">
            <v>20</v>
          </cell>
          <cell r="D1031">
            <v>1</v>
          </cell>
          <cell r="E1031">
            <v>0</v>
          </cell>
        </row>
      </sheetData>
      <sheetData sheetId="9">
        <row r="1">
          <cell r="A1" t="str">
            <v>Programa</v>
          </cell>
          <cell r="B1" t="str">
            <v>Periodo de ingreso - programa</v>
          </cell>
          <cell r="C1" t="str">
            <v>No. Estudiantes</v>
          </cell>
          <cell r="D1" t="str">
            <v>No. Retirados Programa</v>
          </cell>
          <cell r="E1" t="str">
            <v>No. Graduados Programa</v>
          </cell>
        </row>
        <row r="2">
          <cell r="A2" t="str">
            <v>ADD</v>
          </cell>
          <cell r="B2" t="str">
            <v>198720</v>
          </cell>
          <cell r="C2">
            <v>1</v>
          </cell>
          <cell r="D2">
            <v>1</v>
          </cell>
          <cell r="E2">
            <v>0</v>
          </cell>
        </row>
        <row r="3">
          <cell r="A3" t="str">
            <v>ADD</v>
          </cell>
          <cell r="B3" t="str">
            <v>199310</v>
          </cell>
          <cell r="C3">
            <v>1</v>
          </cell>
          <cell r="D3">
            <v>1</v>
          </cell>
          <cell r="E3">
            <v>0</v>
          </cell>
        </row>
        <row r="4">
          <cell r="A4" t="str">
            <v>ADD</v>
          </cell>
          <cell r="B4" t="str">
            <v>199410</v>
          </cell>
          <cell r="C4">
            <v>2</v>
          </cell>
          <cell r="D4">
            <v>1</v>
          </cell>
          <cell r="E4">
            <v>1</v>
          </cell>
        </row>
        <row r="5">
          <cell r="A5" t="str">
            <v>ADD</v>
          </cell>
          <cell r="B5" t="str">
            <v>199510</v>
          </cell>
          <cell r="C5">
            <v>2</v>
          </cell>
          <cell r="D5">
            <v>0</v>
          </cell>
          <cell r="E5">
            <v>2</v>
          </cell>
        </row>
        <row r="6">
          <cell r="A6" t="str">
            <v>ADD</v>
          </cell>
          <cell r="B6" t="str">
            <v>199520</v>
          </cell>
          <cell r="C6">
            <v>3</v>
          </cell>
          <cell r="D6">
            <v>0</v>
          </cell>
          <cell r="E6">
            <v>3</v>
          </cell>
        </row>
        <row r="7">
          <cell r="A7" t="str">
            <v>ADD</v>
          </cell>
          <cell r="B7" t="str">
            <v>199610</v>
          </cell>
          <cell r="C7">
            <v>1</v>
          </cell>
          <cell r="D7">
            <v>1</v>
          </cell>
          <cell r="E7">
            <v>0</v>
          </cell>
        </row>
        <row r="8">
          <cell r="A8" t="str">
            <v>ADD</v>
          </cell>
          <cell r="B8" t="str">
            <v>199620</v>
          </cell>
          <cell r="C8">
            <v>12</v>
          </cell>
          <cell r="D8">
            <v>8</v>
          </cell>
          <cell r="E8">
            <v>4</v>
          </cell>
        </row>
        <row r="9">
          <cell r="A9" t="str">
            <v>ADD</v>
          </cell>
          <cell r="B9" t="str">
            <v>199710</v>
          </cell>
          <cell r="C9">
            <v>4</v>
          </cell>
          <cell r="D9">
            <v>2</v>
          </cell>
          <cell r="E9">
            <v>2</v>
          </cell>
        </row>
        <row r="10">
          <cell r="A10" t="str">
            <v>ADD</v>
          </cell>
          <cell r="B10" t="str">
            <v>199720</v>
          </cell>
          <cell r="C10">
            <v>12</v>
          </cell>
          <cell r="D10">
            <v>5</v>
          </cell>
          <cell r="E10">
            <v>7</v>
          </cell>
        </row>
        <row r="11">
          <cell r="A11" t="str">
            <v>ADD</v>
          </cell>
          <cell r="B11" t="str">
            <v>199810</v>
          </cell>
          <cell r="C11">
            <v>6</v>
          </cell>
          <cell r="D11">
            <v>5</v>
          </cell>
          <cell r="E11">
            <v>1</v>
          </cell>
        </row>
        <row r="12">
          <cell r="A12" t="str">
            <v>ADD</v>
          </cell>
          <cell r="B12" t="str">
            <v>199820</v>
          </cell>
          <cell r="C12">
            <v>3</v>
          </cell>
          <cell r="D12">
            <v>2</v>
          </cell>
          <cell r="E12">
            <v>1</v>
          </cell>
        </row>
        <row r="13">
          <cell r="A13" t="str">
            <v>ADD</v>
          </cell>
          <cell r="B13" t="str">
            <v>199910</v>
          </cell>
          <cell r="C13">
            <v>5</v>
          </cell>
          <cell r="D13">
            <v>3</v>
          </cell>
          <cell r="E13">
            <v>2</v>
          </cell>
        </row>
        <row r="14">
          <cell r="A14" t="str">
            <v>ADD</v>
          </cell>
          <cell r="B14" t="str">
            <v>199920</v>
          </cell>
          <cell r="C14">
            <v>5</v>
          </cell>
          <cell r="D14">
            <v>2</v>
          </cell>
          <cell r="E14">
            <v>3</v>
          </cell>
        </row>
        <row r="15">
          <cell r="A15" t="str">
            <v>ADD</v>
          </cell>
          <cell r="B15" t="str">
            <v>200010</v>
          </cell>
          <cell r="C15">
            <v>4</v>
          </cell>
          <cell r="D15">
            <v>1</v>
          </cell>
          <cell r="E15">
            <v>3</v>
          </cell>
        </row>
        <row r="16">
          <cell r="A16" t="str">
            <v>ADD</v>
          </cell>
          <cell r="B16" t="str">
            <v>200020</v>
          </cell>
          <cell r="C16">
            <v>2</v>
          </cell>
          <cell r="D16">
            <v>1</v>
          </cell>
          <cell r="E16">
            <v>1</v>
          </cell>
        </row>
        <row r="17">
          <cell r="A17" t="str">
            <v>ADD</v>
          </cell>
          <cell r="B17" t="str">
            <v>200120</v>
          </cell>
          <cell r="C17">
            <v>3</v>
          </cell>
          <cell r="D17">
            <v>2</v>
          </cell>
          <cell r="E17">
            <v>1</v>
          </cell>
        </row>
        <row r="18">
          <cell r="A18" t="str">
            <v>ADD</v>
          </cell>
          <cell r="B18" t="str">
            <v>200210</v>
          </cell>
          <cell r="C18">
            <v>5</v>
          </cell>
          <cell r="D18">
            <v>2</v>
          </cell>
          <cell r="E18">
            <v>3</v>
          </cell>
        </row>
        <row r="19">
          <cell r="A19" t="str">
            <v>ADD</v>
          </cell>
          <cell r="B19" t="str">
            <v>200220</v>
          </cell>
          <cell r="C19">
            <v>6</v>
          </cell>
          <cell r="D19">
            <v>6</v>
          </cell>
          <cell r="E19">
            <v>0</v>
          </cell>
        </row>
        <row r="20">
          <cell r="A20" t="str">
            <v>ADD</v>
          </cell>
          <cell r="B20" t="str">
            <v>200310</v>
          </cell>
          <cell r="C20">
            <v>7</v>
          </cell>
          <cell r="D20">
            <v>4</v>
          </cell>
          <cell r="E20">
            <v>3</v>
          </cell>
        </row>
        <row r="21">
          <cell r="A21" t="str">
            <v>ADD</v>
          </cell>
          <cell r="B21" t="str">
            <v>200320</v>
          </cell>
          <cell r="C21">
            <v>11</v>
          </cell>
          <cell r="D21">
            <v>7</v>
          </cell>
          <cell r="E21">
            <v>4</v>
          </cell>
        </row>
        <row r="22">
          <cell r="A22" t="str">
            <v>ADD</v>
          </cell>
          <cell r="B22" t="str">
            <v>200410</v>
          </cell>
          <cell r="C22">
            <v>5</v>
          </cell>
          <cell r="D22">
            <v>3</v>
          </cell>
          <cell r="E22">
            <v>2</v>
          </cell>
        </row>
        <row r="23">
          <cell r="A23" t="str">
            <v>ADD</v>
          </cell>
          <cell r="B23" t="str">
            <v>200420</v>
          </cell>
          <cell r="C23">
            <v>19</v>
          </cell>
          <cell r="D23">
            <v>12</v>
          </cell>
          <cell r="E23">
            <v>7</v>
          </cell>
        </row>
        <row r="24">
          <cell r="A24" t="str">
            <v>ADD</v>
          </cell>
          <cell r="B24" t="str">
            <v>200510</v>
          </cell>
          <cell r="C24">
            <v>7</v>
          </cell>
          <cell r="D24">
            <v>5</v>
          </cell>
          <cell r="E24">
            <v>2</v>
          </cell>
        </row>
        <row r="25">
          <cell r="A25" t="str">
            <v>ADD</v>
          </cell>
          <cell r="B25" t="str">
            <v>200520</v>
          </cell>
          <cell r="C25">
            <v>16</v>
          </cell>
          <cell r="D25">
            <v>10</v>
          </cell>
          <cell r="E25">
            <v>6</v>
          </cell>
        </row>
        <row r="26">
          <cell r="A26" t="str">
            <v>ADD</v>
          </cell>
          <cell r="B26" t="str">
            <v>200610</v>
          </cell>
          <cell r="C26">
            <v>12</v>
          </cell>
          <cell r="D26">
            <v>6</v>
          </cell>
          <cell r="E26">
            <v>6</v>
          </cell>
        </row>
        <row r="27">
          <cell r="A27" t="str">
            <v>ADD</v>
          </cell>
          <cell r="B27" t="str">
            <v>200620</v>
          </cell>
          <cell r="C27">
            <v>22</v>
          </cell>
          <cell r="D27">
            <v>14</v>
          </cell>
          <cell r="E27">
            <v>8</v>
          </cell>
        </row>
        <row r="28">
          <cell r="A28" t="str">
            <v>ADD</v>
          </cell>
          <cell r="B28" t="str">
            <v>200710</v>
          </cell>
          <cell r="C28">
            <v>9</v>
          </cell>
          <cell r="D28">
            <v>7</v>
          </cell>
          <cell r="E28">
            <v>2</v>
          </cell>
        </row>
        <row r="29">
          <cell r="A29" t="str">
            <v>ADD</v>
          </cell>
          <cell r="B29" t="str">
            <v>200720</v>
          </cell>
          <cell r="C29">
            <v>27</v>
          </cell>
          <cell r="D29">
            <v>14</v>
          </cell>
          <cell r="E29">
            <v>13</v>
          </cell>
        </row>
        <row r="30">
          <cell r="A30" t="str">
            <v>ADD</v>
          </cell>
          <cell r="B30" t="str">
            <v>200810</v>
          </cell>
          <cell r="C30">
            <v>15</v>
          </cell>
          <cell r="D30">
            <v>8</v>
          </cell>
          <cell r="E30">
            <v>7</v>
          </cell>
        </row>
        <row r="31">
          <cell r="A31" t="str">
            <v>ADD</v>
          </cell>
          <cell r="B31" t="str">
            <v>200820</v>
          </cell>
          <cell r="C31">
            <v>24</v>
          </cell>
          <cell r="D31">
            <v>12</v>
          </cell>
          <cell r="E31">
            <v>12</v>
          </cell>
        </row>
        <row r="32">
          <cell r="A32" t="str">
            <v>ADD</v>
          </cell>
          <cell r="B32" t="str">
            <v>200910</v>
          </cell>
          <cell r="C32">
            <v>18</v>
          </cell>
          <cell r="D32">
            <v>10</v>
          </cell>
          <cell r="E32">
            <v>8</v>
          </cell>
        </row>
        <row r="33">
          <cell r="A33" t="str">
            <v>ADD</v>
          </cell>
          <cell r="B33" t="str">
            <v>200920</v>
          </cell>
          <cell r="C33">
            <v>17</v>
          </cell>
          <cell r="D33">
            <v>8</v>
          </cell>
          <cell r="E33">
            <v>9</v>
          </cell>
        </row>
        <row r="34">
          <cell r="A34" t="str">
            <v>ADD</v>
          </cell>
          <cell r="B34" t="str">
            <v>201010</v>
          </cell>
          <cell r="C34">
            <v>17</v>
          </cell>
          <cell r="D34">
            <v>7</v>
          </cell>
          <cell r="E34">
            <v>10</v>
          </cell>
        </row>
        <row r="35">
          <cell r="A35" t="str">
            <v>ADD</v>
          </cell>
          <cell r="B35" t="str">
            <v>201020</v>
          </cell>
          <cell r="C35">
            <v>17</v>
          </cell>
          <cell r="D35">
            <v>7</v>
          </cell>
          <cell r="E35">
            <v>10</v>
          </cell>
        </row>
        <row r="36">
          <cell r="A36" t="str">
            <v>ADD</v>
          </cell>
          <cell r="B36" t="str">
            <v>201110</v>
          </cell>
          <cell r="C36">
            <v>17</v>
          </cell>
          <cell r="D36">
            <v>10</v>
          </cell>
          <cell r="E36">
            <v>7</v>
          </cell>
        </row>
        <row r="37">
          <cell r="A37" t="str">
            <v>ADD</v>
          </cell>
          <cell r="B37" t="str">
            <v>201120</v>
          </cell>
          <cell r="C37">
            <v>26</v>
          </cell>
          <cell r="D37">
            <v>9</v>
          </cell>
          <cell r="E37">
            <v>17</v>
          </cell>
        </row>
        <row r="38">
          <cell r="A38" t="str">
            <v>ADD</v>
          </cell>
          <cell r="B38" t="str">
            <v>201210</v>
          </cell>
          <cell r="C38">
            <v>16</v>
          </cell>
          <cell r="D38">
            <v>6</v>
          </cell>
          <cell r="E38">
            <v>10</v>
          </cell>
        </row>
        <row r="39">
          <cell r="A39" t="str">
            <v>ADD</v>
          </cell>
          <cell r="B39" t="str">
            <v>201220</v>
          </cell>
          <cell r="C39">
            <v>14</v>
          </cell>
          <cell r="D39">
            <v>4</v>
          </cell>
          <cell r="E39">
            <v>10</v>
          </cell>
        </row>
        <row r="40">
          <cell r="A40" t="str">
            <v>ADD</v>
          </cell>
          <cell r="B40" t="str">
            <v>201310</v>
          </cell>
          <cell r="C40">
            <v>25</v>
          </cell>
          <cell r="D40">
            <v>7</v>
          </cell>
          <cell r="E40">
            <v>18</v>
          </cell>
        </row>
        <row r="41">
          <cell r="A41" t="str">
            <v>ADD</v>
          </cell>
          <cell r="B41" t="str">
            <v>201320</v>
          </cell>
          <cell r="C41">
            <v>18</v>
          </cell>
          <cell r="D41">
            <v>7</v>
          </cell>
          <cell r="E41">
            <v>11</v>
          </cell>
        </row>
        <row r="42">
          <cell r="A42" t="str">
            <v>ADD</v>
          </cell>
          <cell r="B42" t="str">
            <v>201410</v>
          </cell>
          <cell r="C42">
            <v>31</v>
          </cell>
          <cell r="D42">
            <v>11</v>
          </cell>
          <cell r="E42">
            <v>20</v>
          </cell>
        </row>
        <row r="43">
          <cell r="A43" t="str">
            <v>ADD</v>
          </cell>
          <cell r="B43" t="str">
            <v>201420</v>
          </cell>
          <cell r="C43">
            <v>29</v>
          </cell>
          <cell r="D43">
            <v>12</v>
          </cell>
          <cell r="E43">
            <v>17</v>
          </cell>
        </row>
        <row r="44">
          <cell r="A44" t="str">
            <v>ADD</v>
          </cell>
          <cell r="B44" t="str">
            <v>201510</v>
          </cell>
          <cell r="C44">
            <v>24</v>
          </cell>
          <cell r="D44">
            <v>9</v>
          </cell>
          <cell r="E44">
            <v>15</v>
          </cell>
        </row>
        <row r="45">
          <cell r="A45" t="str">
            <v>ADD</v>
          </cell>
          <cell r="B45" t="str">
            <v>201520</v>
          </cell>
          <cell r="C45">
            <v>29</v>
          </cell>
          <cell r="D45">
            <v>10</v>
          </cell>
          <cell r="E45">
            <v>19</v>
          </cell>
        </row>
        <row r="46">
          <cell r="A46" t="str">
            <v>ADD</v>
          </cell>
          <cell r="B46" t="str">
            <v>201610</v>
          </cell>
          <cell r="C46">
            <v>41</v>
          </cell>
          <cell r="D46">
            <v>19</v>
          </cell>
          <cell r="E46">
            <v>22</v>
          </cell>
        </row>
        <row r="47">
          <cell r="A47" t="str">
            <v>ADD</v>
          </cell>
          <cell r="B47" t="str">
            <v>201620</v>
          </cell>
          <cell r="C47">
            <v>34</v>
          </cell>
          <cell r="D47">
            <v>9</v>
          </cell>
          <cell r="E47">
            <v>23</v>
          </cell>
        </row>
        <row r="48">
          <cell r="A48" t="str">
            <v>ADD</v>
          </cell>
          <cell r="B48" t="str">
            <v>201710</v>
          </cell>
          <cell r="C48">
            <v>34</v>
          </cell>
          <cell r="D48">
            <v>8</v>
          </cell>
          <cell r="E48">
            <v>26</v>
          </cell>
        </row>
        <row r="49">
          <cell r="A49" t="str">
            <v>ADD</v>
          </cell>
          <cell r="B49" t="str">
            <v>201720</v>
          </cell>
          <cell r="C49">
            <v>24</v>
          </cell>
          <cell r="D49">
            <v>7</v>
          </cell>
          <cell r="E49">
            <v>13</v>
          </cell>
        </row>
        <row r="50">
          <cell r="A50" t="str">
            <v>ADD</v>
          </cell>
          <cell r="B50" t="str">
            <v>201810</v>
          </cell>
          <cell r="C50">
            <v>27</v>
          </cell>
          <cell r="D50">
            <v>10</v>
          </cell>
          <cell r="E50">
            <v>10</v>
          </cell>
        </row>
        <row r="51">
          <cell r="A51" t="str">
            <v>ADD</v>
          </cell>
          <cell r="B51" t="str">
            <v>201820</v>
          </cell>
          <cell r="C51">
            <v>24</v>
          </cell>
          <cell r="D51">
            <v>7</v>
          </cell>
          <cell r="E51">
            <v>11</v>
          </cell>
        </row>
        <row r="52">
          <cell r="A52" t="str">
            <v>ADD</v>
          </cell>
          <cell r="B52" t="str">
            <v>201910</v>
          </cell>
          <cell r="C52">
            <v>15</v>
          </cell>
          <cell r="D52">
            <v>5</v>
          </cell>
          <cell r="E52">
            <v>1</v>
          </cell>
        </row>
        <row r="53">
          <cell r="A53" t="str">
            <v>ADD</v>
          </cell>
          <cell r="B53" t="str">
            <v>201920</v>
          </cell>
          <cell r="C53">
            <v>12</v>
          </cell>
          <cell r="D53">
            <v>4</v>
          </cell>
          <cell r="E53">
            <v>0</v>
          </cell>
        </row>
        <row r="54">
          <cell r="A54" t="str">
            <v>ADD</v>
          </cell>
          <cell r="B54" t="str">
            <v>202010</v>
          </cell>
          <cell r="C54">
            <v>11</v>
          </cell>
          <cell r="D54">
            <v>2</v>
          </cell>
          <cell r="E54">
            <v>0</v>
          </cell>
        </row>
        <row r="55">
          <cell r="A55" t="str">
            <v>ADD</v>
          </cell>
          <cell r="B55" t="str">
            <v>202020</v>
          </cell>
          <cell r="C55">
            <v>10</v>
          </cell>
          <cell r="D55">
            <v>0</v>
          </cell>
          <cell r="E55">
            <v>1</v>
          </cell>
        </row>
        <row r="56">
          <cell r="A56" t="str">
            <v>ADD</v>
          </cell>
          <cell r="B56" t="str">
            <v>202110</v>
          </cell>
          <cell r="C56">
            <v>14</v>
          </cell>
          <cell r="D56">
            <v>1</v>
          </cell>
          <cell r="E56">
            <v>0</v>
          </cell>
        </row>
        <row r="57">
          <cell r="A57" t="str">
            <v>ADD</v>
          </cell>
          <cell r="B57" t="str">
            <v>202120</v>
          </cell>
          <cell r="C57">
            <v>16</v>
          </cell>
          <cell r="D57">
            <v>5</v>
          </cell>
          <cell r="E57">
            <v>0</v>
          </cell>
        </row>
        <row r="58">
          <cell r="A58" t="str">
            <v>ADD</v>
          </cell>
          <cell r="B58" t="str">
            <v>202210</v>
          </cell>
          <cell r="C58">
            <v>33</v>
          </cell>
          <cell r="D58">
            <v>10</v>
          </cell>
          <cell r="E58">
            <v>0</v>
          </cell>
        </row>
        <row r="59">
          <cell r="A59" t="str">
            <v>ADD</v>
          </cell>
          <cell r="B59" t="str">
            <v>202220</v>
          </cell>
          <cell r="C59">
            <v>18</v>
          </cell>
          <cell r="D59">
            <v>3</v>
          </cell>
          <cell r="E59">
            <v>0</v>
          </cell>
        </row>
        <row r="60">
          <cell r="A60" t="str">
            <v>ADD</v>
          </cell>
          <cell r="B60" t="str">
            <v>202310</v>
          </cell>
          <cell r="C60">
            <v>24</v>
          </cell>
          <cell r="D60">
            <v>3</v>
          </cell>
          <cell r="E60">
            <v>0</v>
          </cell>
        </row>
        <row r="61">
          <cell r="A61" t="str">
            <v>ADN</v>
          </cell>
          <cell r="B61" t="str">
            <v>198820</v>
          </cell>
          <cell r="C61">
            <v>1</v>
          </cell>
          <cell r="D61">
            <v>0</v>
          </cell>
          <cell r="E61">
            <v>1</v>
          </cell>
        </row>
        <row r="62">
          <cell r="A62" t="str">
            <v>ADN</v>
          </cell>
          <cell r="B62" t="str">
            <v>199010</v>
          </cell>
          <cell r="C62">
            <v>1</v>
          </cell>
          <cell r="D62">
            <v>0</v>
          </cell>
          <cell r="E62">
            <v>1</v>
          </cell>
        </row>
        <row r="63">
          <cell r="A63" t="str">
            <v>ADN</v>
          </cell>
          <cell r="B63" t="str">
            <v>199120</v>
          </cell>
          <cell r="C63">
            <v>1</v>
          </cell>
          <cell r="D63">
            <v>0</v>
          </cell>
          <cell r="E63">
            <v>1</v>
          </cell>
        </row>
        <row r="64">
          <cell r="A64" t="str">
            <v>ADN</v>
          </cell>
          <cell r="B64" t="str">
            <v>199220</v>
          </cell>
          <cell r="C64">
            <v>1</v>
          </cell>
          <cell r="D64">
            <v>1</v>
          </cell>
          <cell r="E64">
            <v>0</v>
          </cell>
        </row>
        <row r="65">
          <cell r="A65" t="str">
            <v>ADN</v>
          </cell>
          <cell r="B65" t="str">
            <v>199310</v>
          </cell>
          <cell r="C65">
            <v>1</v>
          </cell>
          <cell r="D65">
            <v>0</v>
          </cell>
          <cell r="E65">
            <v>1</v>
          </cell>
        </row>
        <row r="66">
          <cell r="A66" t="str">
            <v>ADN</v>
          </cell>
          <cell r="B66" t="str">
            <v>199420</v>
          </cell>
          <cell r="C66">
            <v>6</v>
          </cell>
          <cell r="D66">
            <v>2</v>
          </cell>
          <cell r="E66">
            <v>4</v>
          </cell>
        </row>
        <row r="67">
          <cell r="A67" t="str">
            <v>ADN</v>
          </cell>
          <cell r="B67" t="str">
            <v>199510</v>
          </cell>
          <cell r="C67">
            <v>5</v>
          </cell>
          <cell r="D67">
            <v>0</v>
          </cell>
          <cell r="E67">
            <v>5</v>
          </cell>
        </row>
        <row r="68">
          <cell r="A68" t="str">
            <v>ADN</v>
          </cell>
          <cell r="B68" t="str">
            <v>199520</v>
          </cell>
          <cell r="C68">
            <v>5</v>
          </cell>
          <cell r="D68">
            <v>0</v>
          </cell>
          <cell r="E68">
            <v>5</v>
          </cell>
        </row>
        <row r="69">
          <cell r="A69" t="str">
            <v>ADN</v>
          </cell>
          <cell r="B69" t="str">
            <v>199610</v>
          </cell>
          <cell r="C69">
            <v>2</v>
          </cell>
          <cell r="D69">
            <v>0</v>
          </cell>
          <cell r="E69">
            <v>2</v>
          </cell>
        </row>
        <row r="70">
          <cell r="A70" t="str">
            <v>ADN</v>
          </cell>
          <cell r="B70" t="str">
            <v>199620</v>
          </cell>
          <cell r="C70">
            <v>12</v>
          </cell>
          <cell r="D70">
            <v>8</v>
          </cell>
          <cell r="E70">
            <v>4</v>
          </cell>
        </row>
        <row r="71">
          <cell r="A71" t="str">
            <v>ADN</v>
          </cell>
          <cell r="B71" t="str">
            <v>199710</v>
          </cell>
          <cell r="C71">
            <v>11</v>
          </cell>
          <cell r="D71">
            <v>5</v>
          </cell>
          <cell r="E71">
            <v>6</v>
          </cell>
        </row>
        <row r="72">
          <cell r="A72" t="str">
            <v>ADN</v>
          </cell>
          <cell r="B72" t="str">
            <v>199720</v>
          </cell>
          <cell r="C72">
            <v>13</v>
          </cell>
          <cell r="D72">
            <v>8</v>
          </cell>
          <cell r="E72">
            <v>5</v>
          </cell>
        </row>
        <row r="73">
          <cell r="A73" t="str">
            <v>ADN</v>
          </cell>
          <cell r="B73" t="str">
            <v>199810</v>
          </cell>
          <cell r="C73">
            <v>11</v>
          </cell>
          <cell r="D73">
            <v>7</v>
          </cell>
          <cell r="E73">
            <v>4</v>
          </cell>
        </row>
        <row r="74">
          <cell r="A74" t="str">
            <v>ADN</v>
          </cell>
          <cell r="B74" t="str">
            <v>199820</v>
          </cell>
          <cell r="C74">
            <v>15</v>
          </cell>
          <cell r="D74">
            <v>10</v>
          </cell>
          <cell r="E74">
            <v>5</v>
          </cell>
        </row>
        <row r="75">
          <cell r="A75" t="str">
            <v>ADN</v>
          </cell>
          <cell r="B75" t="str">
            <v>199910</v>
          </cell>
          <cell r="C75">
            <v>5</v>
          </cell>
          <cell r="D75">
            <v>4</v>
          </cell>
          <cell r="E75">
            <v>1</v>
          </cell>
        </row>
        <row r="76">
          <cell r="A76" t="str">
            <v>ADN</v>
          </cell>
          <cell r="B76" t="str">
            <v>199920</v>
          </cell>
          <cell r="C76">
            <v>7</v>
          </cell>
          <cell r="D76">
            <v>4</v>
          </cell>
          <cell r="E76">
            <v>3</v>
          </cell>
        </row>
        <row r="77">
          <cell r="A77" t="str">
            <v>ADN</v>
          </cell>
          <cell r="B77" t="str">
            <v>200010</v>
          </cell>
          <cell r="C77">
            <v>6</v>
          </cell>
          <cell r="D77">
            <v>3</v>
          </cell>
          <cell r="E77">
            <v>3</v>
          </cell>
        </row>
        <row r="78">
          <cell r="A78" t="str">
            <v>ADN</v>
          </cell>
          <cell r="B78" t="str">
            <v>200020</v>
          </cell>
          <cell r="C78">
            <v>13</v>
          </cell>
          <cell r="D78">
            <v>8</v>
          </cell>
          <cell r="E78">
            <v>5</v>
          </cell>
        </row>
        <row r="79">
          <cell r="A79" t="str">
            <v>ADN</v>
          </cell>
          <cell r="B79" t="str">
            <v>200110</v>
          </cell>
          <cell r="C79">
            <v>9</v>
          </cell>
          <cell r="D79">
            <v>7</v>
          </cell>
          <cell r="E79">
            <v>2</v>
          </cell>
        </row>
        <row r="80">
          <cell r="A80" t="str">
            <v>ADN</v>
          </cell>
          <cell r="B80" t="str">
            <v>200120</v>
          </cell>
          <cell r="C80">
            <v>17</v>
          </cell>
          <cell r="D80">
            <v>7</v>
          </cell>
          <cell r="E80">
            <v>10</v>
          </cell>
        </row>
        <row r="81">
          <cell r="A81" t="str">
            <v>ADN</v>
          </cell>
          <cell r="B81" t="str">
            <v>200210</v>
          </cell>
          <cell r="C81">
            <v>27</v>
          </cell>
          <cell r="D81">
            <v>14</v>
          </cell>
          <cell r="E81">
            <v>13</v>
          </cell>
        </row>
        <row r="82">
          <cell r="A82" t="str">
            <v>ADN</v>
          </cell>
          <cell r="B82" t="str">
            <v>200220</v>
          </cell>
          <cell r="C82">
            <v>30</v>
          </cell>
          <cell r="D82">
            <v>17</v>
          </cell>
          <cell r="E82">
            <v>13</v>
          </cell>
        </row>
        <row r="83">
          <cell r="A83" t="str">
            <v>ADN</v>
          </cell>
          <cell r="B83" t="str">
            <v>200310</v>
          </cell>
          <cell r="C83">
            <v>25</v>
          </cell>
          <cell r="D83">
            <v>18</v>
          </cell>
          <cell r="E83">
            <v>7</v>
          </cell>
        </row>
        <row r="84">
          <cell r="A84" t="str">
            <v>ADN</v>
          </cell>
          <cell r="B84" t="str">
            <v>200320</v>
          </cell>
          <cell r="C84">
            <v>42</v>
          </cell>
          <cell r="D84">
            <v>26</v>
          </cell>
          <cell r="E84">
            <v>16</v>
          </cell>
        </row>
        <row r="85">
          <cell r="A85" t="str">
            <v>ADN</v>
          </cell>
          <cell r="B85" t="str">
            <v>200410</v>
          </cell>
          <cell r="C85">
            <v>26</v>
          </cell>
          <cell r="D85">
            <v>11</v>
          </cell>
          <cell r="E85">
            <v>15</v>
          </cell>
        </row>
        <row r="86">
          <cell r="A86" t="str">
            <v>ADN</v>
          </cell>
          <cell r="B86" t="str">
            <v>200420</v>
          </cell>
          <cell r="C86">
            <v>38</v>
          </cell>
          <cell r="D86">
            <v>26</v>
          </cell>
          <cell r="E86">
            <v>12</v>
          </cell>
        </row>
        <row r="87">
          <cell r="A87" t="str">
            <v>ADN</v>
          </cell>
          <cell r="B87" t="str">
            <v>200510</v>
          </cell>
          <cell r="C87">
            <v>16</v>
          </cell>
          <cell r="D87">
            <v>14</v>
          </cell>
          <cell r="E87">
            <v>2</v>
          </cell>
        </row>
        <row r="88">
          <cell r="A88" t="str">
            <v>ADN</v>
          </cell>
          <cell r="B88" t="str">
            <v>200520</v>
          </cell>
          <cell r="C88">
            <v>47</v>
          </cell>
          <cell r="D88">
            <v>34</v>
          </cell>
          <cell r="E88">
            <v>13</v>
          </cell>
        </row>
        <row r="89">
          <cell r="A89" t="str">
            <v>ADN</v>
          </cell>
          <cell r="B89" t="str">
            <v>200610</v>
          </cell>
          <cell r="C89">
            <v>35</v>
          </cell>
          <cell r="D89">
            <v>22</v>
          </cell>
          <cell r="E89">
            <v>13</v>
          </cell>
        </row>
        <row r="90">
          <cell r="A90" t="str">
            <v>ADN</v>
          </cell>
          <cell r="B90" t="str">
            <v>200620</v>
          </cell>
          <cell r="C90">
            <v>46</v>
          </cell>
          <cell r="D90">
            <v>27</v>
          </cell>
          <cell r="E90">
            <v>19</v>
          </cell>
        </row>
        <row r="91">
          <cell r="A91" t="str">
            <v>ADN</v>
          </cell>
          <cell r="B91" t="str">
            <v>200710</v>
          </cell>
          <cell r="C91">
            <v>28</v>
          </cell>
          <cell r="D91">
            <v>17</v>
          </cell>
          <cell r="E91">
            <v>11</v>
          </cell>
        </row>
        <row r="92">
          <cell r="A92" t="str">
            <v>ADN</v>
          </cell>
          <cell r="B92" t="str">
            <v>200720</v>
          </cell>
          <cell r="C92">
            <v>37</v>
          </cell>
          <cell r="D92">
            <v>28</v>
          </cell>
          <cell r="E92">
            <v>9</v>
          </cell>
        </row>
        <row r="93">
          <cell r="A93" t="str">
            <v>ADN</v>
          </cell>
          <cell r="B93" t="str">
            <v>200810</v>
          </cell>
          <cell r="C93">
            <v>21</v>
          </cell>
          <cell r="D93">
            <v>14</v>
          </cell>
          <cell r="E93">
            <v>7</v>
          </cell>
        </row>
        <row r="94">
          <cell r="A94" t="str">
            <v>ADN</v>
          </cell>
          <cell r="B94" t="str">
            <v>200820</v>
          </cell>
          <cell r="C94">
            <v>37</v>
          </cell>
          <cell r="D94">
            <v>28</v>
          </cell>
          <cell r="E94">
            <v>9</v>
          </cell>
        </row>
        <row r="95">
          <cell r="A95" t="str">
            <v>ADN</v>
          </cell>
          <cell r="B95" t="str">
            <v>200910</v>
          </cell>
          <cell r="C95">
            <v>22</v>
          </cell>
          <cell r="D95">
            <v>15</v>
          </cell>
          <cell r="E95">
            <v>7</v>
          </cell>
        </row>
        <row r="96">
          <cell r="A96" t="str">
            <v>ADN</v>
          </cell>
          <cell r="B96" t="str">
            <v>200920</v>
          </cell>
          <cell r="C96">
            <v>10</v>
          </cell>
          <cell r="D96">
            <v>8</v>
          </cell>
          <cell r="E96">
            <v>2</v>
          </cell>
        </row>
        <row r="97">
          <cell r="A97" t="str">
            <v>ADN</v>
          </cell>
          <cell r="B97" t="str">
            <v>201010</v>
          </cell>
          <cell r="C97">
            <v>11</v>
          </cell>
          <cell r="D97">
            <v>7</v>
          </cell>
          <cell r="E97">
            <v>4</v>
          </cell>
        </row>
        <row r="98">
          <cell r="A98" t="str">
            <v>ADN</v>
          </cell>
          <cell r="B98" t="str">
            <v>201020</v>
          </cell>
          <cell r="C98">
            <v>10</v>
          </cell>
          <cell r="D98">
            <v>7</v>
          </cell>
          <cell r="E98">
            <v>3</v>
          </cell>
        </row>
        <row r="99">
          <cell r="A99" t="str">
            <v>ADN</v>
          </cell>
          <cell r="B99" t="str">
            <v>201110</v>
          </cell>
          <cell r="C99">
            <v>23</v>
          </cell>
          <cell r="D99">
            <v>13</v>
          </cell>
          <cell r="E99">
            <v>10</v>
          </cell>
        </row>
        <row r="100">
          <cell r="A100" t="str">
            <v>ADN</v>
          </cell>
          <cell r="B100" t="str">
            <v>201120</v>
          </cell>
          <cell r="C100">
            <v>17</v>
          </cell>
          <cell r="D100">
            <v>10</v>
          </cell>
          <cell r="E100">
            <v>7</v>
          </cell>
        </row>
        <row r="101">
          <cell r="A101" t="str">
            <v>ADN</v>
          </cell>
          <cell r="B101" t="str">
            <v>201210</v>
          </cell>
          <cell r="C101">
            <v>12</v>
          </cell>
          <cell r="D101">
            <v>6</v>
          </cell>
          <cell r="E101">
            <v>6</v>
          </cell>
        </row>
        <row r="102">
          <cell r="A102" t="str">
            <v>ADN</v>
          </cell>
          <cell r="B102" t="str">
            <v>201220</v>
          </cell>
          <cell r="C102">
            <v>16</v>
          </cell>
          <cell r="D102">
            <v>8</v>
          </cell>
          <cell r="E102">
            <v>8</v>
          </cell>
        </row>
        <row r="103">
          <cell r="A103" t="str">
            <v>ADN</v>
          </cell>
          <cell r="B103" t="str">
            <v>201310</v>
          </cell>
          <cell r="C103">
            <v>4</v>
          </cell>
          <cell r="D103">
            <v>1</v>
          </cell>
          <cell r="E103">
            <v>3</v>
          </cell>
        </row>
        <row r="104">
          <cell r="A104" t="str">
            <v>ADN</v>
          </cell>
          <cell r="B104" t="str">
            <v>201320</v>
          </cell>
          <cell r="C104">
            <v>5</v>
          </cell>
          <cell r="D104">
            <v>3</v>
          </cell>
          <cell r="E104">
            <v>2</v>
          </cell>
        </row>
        <row r="105">
          <cell r="A105" t="str">
            <v>ADN</v>
          </cell>
          <cell r="B105" t="str">
            <v>201410</v>
          </cell>
          <cell r="C105">
            <v>4</v>
          </cell>
          <cell r="D105">
            <v>2</v>
          </cell>
          <cell r="E105">
            <v>2</v>
          </cell>
        </row>
        <row r="106">
          <cell r="A106" t="str">
            <v>ADN</v>
          </cell>
          <cell r="B106" t="str">
            <v>201420</v>
          </cell>
          <cell r="C106">
            <v>1</v>
          </cell>
          <cell r="D106">
            <v>0</v>
          </cell>
          <cell r="E106">
            <v>1</v>
          </cell>
        </row>
        <row r="107">
          <cell r="A107" t="str">
            <v>ADN</v>
          </cell>
          <cell r="B107" t="str">
            <v>201510</v>
          </cell>
          <cell r="C107">
            <v>2</v>
          </cell>
          <cell r="D107">
            <v>1</v>
          </cell>
          <cell r="E107">
            <v>1</v>
          </cell>
        </row>
        <row r="108">
          <cell r="A108" t="str">
            <v>ADN</v>
          </cell>
          <cell r="B108" t="str">
            <v>201520</v>
          </cell>
          <cell r="C108">
            <v>1</v>
          </cell>
          <cell r="D108">
            <v>0</v>
          </cell>
          <cell r="E108">
            <v>1</v>
          </cell>
        </row>
        <row r="109">
          <cell r="A109" t="str">
            <v>ANT</v>
          </cell>
          <cell r="B109" t="str">
            <v>200620</v>
          </cell>
          <cell r="C109">
            <v>6</v>
          </cell>
          <cell r="D109">
            <v>4</v>
          </cell>
          <cell r="E109">
            <v>2</v>
          </cell>
        </row>
        <row r="110">
          <cell r="A110" t="str">
            <v>ANT</v>
          </cell>
          <cell r="B110" t="str">
            <v>200710</v>
          </cell>
          <cell r="C110">
            <v>2</v>
          </cell>
          <cell r="D110">
            <v>1</v>
          </cell>
          <cell r="E110">
            <v>1</v>
          </cell>
        </row>
        <row r="111">
          <cell r="A111" t="str">
            <v>ANT</v>
          </cell>
          <cell r="B111" t="str">
            <v>200720</v>
          </cell>
          <cell r="C111">
            <v>4</v>
          </cell>
          <cell r="D111">
            <v>1</v>
          </cell>
          <cell r="E111">
            <v>3</v>
          </cell>
        </row>
        <row r="112">
          <cell r="A112" t="str">
            <v>ANT</v>
          </cell>
          <cell r="B112" t="str">
            <v>200810</v>
          </cell>
          <cell r="C112">
            <v>2</v>
          </cell>
          <cell r="D112">
            <v>1</v>
          </cell>
          <cell r="E112">
            <v>1</v>
          </cell>
        </row>
        <row r="113">
          <cell r="A113" t="str">
            <v>ANT</v>
          </cell>
          <cell r="B113" t="str">
            <v>200820</v>
          </cell>
          <cell r="C113">
            <v>2</v>
          </cell>
          <cell r="D113">
            <v>2</v>
          </cell>
          <cell r="E113">
            <v>0</v>
          </cell>
        </row>
        <row r="114">
          <cell r="A114" t="str">
            <v>ANT</v>
          </cell>
          <cell r="B114" t="str">
            <v>200910</v>
          </cell>
          <cell r="C114">
            <v>2</v>
          </cell>
          <cell r="D114">
            <v>1</v>
          </cell>
          <cell r="E114">
            <v>1</v>
          </cell>
        </row>
        <row r="115">
          <cell r="A115" t="str">
            <v>ANT</v>
          </cell>
          <cell r="B115" t="str">
            <v>200920</v>
          </cell>
          <cell r="C115">
            <v>3</v>
          </cell>
          <cell r="D115">
            <v>2</v>
          </cell>
          <cell r="E115">
            <v>1</v>
          </cell>
        </row>
        <row r="116">
          <cell r="A116" t="str">
            <v>ANT</v>
          </cell>
          <cell r="B116" t="str">
            <v>201010</v>
          </cell>
          <cell r="C116">
            <v>3</v>
          </cell>
          <cell r="D116">
            <v>0</v>
          </cell>
          <cell r="E116">
            <v>3</v>
          </cell>
        </row>
        <row r="117">
          <cell r="A117" t="str">
            <v>ANT</v>
          </cell>
          <cell r="B117" t="str">
            <v>201020</v>
          </cell>
          <cell r="C117">
            <v>3</v>
          </cell>
          <cell r="D117">
            <v>1</v>
          </cell>
          <cell r="E117">
            <v>2</v>
          </cell>
        </row>
        <row r="118">
          <cell r="A118" t="str">
            <v>ANT</v>
          </cell>
          <cell r="B118" t="str">
            <v>201110</v>
          </cell>
          <cell r="C118">
            <v>2</v>
          </cell>
          <cell r="D118">
            <v>1</v>
          </cell>
          <cell r="E118">
            <v>1</v>
          </cell>
        </row>
        <row r="119">
          <cell r="A119" t="str">
            <v>ANT</v>
          </cell>
          <cell r="B119" t="str">
            <v>201120</v>
          </cell>
          <cell r="C119">
            <v>4</v>
          </cell>
          <cell r="D119">
            <v>2</v>
          </cell>
          <cell r="E119">
            <v>2</v>
          </cell>
        </row>
        <row r="120">
          <cell r="A120" t="str">
            <v>ANT</v>
          </cell>
          <cell r="B120" t="str">
            <v>201210</v>
          </cell>
          <cell r="C120">
            <v>4</v>
          </cell>
          <cell r="D120">
            <v>1</v>
          </cell>
          <cell r="E120">
            <v>3</v>
          </cell>
        </row>
        <row r="121">
          <cell r="A121" t="str">
            <v>ANT</v>
          </cell>
          <cell r="B121" t="str">
            <v>201220</v>
          </cell>
          <cell r="C121">
            <v>4</v>
          </cell>
          <cell r="D121">
            <v>3</v>
          </cell>
          <cell r="E121">
            <v>1</v>
          </cell>
        </row>
        <row r="122">
          <cell r="A122" t="str">
            <v>ANT</v>
          </cell>
          <cell r="B122" t="str">
            <v>201310</v>
          </cell>
          <cell r="C122">
            <v>5</v>
          </cell>
          <cell r="D122">
            <v>1</v>
          </cell>
          <cell r="E122">
            <v>4</v>
          </cell>
        </row>
        <row r="123">
          <cell r="A123" t="str">
            <v>ANT</v>
          </cell>
          <cell r="B123" t="str">
            <v>201320</v>
          </cell>
          <cell r="C123">
            <v>11</v>
          </cell>
          <cell r="D123">
            <v>2</v>
          </cell>
          <cell r="E123">
            <v>8</v>
          </cell>
        </row>
        <row r="124">
          <cell r="A124" t="str">
            <v>ANT</v>
          </cell>
          <cell r="B124" t="str">
            <v>201410</v>
          </cell>
          <cell r="C124">
            <v>8</v>
          </cell>
          <cell r="D124">
            <v>1</v>
          </cell>
          <cell r="E124">
            <v>7</v>
          </cell>
        </row>
        <row r="125">
          <cell r="A125" t="str">
            <v>ANT</v>
          </cell>
          <cell r="B125" t="str">
            <v>201420</v>
          </cell>
          <cell r="C125">
            <v>6</v>
          </cell>
          <cell r="D125">
            <v>2</v>
          </cell>
          <cell r="E125">
            <v>4</v>
          </cell>
        </row>
        <row r="126">
          <cell r="A126" t="str">
            <v>ANT</v>
          </cell>
          <cell r="B126" t="str">
            <v>201510</v>
          </cell>
          <cell r="C126">
            <v>4</v>
          </cell>
          <cell r="D126">
            <v>2</v>
          </cell>
          <cell r="E126">
            <v>2</v>
          </cell>
        </row>
        <row r="127">
          <cell r="A127" t="str">
            <v>ANT</v>
          </cell>
          <cell r="B127" t="str">
            <v>201520</v>
          </cell>
          <cell r="C127">
            <v>3</v>
          </cell>
          <cell r="D127">
            <v>1</v>
          </cell>
          <cell r="E127">
            <v>2</v>
          </cell>
        </row>
        <row r="128">
          <cell r="A128" t="str">
            <v>ANT</v>
          </cell>
          <cell r="B128" t="str">
            <v>201610</v>
          </cell>
          <cell r="C128">
            <v>5</v>
          </cell>
          <cell r="D128">
            <v>1</v>
          </cell>
          <cell r="E128">
            <v>4</v>
          </cell>
        </row>
        <row r="129">
          <cell r="A129" t="str">
            <v>ANT</v>
          </cell>
          <cell r="B129" t="str">
            <v>201620</v>
          </cell>
          <cell r="C129">
            <v>3</v>
          </cell>
          <cell r="D129">
            <v>1</v>
          </cell>
          <cell r="E129">
            <v>2</v>
          </cell>
        </row>
        <row r="130">
          <cell r="A130" t="str">
            <v>ANT</v>
          </cell>
          <cell r="B130" t="str">
            <v>201710</v>
          </cell>
          <cell r="C130">
            <v>6</v>
          </cell>
          <cell r="D130">
            <v>3</v>
          </cell>
          <cell r="E130">
            <v>3</v>
          </cell>
        </row>
        <row r="131">
          <cell r="A131" t="str">
            <v>ANT</v>
          </cell>
          <cell r="B131" t="str">
            <v>201720</v>
          </cell>
          <cell r="C131">
            <v>5</v>
          </cell>
          <cell r="D131">
            <v>1</v>
          </cell>
          <cell r="E131">
            <v>3</v>
          </cell>
        </row>
        <row r="132">
          <cell r="A132" t="str">
            <v>ANT</v>
          </cell>
          <cell r="B132" t="str">
            <v>201810</v>
          </cell>
          <cell r="C132">
            <v>6</v>
          </cell>
          <cell r="D132">
            <v>4</v>
          </cell>
          <cell r="E132">
            <v>2</v>
          </cell>
        </row>
        <row r="133">
          <cell r="A133" t="str">
            <v>ANT</v>
          </cell>
          <cell r="B133" t="str">
            <v>201820</v>
          </cell>
          <cell r="C133">
            <v>3</v>
          </cell>
          <cell r="D133">
            <v>1</v>
          </cell>
          <cell r="E133">
            <v>1</v>
          </cell>
        </row>
        <row r="134">
          <cell r="A134" t="str">
            <v>ANT</v>
          </cell>
          <cell r="B134" t="str">
            <v>201910</v>
          </cell>
          <cell r="C134">
            <v>4</v>
          </cell>
          <cell r="D134">
            <v>1</v>
          </cell>
          <cell r="E134">
            <v>0</v>
          </cell>
        </row>
        <row r="135">
          <cell r="A135" t="str">
            <v>ANT</v>
          </cell>
          <cell r="B135" t="str">
            <v>201920</v>
          </cell>
          <cell r="C135">
            <v>1</v>
          </cell>
          <cell r="D135">
            <v>1</v>
          </cell>
          <cell r="E135">
            <v>0</v>
          </cell>
        </row>
        <row r="136">
          <cell r="A136" t="str">
            <v>ANT</v>
          </cell>
          <cell r="B136" t="str">
            <v>202010</v>
          </cell>
          <cell r="C136">
            <v>4</v>
          </cell>
          <cell r="D136">
            <v>1</v>
          </cell>
          <cell r="E136">
            <v>0</v>
          </cell>
        </row>
        <row r="137">
          <cell r="A137" t="str">
            <v>ANT</v>
          </cell>
          <cell r="B137" t="str">
            <v>202020</v>
          </cell>
          <cell r="C137">
            <v>8</v>
          </cell>
          <cell r="D137">
            <v>0</v>
          </cell>
          <cell r="E137">
            <v>0</v>
          </cell>
        </row>
        <row r="138">
          <cell r="A138" t="str">
            <v>ANT</v>
          </cell>
          <cell r="B138" t="str">
            <v>202110</v>
          </cell>
          <cell r="C138">
            <v>3</v>
          </cell>
          <cell r="D138">
            <v>2</v>
          </cell>
          <cell r="E138">
            <v>0</v>
          </cell>
        </row>
        <row r="139">
          <cell r="A139" t="str">
            <v>ANT</v>
          </cell>
          <cell r="B139" t="str">
            <v>202120</v>
          </cell>
          <cell r="C139">
            <v>2</v>
          </cell>
          <cell r="D139">
            <v>1</v>
          </cell>
          <cell r="E139">
            <v>0</v>
          </cell>
        </row>
        <row r="140">
          <cell r="A140" t="str">
            <v>ANT</v>
          </cell>
          <cell r="B140" t="str">
            <v>202210</v>
          </cell>
          <cell r="C140">
            <v>10</v>
          </cell>
          <cell r="D140">
            <v>1</v>
          </cell>
          <cell r="E140">
            <v>0</v>
          </cell>
        </row>
        <row r="141">
          <cell r="A141" t="str">
            <v>ANT</v>
          </cell>
          <cell r="B141" t="str">
            <v>202220</v>
          </cell>
          <cell r="C141">
            <v>2</v>
          </cell>
          <cell r="D141">
            <v>0</v>
          </cell>
          <cell r="E141">
            <v>0</v>
          </cell>
        </row>
        <row r="142">
          <cell r="A142" t="str">
            <v>ANT</v>
          </cell>
          <cell r="B142" t="str">
            <v>202310</v>
          </cell>
          <cell r="C142">
            <v>10</v>
          </cell>
          <cell r="D142">
            <v>0</v>
          </cell>
          <cell r="E142">
            <v>0</v>
          </cell>
        </row>
        <row r="143">
          <cell r="A143" t="str">
            <v>BIO</v>
          </cell>
          <cell r="B143" t="str">
            <v>200820</v>
          </cell>
          <cell r="C143">
            <v>8</v>
          </cell>
          <cell r="D143">
            <v>6</v>
          </cell>
          <cell r="E143">
            <v>2</v>
          </cell>
        </row>
        <row r="144">
          <cell r="A144" t="str">
            <v>BIO</v>
          </cell>
          <cell r="B144" t="str">
            <v>200910</v>
          </cell>
          <cell r="C144">
            <v>6</v>
          </cell>
          <cell r="D144">
            <v>1</v>
          </cell>
          <cell r="E144">
            <v>5</v>
          </cell>
        </row>
        <row r="145">
          <cell r="A145" t="str">
            <v>BIO</v>
          </cell>
          <cell r="B145" t="str">
            <v>200920</v>
          </cell>
          <cell r="C145">
            <v>2</v>
          </cell>
          <cell r="D145">
            <v>1</v>
          </cell>
          <cell r="E145">
            <v>1</v>
          </cell>
        </row>
        <row r="146">
          <cell r="A146" t="str">
            <v>BIO</v>
          </cell>
          <cell r="B146" t="str">
            <v>201010</v>
          </cell>
          <cell r="C146">
            <v>3</v>
          </cell>
          <cell r="D146">
            <v>3</v>
          </cell>
          <cell r="E146">
            <v>0</v>
          </cell>
        </row>
        <row r="147">
          <cell r="A147" t="str">
            <v>BIO</v>
          </cell>
          <cell r="B147" t="str">
            <v>201020</v>
          </cell>
          <cell r="C147">
            <v>4</v>
          </cell>
          <cell r="D147">
            <v>3</v>
          </cell>
          <cell r="E147">
            <v>1</v>
          </cell>
        </row>
        <row r="148">
          <cell r="A148" t="str">
            <v>BIO</v>
          </cell>
          <cell r="B148" t="str">
            <v>201110</v>
          </cell>
          <cell r="C148">
            <v>7</v>
          </cell>
          <cell r="D148">
            <v>6</v>
          </cell>
          <cell r="E148">
            <v>1</v>
          </cell>
        </row>
        <row r="149">
          <cell r="A149" t="str">
            <v>BIO</v>
          </cell>
          <cell r="B149" t="str">
            <v>201120</v>
          </cell>
          <cell r="C149">
            <v>8</v>
          </cell>
          <cell r="D149">
            <v>4</v>
          </cell>
          <cell r="E149">
            <v>4</v>
          </cell>
        </row>
        <row r="150">
          <cell r="A150" t="str">
            <v>BIO</v>
          </cell>
          <cell r="B150" t="str">
            <v>201210</v>
          </cell>
          <cell r="C150">
            <v>10</v>
          </cell>
          <cell r="D150">
            <v>4</v>
          </cell>
          <cell r="E150">
            <v>6</v>
          </cell>
        </row>
        <row r="151">
          <cell r="A151" t="str">
            <v>BIO</v>
          </cell>
          <cell r="B151" t="str">
            <v>201220</v>
          </cell>
          <cell r="C151">
            <v>7</v>
          </cell>
          <cell r="D151">
            <v>2</v>
          </cell>
          <cell r="E151">
            <v>5</v>
          </cell>
        </row>
        <row r="152">
          <cell r="A152" t="str">
            <v>BIO</v>
          </cell>
          <cell r="B152" t="str">
            <v>201310</v>
          </cell>
          <cell r="C152">
            <v>13</v>
          </cell>
          <cell r="D152">
            <v>7</v>
          </cell>
          <cell r="E152">
            <v>6</v>
          </cell>
        </row>
        <row r="153">
          <cell r="A153" t="str">
            <v>BIO</v>
          </cell>
          <cell r="B153" t="str">
            <v>201320</v>
          </cell>
          <cell r="C153">
            <v>19</v>
          </cell>
          <cell r="D153">
            <v>10</v>
          </cell>
          <cell r="E153">
            <v>9</v>
          </cell>
        </row>
        <row r="154">
          <cell r="A154" t="str">
            <v>BIO</v>
          </cell>
          <cell r="B154" t="str">
            <v>201410</v>
          </cell>
          <cell r="C154">
            <v>13</v>
          </cell>
          <cell r="D154">
            <v>8</v>
          </cell>
          <cell r="E154">
            <v>5</v>
          </cell>
        </row>
        <row r="155">
          <cell r="A155" t="str">
            <v>BIO</v>
          </cell>
          <cell r="B155" t="str">
            <v>201420</v>
          </cell>
          <cell r="C155">
            <v>15</v>
          </cell>
          <cell r="D155">
            <v>7</v>
          </cell>
          <cell r="E155">
            <v>8</v>
          </cell>
        </row>
        <row r="156">
          <cell r="A156" t="str">
            <v>BIO</v>
          </cell>
          <cell r="B156" t="str">
            <v>201510</v>
          </cell>
          <cell r="C156">
            <v>26</v>
          </cell>
          <cell r="D156">
            <v>10</v>
          </cell>
          <cell r="E156">
            <v>16</v>
          </cell>
        </row>
        <row r="157">
          <cell r="A157" t="str">
            <v>BIO</v>
          </cell>
          <cell r="B157" t="str">
            <v>201520</v>
          </cell>
          <cell r="C157">
            <v>14</v>
          </cell>
          <cell r="D157">
            <v>6</v>
          </cell>
          <cell r="E157">
            <v>8</v>
          </cell>
        </row>
        <row r="158">
          <cell r="A158" t="str">
            <v>BIO</v>
          </cell>
          <cell r="B158" t="str">
            <v>201610</v>
          </cell>
          <cell r="C158">
            <v>25</v>
          </cell>
          <cell r="D158">
            <v>10</v>
          </cell>
          <cell r="E158">
            <v>15</v>
          </cell>
        </row>
        <row r="159">
          <cell r="A159" t="str">
            <v>BIO</v>
          </cell>
          <cell r="B159" t="str">
            <v>201620</v>
          </cell>
          <cell r="C159">
            <v>9</v>
          </cell>
          <cell r="D159">
            <v>3</v>
          </cell>
          <cell r="E159">
            <v>6</v>
          </cell>
        </row>
        <row r="160">
          <cell r="A160" t="str">
            <v>BIO</v>
          </cell>
          <cell r="B160" t="str">
            <v>201710</v>
          </cell>
          <cell r="C160">
            <v>24</v>
          </cell>
          <cell r="D160">
            <v>7</v>
          </cell>
          <cell r="E160">
            <v>17</v>
          </cell>
        </row>
        <row r="161">
          <cell r="A161" t="str">
            <v>BIO</v>
          </cell>
          <cell r="B161" t="str">
            <v>201720</v>
          </cell>
          <cell r="C161">
            <v>7</v>
          </cell>
          <cell r="D161">
            <v>2</v>
          </cell>
          <cell r="E161">
            <v>5</v>
          </cell>
        </row>
        <row r="162">
          <cell r="A162" t="str">
            <v>BIO</v>
          </cell>
          <cell r="B162" t="str">
            <v>201810</v>
          </cell>
          <cell r="C162">
            <v>16</v>
          </cell>
          <cell r="D162">
            <v>8</v>
          </cell>
          <cell r="E162">
            <v>6</v>
          </cell>
        </row>
        <row r="163">
          <cell r="A163" t="str">
            <v>BIO</v>
          </cell>
          <cell r="B163" t="str">
            <v>201820</v>
          </cell>
          <cell r="C163">
            <v>6</v>
          </cell>
          <cell r="D163">
            <v>1</v>
          </cell>
          <cell r="E163">
            <v>2</v>
          </cell>
        </row>
        <row r="164">
          <cell r="A164" t="str">
            <v>BIO</v>
          </cell>
          <cell r="B164" t="str">
            <v>201910</v>
          </cell>
          <cell r="C164">
            <v>11</v>
          </cell>
          <cell r="D164">
            <v>4</v>
          </cell>
          <cell r="E164">
            <v>0</v>
          </cell>
        </row>
        <row r="165">
          <cell r="A165" t="str">
            <v>BIO</v>
          </cell>
          <cell r="B165" t="str">
            <v>201920</v>
          </cell>
          <cell r="C165">
            <v>8</v>
          </cell>
          <cell r="D165">
            <v>3</v>
          </cell>
          <cell r="E165">
            <v>0</v>
          </cell>
        </row>
        <row r="166">
          <cell r="A166" t="str">
            <v>BIO</v>
          </cell>
          <cell r="B166" t="str">
            <v>202010</v>
          </cell>
          <cell r="C166">
            <v>15</v>
          </cell>
          <cell r="D166">
            <v>4</v>
          </cell>
          <cell r="E166">
            <v>0</v>
          </cell>
        </row>
        <row r="167">
          <cell r="A167" t="str">
            <v>BIO</v>
          </cell>
          <cell r="B167" t="str">
            <v>202020</v>
          </cell>
          <cell r="C167">
            <v>12</v>
          </cell>
          <cell r="D167">
            <v>2</v>
          </cell>
          <cell r="E167">
            <v>0</v>
          </cell>
        </row>
        <row r="168">
          <cell r="A168" t="str">
            <v>BIO</v>
          </cell>
          <cell r="B168" t="str">
            <v>202110</v>
          </cell>
          <cell r="C168">
            <v>10</v>
          </cell>
          <cell r="D168">
            <v>3</v>
          </cell>
          <cell r="E168">
            <v>0</v>
          </cell>
        </row>
        <row r="169">
          <cell r="A169" t="str">
            <v>BIO</v>
          </cell>
          <cell r="B169" t="str">
            <v>202120</v>
          </cell>
          <cell r="C169">
            <v>3</v>
          </cell>
          <cell r="D169">
            <v>1</v>
          </cell>
          <cell r="E169">
            <v>0</v>
          </cell>
        </row>
        <row r="170">
          <cell r="A170" t="str">
            <v>BIO</v>
          </cell>
          <cell r="B170" t="str">
            <v>202210</v>
          </cell>
          <cell r="C170">
            <v>24</v>
          </cell>
          <cell r="D170">
            <v>4</v>
          </cell>
          <cell r="E170">
            <v>0</v>
          </cell>
        </row>
        <row r="171">
          <cell r="A171" t="str">
            <v>BIO</v>
          </cell>
          <cell r="B171" t="str">
            <v>202220</v>
          </cell>
          <cell r="C171">
            <v>10</v>
          </cell>
          <cell r="D171">
            <v>1</v>
          </cell>
          <cell r="E171">
            <v>0</v>
          </cell>
        </row>
        <row r="172">
          <cell r="A172" t="str">
            <v>BIO</v>
          </cell>
          <cell r="B172" t="str">
            <v>202310</v>
          </cell>
          <cell r="C172">
            <v>19</v>
          </cell>
          <cell r="D172">
            <v>1</v>
          </cell>
          <cell r="E172">
            <v>0</v>
          </cell>
        </row>
        <row r="173">
          <cell r="A173" t="str">
            <v>CIP</v>
          </cell>
          <cell r="B173" t="str">
            <v>200620</v>
          </cell>
          <cell r="C173">
            <v>5</v>
          </cell>
          <cell r="D173">
            <v>5</v>
          </cell>
          <cell r="E173">
            <v>0</v>
          </cell>
        </row>
        <row r="174">
          <cell r="A174" t="str">
            <v>CIP</v>
          </cell>
          <cell r="B174" t="str">
            <v>200710</v>
          </cell>
          <cell r="C174">
            <v>1</v>
          </cell>
          <cell r="D174">
            <v>0</v>
          </cell>
          <cell r="E174">
            <v>1</v>
          </cell>
        </row>
        <row r="175">
          <cell r="A175" t="str">
            <v>CIP</v>
          </cell>
          <cell r="B175" t="str">
            <v>200720</v>
          </cell>
          <cell r="C175">
            <v>9</v>
          </cell>
          <cell r="D175">
            <v>4</v>
          </cell>
          <cell r="E175">
            <v>5</v>
          </cell>
        </row>
        <row r="176">
          <cell r="A176" t="str">
            <v>CIP</v>
          </cell>
          <cell r="B176" t="str">
            <v>200810</v>
          </cell>
          <cell r="C176">
            <v>5</v>
          </cell>
          <cell r="D176">
            <v>1</v>
          </cell>
          <cell r="E176">
            <v>4</v>
          </cell>
        </row>
        <row r="177">
          <cell r="A177" t="str">
            <v>CIP</v>
          </cell>
          <cell r="B177" t="str">
            <v>200820</v>
          </cell>
          <cell r="C177">
            <v>6</v>
          </cell>
          <cell r="D177">
            <v>3</v>
          </cell>
          <cell r="E177">
            <v>3</v>
          </cell>
        </row>
        <row r="178">
          <cell r="A178" t="str">
            <v>CIP</v>
          </cell>
          <cell r="B178" t="str">
            <v>200910</v>
          </cell>
          <cell r="C178">
            <v>6</v>
          </cell>
          <cell r="D178">
            <v>4</v>
          </cell>
          <cell r="E178">
            <v>1</v>
          </cell>
        </row>
        <row r="179">
          <cell r="A179" t="str">
            <v>CIP</v>
          </cell>
          <cell r="B179" t="str">
            <v>200920</v>
          </cell>
          <cell r="C179">
            <v>12</v>
          </cell>
          <cell r="D179">
            <v>4</v>
          </cell>
          <cell r="E179">
            <v>8</v>
          </cell>
        </row>
        <row r="180">
          <cell r="A180" t="str">
            <v>CIP</v>
          </cell>
          <cell r="B180" t="str">
            <v>201010</v>
          </cell>
          <cell r="C180">
            <v>3</v>
          </cell>
          <cell r="D180">
            <v>1</v>
          </cell>
          <cell r="E180">
            <v>2</v>
          </cell>
        </row>
        <row r="181">
          <cell r="A181" t="str">
            <v>CIP</v>
          </cell>
          <cell r="B181" t="str">
            <v>201020</v>
          </cell>
          <cell r="C181">
            <v>9</v>
          </cell>
          <cell r="D181">
            <v>8</v>
          </cell>
          <cell r="E181">
            <v>1</v>
          </cell>
        </row>
        <row r="182">
          <cell r="A182" t="str">
            <v>CIP</v>
          </cell>
          <cell r="B182" t="str">
            <v>201110</v>
          </cell>
          <cell r="C182">
            <v>4</v>
          </cell>
          <cell r="D182">
            <v>3</v>
          </cell>
          <cell r="E182">
            <v>1</v>
          </cell>
        </row>
        <row r="183">
          <cell r="A183" t="str">
            <v>CIP</v>
          </cell>
          <cell r="B183" t="str">
            <v>201120</v>
          </cell>
          <cell r="C183">
            <v>12</v>
          </cell>
          <cell r="D183">
            <v>1</v>
          </cell>
          <cell r="E183">
            <v>11</v>
          </cell>
        </row>
        <row r="184">
          <cell r="A184" t="str">
            <v>CIP</v>
          </cell>
          <cell r="B184" t="str">
            <v>201210</v>
          </cell>
          <cell r="C184">
            <v>14</v>
          </cell>
          <cell r="D184">
            <v>8</v>
          </cell>
          <cell r="E184">
            <v>5</v>
          </cell>
        </row>
        <row r="185">
          <cell r="A185" t="str">
            <v>CIP</v>
          </cell>
          <cell r="B185" t="str">
            <v>201220</v>
          </cell>
          <cell r="C185">
            <v>12</v>
          </cell>
          <cell r="D185">
            <v>8</v>
          </cell>
          <cell r="E185">
            <v>4</v>
          </cell>
        </row>
        <row r="186">
          <cell r="A186" t="str">
            <v>CIP</v>
          </cell>
          <cell r="B186" t="str">
            <v>201310</v>
          </cell>
          <cell r="C186">
            <v>9</v>
          </cell>
          <cell r="D186">
            <v>2</v>
          </cell>
          <cell r="E186">
            <v>7</v>
          </cell>
        </row>
        <row r="187">
          <cell r="A187" t="str">
            <v>CIP</v>
          </cell>
          <cell r="B187" t="str">
            <v>201320</v>
          </cell>
          <cell r="C187">
            <v>6</v>
          </cell>
          <cell r="D187">
            <v>3</v>
          </cell>
          <cell r="E187">
            <v>3</v>
          </cell>
        </row>
        <row r="188">
          <cell r="A188" t="str">
            <v>CIP</v>
          </cell>
          <cell r="B188" t="str">
            <v>201410</v>
          </cell>
          <cell r="C188">
            <v>16</v>
          </cell>
          <cell r="D188">
            <v>9</v>
          </cell>
          <cell r="E188">
            <v>7</v>
          </cell>
        </row>
        <row r="189">
          <cell r="A189" t="str">
            <v>CIP</v>
          </cell>
          <cell r="B189" t="str">
            <v>201420</v>
          </cell>
          <cell r="C189">
            <v>24</v>
          </cell>
          <cell r="D189">
            <v>8</v>
          </cell>
          <cell r="E189">
            <v>16</v>
          </cell>
        </row>
        <row r="190">
          <cell r="A190" t="str">
            <v>CIP</v>
          </cell>
          <cell r="B190" t="str">
            <v>201510</v>
          </cell>
          <cell r="C190">
            <v>25</v>
          </cell>
          <cell r="D190">
            <v>11</v>
          </cell>
          <cell r="E190">
            <v>14</v>
          </cell>
        </row>
        <row r="191">
          <cell r="A191" t="str">
            <v>CIP</v>
          </cell>
          <cell r="B191" t="str">
            <v>201520</v>
          </cell>
          <cell r="C191">
            <v>10</v>
          </cell>
          <cell r="D191">
            <v>5</v>
          </cell>
          <cell r="E191">
            <v>4</v>
          </cell>
        </row>
        <row r="192">
          <cell r="A192" t="str">
            <v>CIP</v>
          </cell>
          <cell r="B192" t="str">
            <v>201610</v>
          </cell>
          <cell r="C192">
            <v>16</v>
          </cell>
          <cell r="D192">
            <v>3</v>
          </cell>
          <cell r="E192">
            <v>13</v>
          </cell>
        </row>
        <row r="193">
          <cell r="A193" t="str">
            <v>CIP</v>
          </cell>
          <cell r="B193" t="str">
            <v>201620</v>
          </cell>
          <cell r="C193">
            <v>15</v>
          </cell>
          <cell r="D193">
            <v>8</v>
          </cell>
          <cell r="E193">
            <v>7</v>
          </cell>
        </row>
        <row r="194">
          <cell r="A194" t="str">
            <v>CIP</v>
          </cell>
          <cell r="B194" t="str">
            <v>201710</v>
          </cell>
          <cell r="C194">
            <v>13</v>
          </cell>
          <cell r="D194">
            <v>2</v>
          </cell>
          <cell r="E194">
            <v>11</v>
          </cell>
        </row>
        <row r="195">
          <cell r="A195" t="str">
            <v>CIP</v>
          </cell>
          <cell r="B195" t="str">
            <v>201720</v>
          </cell>
          <cell r="C195">
            <v>9</v>
          </cell>
          <cell r="D195">
            <v>2</v>
          </cell>
          <cell r="E195">
            <v>4</v>
          </cell>
        </row>
        <row r="196">
          <cell r="A196" t="str">
            <v>CIP</v>
          </cell>
          <cell r="B196" t="str">
            <v>201810</v>
          </cell>
          <cell r="C196">
            <v>6</v>
          </cell>
          <cell r="D196">
            <v>1</v>
          </cell>
          <cell r="E196">
            <v>3</v>
          </cell>
        </row>
        <row r="197">
          <cell r="A197" t="str">
            <v>CIP</v>
          </cell>
          <cell r="B197" t="str">
            <v>201820</v>
          </cell>
          <cell r="C197">
            <v>5</v>
          </cell>
          <cell r="D197">
            <v>1</v>
          </cell>
          <cell r="E197">
            <v>1</v>
          </cell>
        </row>
        <row r="198">
          <cell r="A198" t="str">
            <v>CIP</v>
          </cell>
          <cell r="B198" t="str">
            <v>201910</v>
          </cell>
          <cell r="C198">
            <v>14</v>
          </cell>
          <cell r="D198">
            <v>2</v>
          </cell>
          <cell r="E198">
            <v>4</v>
          </cell>
        </row>
        <row r="199">
          <cell r="A199" t="str">
            <v>CIP</v>
          </cell>
          <cell r="B199" t="str">
            <v>201920</v>
          </cell>
          <cell r="C199">
            <v>7</v>
          </cell>
          <cell r="D199">
            <v>0</v>
          </cell>
          <cell r="E199">
            <v>0</v>
          </cell>
        </row>
        <row r="200">
          <cell r="A200" t="str">
            <v>CIP</v>
          </cell>
          <cell r="B200" t="str">
            <v>202010</v>
          </cell>
          <cell r="C200">
            <v>11</v>
          </cell>
          <cell r="D200">
            <v>2</v>
          </cell>
          <cell r="E200">
            <v>0</v>
          </cell>
        </row>
        <row r="201">
          <cell r="A201" t="str">
            <v>CIP</v>
          </cell>
          <cell r="B201" t="str">
            <v>202020</v>
          </cell>
          <cell r="C201">
            <v>18</v>
          </cell>
          <cell r="D201">
            <v>1</v>
          </cell>
          <cell r="E201">
            <v>3</v>
          </cell>
        </row>
        <row r="202">
          <cell r="A202" t="str">
            <v>CIP</v>
          </cell>
          <cell r="B202" t="str">
            <v>202110</v>
          </cell>
          <cell r="C202">
            <v>10</v>
          </cell>
          <cell r="D202">
            <v>4</v>
          </cell>
          <cell r="E202">
            <v>0</v>
          </cell>
        </row>
        <row r="203">
          <cell r="A203" t="str">
            <v>CIP</v>
          </cell>
          <cell r="B203" t="str">
            <v>202120</v>
          </cell>
          <cell r="C203">
            <v>9</v>
          </cell>
          <cell r="D203">
            <v>2</v>
          </cell>
          <cell r="E203">
            <v>0</v>
          </cell>
        </row>
        <row r="204">
          <cell r="A204" t="str">
            <v>CIP</v>
          </cell>
          <cell r="B204" t="str">
            <v>202210</v>
          </cell>
          <cell r="C204">
            <v>21</v>
          </cell>
          <cell r="D204">
            <v>3</v>
          </cell>
          <cell r="E204">
            <v>0</v>
          </cell>
        </row>
        <row r="205">
          <cell r="A205" t="str">
            <v>CIP</v>
          </cell>
          <cell r="B205" t="str">
            <v>202220</v>
          </cell>
          <cell r="C205">
            <v>8</v>
          </cell>
          <cell r="D205">
            <v>1</v>
          </cell>
          <cell r="E205">
            <v>0</v>
          </cell>
        </row>
        <row r="206">
          <cell r="A206" t="str">
            <v>CIP</v>
          </cell>
          <cell r="B206" t="str">
            <v>202310</v>
          </cell>
          <cell r="C206">
            <v>18</v>
          </cell>
          <cell r="D206">
            <v>0</v>
          </cell>
          <cell r="E206">
            <v>0</v>
          </cell>
        </row>
        <row r="207">
          <cell r="A207" t="str">
            <v>COF</v>
          </cell>
          <cell r="B207" t="str">
            <v>200010</v>
          </cell>
          <cell r="C207">
            <v>3</v>
          </cell>
          <cell r="D207">
            <v>0</v>
          </cell>
          <cell r="E207">
            <v>3</v>
          </cell>
        </row>
        <row r="208">
          <cell r="A208" t="str">
            <v>COF</v>
          </cell>
          <cell r="B208" t="str">
            <v>200020</v>
          </cell>
          <cell r="C208">
            <v>6</v>
          </cell>
          <cell r="D208">
            <v>3</v>
          </cell>
          <cell r="E208">
            <v>3</v>
          </cell>
        </row>
        <row r="209">
          <cell r="A209" t="str">
            <v>COF</v>
          </cell>
          <cell r="B209" t="str">
            <v>200110</v>
          </cell>
          <cell r="C209">
            <v>3</v>
          </cell>
          <cell r="D209">
            <v>2</v>
          </cell>
          <cell r="E209">
            <v>1</v>
          </cell>
        </row>
        <row r="210">
          <cell r="A210" t="str">
            <v>COF</v>
          </cell>
          <cell r="B210" t="str">
            <v>200120</v>
          </cell>
          <cell r="C210">
            <v>4</v>
          </cell>
          <cell r="D210">
            <v>3</v>
          </cell>
          <cell r="E210">
            <v>1</v>
          </cell>
        </row>
        <row r="211">
          <cell r="A211" t="str">
            <v>COF</v>
          </cell>
          <cell r="B211" t="str">
            <v>200210</v>
          </cell>
          <cell r="C211">
            <v>4</v>
          </cell>
          <cell r="D211">
            <v>2</v>
          </cell>
          <cell r="E211">
            <v>2</v>
          </cell>
        </row>
        <row r="212">
          <cell r="A212" t="str">
            <v>COF</v>
          </cell>
          <cell r="B212" t="str">
            <v>200220</v>
          </cell>
          <cell r="C212">
            <v>6</v>
          </cell>
          <cell r="D212">
            <v>5</v>
          </cell>
          <cell r="E212">
            <v>1</v>
          </cell>
        </row>
        <row r="213">
          <cell r="A213" t="str">
            <v>COF</v>
          </cell>
          <cell r="B213" t="str">
            <v>200310</v>
          </cell>
          <cell r="C213">
            <v>5</v>
          </cell>
          <cell r="D213">
            <v>4</v>
          </cell>
          <cell r="E213">
            <v>1</v>
          </cell>
        </row>
        <row r="214">
          <cell r="A214" t="str">
            <v>COF</v>
          </cell>
          <cell r="B214" t="str">
            <v>200320</v>
          </cell>
          <cell r="C214">
            <v>10</v>
          </cell>
          <cell r="D214">
            <v>5</v>
          </cell>
          <cell r="E214">
            <v>5</v>
          </cell>
        </row>
        <row r="215">
          <cell r="A215" t="str">
            <v>COF</v>
          </cell>
          <cell r="B215" t="str">
            <v>200410</v>
          </cell>
          <cell r="C215">
            <v>5</v>
          </cell>
          <cell r="D215">
            <v>2</v>
          </cell>
          <cell r="E215">
            <v>3</v>
          </cell>
        </row>
        <row r="216">
          <cell r="A216" t="str">
            <v>COF</v>
          </cell>
          <cell r="B216" t="str">
            <v>200420</v>
          </cell>
          <cell r="C216">
            <v>6</v>
          </cell>
          <cell r="D216">
            <v>1</v>
          </cell>
          <cell r="E216">
            <v>5</v>
          </cell>
        </row>
        <row r="217">
          <cell r="A217" t="str">
            <v>COF</v>
          </cell>
          <cell r="B217" t="str">
            <v>200510</v>
          </cell>
          <cell r="C217">
            <v>6</v>
          </cell>
          <cell r="D217">
            <v>5</v>
          </cell>
          <cell r="E217">
            <v>1</v>
          </cell>
        </row>
        <row r="218">
          <cell r="A218" t="str">
            <v>COF</v>
          </cell>
          <cell r="B218" t="str">
            <v>200520</v>
          </cell>
          <cell r="C218">
            <v>12</v>
          </cell>
          <cell r="D218">
            <v>5</v>
          </cell>
          <cell r="E218">
            <v>7</v>
          </cell>
        </row>
        <row r="219">
          <cell r="A219" t="str">
            <v>COF</v>
          </cell>
          <cell r="B219" t="str">
            <v>200610</v>
          </cell>
          <cell r="C219">
            <v>3</v>
          </cell>
          <cell r="D219">
            <v>2</v>
          </cell>
          <cell r="E219">
            <v>1</v>
          </cell>
        </row>
        <row r="220">
          <cell r="A220" t="str">
            <v>COF</v>
          </cell>
          <cell r="B220" t="str">
            <v>200620</v>
          </cell>
          <cell r="C220">
            <v>23</v>
          </cell>
          <cell r="D220">
            <v>10</v>
          </cell>
          <cell r="E220">
            <v>13</v>
          </cell>
        </row>
        <row r="221">
          <cell r="A221" t="str">
            <v>COF</v>
          </cell>
          <cell r="B221" t="str">
            <v>200710</v>
          </cell>
          <cell r="C221">
            <v>10</v>
          </cell>
          <cell r="D221">
            <v>4</v>
          </cell>
          <cell r="E221">
            <v>6</v>
          </cell>
        </row>
        <row r="222">
          <cell r="A222" t="str">
            <v>COF</v>
          </cell>
          <cell r="B222" t="str">
            <v>200720</v>
          </cell>
          <cell r="C222">
            <v>17</v>
          </cell>
          <cell r="D222">
            <v>4</v>
          </cell>
          <cell r="E222">
            <v>13</v>
          </cell>
        </row>
        <row r="223">
          <cell r="A223" t="str">
            <v>COF</v>
          </cell>
          <cell r="B223" t="str">
            <v>200810</v>
          </cell>
          <cell r="C223">
            <v>5</v>
          </cell>
          <cell r="D223">
            <v>2</v>
          </cell>
          <cell r="E223">
            <v>3</v>
          </cell>
        </row>
        <row r="224">
          <cell r="A224" t="str">
            <v>COF</v>
          </cell>
          <cell r="B224" t="str">
            <v>200820</v>
          </cell>
          <cell r="C224">
            <v>14</v>
          </cell>
          <cell r="D224">
            <v>5</v>
          </cell>
          <cell r="E224">
            <v>9</v>
          </cell>
        </row>
        <row r="225">
          <cell r="A225" t="str">
            <v>COF</v>
          </cell>
          <cell r="B225" t="str">
            <v>200910</v>
          </cell>
          <cell r="C225">
            <v>12</v>
          </cell>
          <cell r="D225">
            <v>3</v>
          </cell>
          <cell r="E225">
            <v>9</v>
          </cell>
        </row>
        <row r="226">
          <cell r="A226" t="str">
            <v>COF</v>
          </cell>
          <cell r="B226" t="str">
            <v>200920</v>
          </cell>
          <cell r="C226">
            <v>19</v>
          </cell>
          <cell r="D226">
            <v>3</v>
          </cell>
          <cell r="E226">
            <v>16</v>
          </cell>
        </row>
        <row r="227">
          <cell r="A227" t="str">
            <v>COF</v>
          </cell>
          <cell r="B227" t="str">
            <v>201010</v>
          </cell>
          <cell r="C227">
            <v>12</v>
          </cell>
          <cell r="D227">
            <v>9</v>
          </cell>
          <cell r="E227">
            <v>3</v>
          </cell>
        </row>
        <row r="228">
          <cell r="A228" t="str">
            <v>COF</v>
          </cell>
          <cell r="B228" t="str">
            <v>201020</v>
          </cell>
          <cell r="C228">
            <v>7</v>
          </cell>
          <cell r="D228">
            <v>2</v>
          </cell>
          <cell r="E228">
            <v>5</v>
          </cell>
        </row>
        <row r="229">
          <cell r="A229" t="str">
            <v>COF</v>
          </cell>
          <cell r="B229" t="str">
            <v>201110</v>
          </cell>
          <cell r="C229">
            <v>16</v>
          </cell>
          <cell r="D229">
            <v>5</v>
          </cell>
          <cell r="E229">
            <v>11</v>
          </cell>
        </row>
        <row r="230">
          <cell r="A230" t="str">
            <v>COF</v>
          </cell>
          <cell r="B230" t="str">
            <v>201120</v>
          </cell>
          <cell r="C230">
            <v>12</v>
          </cell>
          <cell r="D230">
            <v>3</v>
          </cell>
          <cell r="E230">
            <v>9</v>
          </cell>
        </row>
        <row r="231">
          <cell r="A231" t="str">
            <v>COF</v>
          </cell>
          <cell r="B231" t="str">
            <v>201210</v>
          </cell>
          <cell r="C231">
            <v>23</v>
          </cell>
          <cell r="D231">
            <v>8</v>
          </cell>
          <cell r="E231">
            <v>15</v>
          </cell>
        </row>
        <row r="232">
          <cell r="A232" t="str">
            <v>COF</v>
          </cell>
          <cell r="B232" t="str">
            <v>201220</v>
          </cell>
          <cell r="C232">
            <v>16</v>
          </cell>
          <cell r="D232">
            <v>3</v>
          </cell>
          <cell r="E232">
            <v>13</v>
          </cell>
        </row>
        <row r="233">
          <cell r="A233" t="str">
            <v>COF</v>
          </cell>
          <cell r="B233" t="str">
            <v>201310</v>
          </cell>
          <cell r="C233">
            <v>14</v>
          </cell>
          <cell r="D233">
            <v>5</v>
          </cell>
          <cell r="E233">
            <v>9</v>
          </cell>
        </row>
        <row r="234">
          <cell r="A234" t="str">
            <v>COF</v>
          </cell>
          <cell r="B234" t="str">
            <v>201320</v>
          </cell>
          <cell r="C234">
            <v>9</v>
          </cell>
          <cell r="D234">
            <v>3</v>
          </cell>
          <cell r="E234">
            <v>6</v>
          </cell>
        </row>
        <row r="235">
          <cell r="A235" t="str">
            <v>COF</v>
          </cell>
          <cell r="B235" t="str">
            <v>201410</v>
          </cell>
          <cell r="C235">
            <v>17</v>
          </cell>
          <cell r="D235">
            <v>5</v>
          </cell>
          <cell r="E235">
            <v>12</v>
          </cell>
        </row>
        <row r="236">
          <cell r="A236" t="str">
            <v>COF</v>
          </cell>
          <cell r="B236" t="str">
            <v>201420</v>
          </cell>
          <cell r="C236">
            <v>14</v>
          </cell>
          <cell r="D236">
            <v>4</v>
          </cell>
          <cell r="E236">
            <v>10</v>
          </cell>
        </row>
        <row r="237">
          <cell r="A237" t="str">
            <v>COF</v>
          </cell>
          <cell r="B237" t="str">
            <v>201510</v>
          </cell>
          <cell r="C237">
            <v>40</v>
          </cell>
          <cell r="D237">
            <v>5</v>
          </cell>
          <cell r="E237">
            <v>35</v>
          </cell>
        </row>
        <row r="238">
          <cell r="A238" t="str">
            <v>COF</v>
          </cell>
          <cell r="B238" t="str">
            <v>201520</v>
          </cell>
          <cell r="C238">
            <v>7</v>
          </cell>
          <cell r="D238">
            <v>2</v>
          </cell>
          <cell r="E238">
            <v>4</v>
          </cell>
        </row>
        <row r="239">
          <cell r="A239" t="str">
            <v>COF</v>
          </cell>
          <cell r="B239" t="str">
            <v>201610</v>
          </cell>
          <cell r="C239">
            <v>41</v>
          </cell>
          <cell r="D239">
            <v>12</v>
          </cell>
          <cell r="E239">
            <v>29</v>
          </cell>
        </row>
        <row r="240">
          <cell r="A240" t="str">
            <v>COF</v>
          </cell>
          <cell r="B240" t="str">
            <v>201620</v>
          </cell>
          <cell r="C240">
            <v>10</v>
          </cell>
          <cell r="D240">
            <v>6</v>
          </cell>
          <cell r="E240">
            <v>4</v>
          </cell>
        </row>
        <row r="241">
          <cell r="A241" t="str">
            <v>COF</v>
          </cell>
          <cell r="B241" t="str">
            <v>201710</v>
          </cell>
          <cell r="C241">
            <v>24</v>
          </cell>
          <cell r="D241">
            <v>3</v>
          </cell>
          <cell r="E241">
            <v>21</v>
          </cell>
        </row>
        <row r="242">
          <cell r="A242" t="str">
            <v>COF</v>
          </cell>
          <cell r="B242" t="str">
            <v>201720</v>
          </cell>
          <cell r="C242">
            <v>8</v>
          </cell>
          <cell r="D242">
            <v>2</v>
          </cell>
          <cell r="E242">
            <v>5</v>
          </cell>
        </row>
        <row r="243">
          <cell r="A243" t="str">
            <v>COF</v>
          </cell>
          <cell r="B243" t="str">
            <v>201810</v>
          </cell>
          <cell r="C243">
            <v>12</v>
          </cell>
          <cell r="D243">
            <v>2</v>
          </cell>
          <cell r="E243">
            <v>10</v>
          </cell>
        </row>
        <row r="244">
          <cell r="A244" t="str">
            <v>COF</v>
          </cell>
          <cell r="B244" t="str">
            <v>201820</v>
          </cell>
          <cell r="C244">
            <v>11</v>
          </cell>
          <cell r="D244">
            <v>1</v>
          </cell>
          <cell r="E244">
            <v>8</v>
          </cell>
        </row>
        <row r="245">
          <cell r="A245" t="str">
            <v>COF</v>
          </cell>
          <cell r="B245" t="str">
            <v>201910</v>
          </cell>
          <cell r="C245">
            <v>5</v>
          </cell>
          <cell r="D245">
            <v>0</v>
          </cell>
          <cell r="E245">
            <v>1</v>
          </cell>
        </row>
        <row r="246">
          <cell r="A246" t="str">
            <v>COF</v>
          </cell>
          <cell r="B246" t="str">
            <v>201920</v>
          </cell>
          <cell r="C246">
            <v>3</v>
          </cell>
          <cell r="D246">
            <v>1</v>
          </cell>
          <cell r="E246">
            <v>0</v>
          </cell>
        </row>
        <row r="247">
          <cell r="A247" t="str">
            <v>COF</v>
          </cell>
          <cell r="B247" t="str">
            <v>202010</v>
          </cell>
          <cell r="C247">
            <v>7</v>
          </cell>
          <cell r="D247">
            <v>2</v>
          </cell>
          <cell r="E247">
            <v>0</v>
          </cell>
        </row>
        <row r="248">
          <cell r="A248" t="str">
            <v>COF</v>
          </cell>
          <cell r="B248" t="str">
            <v>202020</v>
          </cell>
          <cell r="C248">
            <v>4</v>
          </cell>
          <cell r="D248">
            <v>0</v>
          </cell>
          <cell r="E248">
            <v>1</v>
          </cell>
        </row>
        <row r="249">
          <cell r="A249" t="str">
            <v>COF</v>
          </cell>
          <cell r="B249" t="str">
            <v>202110</v>
          </cell>
          <cell r="C249">
            <v>3</v>
          </cell>
          <cell r="D249">
            <v>1</v>
          </cell>
          <cell r="E249">
            <v>0</v>
          </cell>
        </row>
        <row r="250">
          <cell r="A250" t="str">
            <v>COF</v>
          </cell>
          <cell r="B250" t="str">
            <v>202120</v>
          </cell>
          <cell r="C250">
            <v>2</v>
          </cell>
          <cell r="D250">
            <v>0</v>
          </cell>
          <cell r="E250">
            <v>0</v>
          </cell>
        </row>
        <row r="251">
          <cell r="A251" t="str">
            <v>COF</v>
          </cell>
          <cell r="B251" t="str">
            <v>202210</v>
          </cell>
          <cell r="C251">
            <v>24</v>
          </cell>
          <cell r="D251">
            <v>3</v>
          </cell>
          <cell r="E251">
            <v>0</v>
          </cell>
        </row>
        <row r="252">
          <cell r="A252" t="str">
            <v>COF</v>
          </cell>
          <cell r="B252" t="str">
            <v>202220</v>
          </cell>
          <cell r="C252">
            <v>6</v>
          </cell>
          <cell r="D252">
            <v>2</v>
          </cell>
          <cell r="E252">
            <v>0</v>
          </cell>
        </row>
        <row r="253">
          <cell r="A253" t="str">
            <v>COF</v>
          </cell>
          <cell r="B253" t="str">
            <v>202310</v>
          </cell>
          <cell r="C253">
            <v>12</v>
          </cell>
          <cell r="D253">
            <v>2</v>
          </cell>
          <cell r="E253">
            <v>0</v>
          </cell>
        </row>
        <row r="254">
          <cell r="A254" t="str">
            <v>COM</v>
          </cell>
          <cell r="B254" t="str">
            <v>202010</v>
          </cell>
          <cell r="C254">
            <v>13</v>
          </cell>
          <cell r="D254">
            <v>5</v>
          </cell>
          <cell r="E254">
            <v>0</v>
          </cell>
        </row>
        <row r="255">
          <cell r="A255" t="str">
            <v>COM</v>
          </cell>
          <cell r="B255" t="str">
            <v>202020</v>
          </cell>
          <cell r="C255">
            <v>10</v>
          </cell>
          <cell r="D255">
            <v>2</v>
          </cell>
          <cell r="E255">
            <v>0</v>
          </cell>
        </row>
        <row r="256">
          <cell r="A256" t="str">
            <v>COM</v>
          </cell>
          <cell r="B256" t="str">
            <v>202110</v>
          </cell>
          <cell r="C256">
            <v>2</v>
          </cell>
          <cell r="D256">
            <v>2</v>
          </cell>
          <cell r="E256">
            <v>0</v>
          </cell>
        </row>
        <row r="257">
          <cell r="A257" t="str">
            <v>COM</v>
          </cell>
          <cell r="B257" t="str">
            <v>202120</v>
          </cell>
          <cell r="C257">
            <v>3</v>
          </cell>
          <cell r="D257">
            <v>0</v>
          </cell>
          <cell r="E257">
            <v>0</v>
          </cell>
        </row>
        <row r="258">
          <cell r="A258" t="str">
            <v>COM</v>
          </cell>
          <cell r="B258" t="str">
            <v>202210</v>
          </cell>
          <cell r="C258">
            <v>18</v>
          </cell>
          <cell r="D258">
            <v>1</v>
          </cell>
          <cell r="E258">
            <v>0</v>
          </cell>
        </row>
        <row r="259">
          <cell r="A259" t="str">
            <v>COM</v>
          </cell>
          <cell r="B259" t="str">
            <v>202220</v>
          </cell>
          <cell r="C259">
            <v>8</v>
          </cell>
          <cell r="D259">
            <v>2</v>
          </cell>
          <cell r="E259">
            <v>0</v>
          </cell>
        </row>
        <row r="260">
          <cell r="A260" t="str">
            <v>COM</v>
          </cell>
          <cell r="B260" t="str">
            <v>202310</v>
          </cell>
          <cell r="C260">
            <v>10</v>
          </cell>
          <cell r="D260">
            <v>2</v>
          </cell>
          <cell r="E260">
            <v>0</v>
          </cell>
        </row>
        <row r="261">
          <cell r="A261" t="str">
            <v>DER</v>
          </cell>
          <cell r="B261" t="str">
            <v>200020</v>
          </cell>
          <cell r="C261">
            <v>4</v>
          </cell>
          <cell r="D261">
            <v>2</v>
          </cell>
          <cell r="E261">
            <v>2</v>
          </cell>
        </row>
        <row r="262">
          <cell r="A262" t="str">
            <v>DER</v>
          </cell>
          <cell r="B262" t="str">
            <v>200110</v>
          </cell>
          <cell r="C262">
            <v>1</v>
          </cell>
          <cell r="D262">
            <v>0</v>
          </cell>
          <cell r="E262">
            <v>1</v>
          </cell>
        </row>
        <row r="263">
          <cell r="A263" t="str">
            <v>DER</v>
          </cell>
          <cell r="B263" t="str">
            <v>200120</v>
          </cell>
          <cell r="C263">
            <v>4</v>
          </cell>
          <cell r="D263">
            <v>3</v>
          </cell>
          <cell r="E263">
            <v>1</v>
          </cell>
        </row>
        <row r="264">
          <cell r="A264" t="str">
            <v>DER</v>
          </cell>
          <cell r="B264" t="str">
            <v>200210</v>
          </cell>
          <cell r="C264">
            <v>5</v>
          </cell>
          <cell r="D264">
            <v>0</v>
          </cell>
          <cell r="E264">
            <v>5</v>
          </cell>
        </row>
        <row r="265">
          <cell r="A265" t="str">
            <v>DER</v>
          </cell>
          <cell r="B265" t="str">
            <v>200220</v>
          </cell>
          <cell r="C265">
            <v>2</v>
          </cell>
          <cell r="D265">
            <v>0</v>
          </cell>
          <cell r="E265">
            <v>2</v>
          </cell>
        </row>
        <row r="266">
          <cell r="A266" t="str">
            <v>DER</v>
          </cell>
          <cell r="B266" t="str">
            <v>200310</v>
          </cell>
          <cell r="C266">
            <v>8</v>
          </cell>
          <cell r="D266">
            <v>3</v>
          </cell>
          <cell r="E266">
            <v>5</v>
          </cell>
        </row>
        <row r="267">
          <cell r="A267" t="str">
            <v>DER</v>
          </cell>
          <cell r="B267" t="str">
            <v>200320</v>
          </cell>
          <cell r="C267">
            <v>9</v>
          </cell>
          <cell r="D267">
            <v>5</v>
          </cell>
          <cell r="E267">
            <v>4</v>
          </cell>
        </row>
        <row r="268">
          <cell r="A268" t="str">
            <v>DER</v>
          </cell>
          <cell r="B268" t="str">
            <v>200410</v>
          </cell>
          <cell r="C268">
            <v>3</v>
          </cell>
          <cell r="D268">
            <v>0</v>
          </cell>
          <cell r="E268">
            <v>3</v>
          </cell>
        </row>
        <row r="269">
          <cell r="A269" t="str">
            <v>DER</v>
          </cell>
          <cell r="B269" t="str">
            <v>200420</v>
          </cell>
          <cell r="C269">
            <v>12</v>
          </cell>
          <cell r="D269">
            <v>8</v>
          </cell>
          <cell r="E269">
            <v>4</v>
          </cell>
        </row>
        <row r="270">
          <cell r="A270" t="str">
            <v>DER</v>
          </cell>
          <cell r="B270" t="str">
            <v>200510</v>
          </cell>
          <cell r="C270">
            <v>2</v>
          </cell>
          <cell r="D270">
            <v>0</v>
          </cell>
          <cell r="E270">
            <v>2</v>
          </cell>
        </row>
        <row r="271">
          <cell r="A271" t="str">
            <v>DER</v>
          </cell>
          <cell r="B271" t="str">
            <v>200520</v>
          </cell>
          <cell r="C271">
            <v>12</v>
          </cell>
          <cell r="D271">
            <v>6</v>
          </cell>
          <cell r="E271">
            <v>6</v>
          </cell>
        </row>
        <row r="272">
          <cell r="A272" t="str">
            <v>DER</v>
          </cell>
          <cell r="B272" t="str">
            <v>200610</v>
          </cell>
          <cell r="C272">
            <v>6</v>
          </cell>
          <cell r="D272">
            <v>4</v>
          </cell>
          <cell r="E272">
            <v>2</v>
          </cell>
        </row>
        <row r="273">
          <cell r="A273" t="str">
            <v>DER</v>
          </cell>
          <cell r="B273" t="str">
            <v>200620</v>
          </cell>
          <cell r="C273">
            <v>12</v>
          </cell>
          <cell r="D273">
            <v>3</v>
          </cell>
          <cell r="E273">
            <v>9</v>
          </cell>
        </row>
        <row r="274">
          <cell r="A274" t="str">
            <v>DER</v>
          </cell>
          <cell r="B274" t="str">
            <v>200710</v>
          </cell>
          <cell r="C274">
            <v>6</v>
          </cell>
          <cell r="D274">
            <v>4</v>
          </cell>
          <cell r="E274">
            <v>2</v>
          </cell>
        </row>
        <row r="275">
          <cell r="A275" t="str">
            <v>DER</v>
          </cell>
          <cell r="B275" t="str">
            <v>200720</v>
          </cell>
          <cell r="C275">
            <v>8</v>
          </cell>
          <cell r="D275">
            <v>4</v>
          </cell>
          <cell r="E275">
            <v>4</v>
          </cell>
        </row>
        <row r="276">
          <cell r="A276" t="str">
            <v>DER</v>
          </cell>
          <cell r="B276" t="str">
            <v>200810</v>
          </cell>
          <cell r="C276">
            <v>13</v>
          </cell>
          <cell r="D276">
            <v>5</v>
          </cell>
          <cell r="E276">
            <v>8</v>
          </cell>
        </row>
        <row r="277">
          <cell r="A277" t="str">
            <v>DER</v>
          </cell>
          <cell r="B277" t="str">
            <v>200820</v>
          </cell>
          <cell r="C277">
            <v>27</v>
          </cell>
          <cell r="D277">
            <v>7</v>
          </cell>
          <cell r="E277">
            <v>20</v>
          </cell>
        </row>
        <row r="278">
          <cell r="A278" t="str">
            <v>DER</v>
          </cell>
          <cell r="B278" t="str">
            <v>200910</v>
          </cell>
          <cell r="C278">
            <v>7</v>
          </cell>
          <cell r="D278">
            <v>3</v>
          </cell>
          <cell r="E278">
            <v>4</v>
          </cell>
        </row>
        <row r="279">
          <cell r="A279" t="str">
            <v>DER</v>
          </cell>
          <cell r="B279" t="str">
            <v>200920</v>
          </cell>
          <cell r="C279">
            <v>14</v>
          </cell>
          <cell r="D279">
            <v>5</v>
          </cell>
          <cell r="E279">
            <v>9</v>
          </cell>
        </row>
        <row r="280">
          <cell r="A280" t="str">
            <v>DER</v>
          </cell>
          <cell r="B280" t="str">
            <v>201010</v>
          </cell>
          <cell r="C280">
            <v>7</v>
          </cell>
          <cell r="D280">
            <v>4</v>
          </cell>
          <cell r="E280">
            <v>3</v>
          </cell>
        </row>
        <row r="281">
          <cell r="A281" t="str">
            <v>DER</v>
          </cell>
          <cell r="B281" t="str">
            <v>201020</v>
          </cell>
          <cell r="C281">
            <v>12</v>
          </cell>
          <cell r="D281">
            <v>4</v>
          </cell>
          <cell r="E281">
            <v>8</v>
          </cell>
        </row>
        <row r="282">
          <cell r="A282" t="str">
            <v>DER</v>
          </cell>
          <cell r="B282" t="str">
            <v>201110</v>
          </cell>
          <cell r="C282">
            <v>12</v>
          </cell>
          <cell r="D282">
            <v>7</v>
          </cell>
          <cell r="E282">
            <v>5</v>
          </cell>
        </row>
        <row r="283">
          <cell r="A283" t="str">
            <v>DER</v>
          </cell>
          <cell r="B283" t="str">
            <v>201120</v>
          </cell>
          <cell r="C283">
            <v>24</v>
          </cell>
          <cell r="D283">
            <v>5</v>
          </cell>
          <cell r="E283">
            <v>19</v>
          </cell>
        </row>
        <row r="284">
          <cell r="A284" t="str">
            <v>DER</v>
          </cell>
          <cell r="B284" t="str">
            <v>201210</v>
          </cell>
          <cell r="C284">
            <v>18</v>
          </cell>
          <cell r="D284">
            <v>9</v>
          </cell>
          <cell r="E284">
            <v>9</v>
          </cell>
        </row>
        <row r="285">
          <cell r="A285" t="str">
            <v>DER</v>
          </cell>
          <cell r="B285" t="str">
            <v>201220</v>
          </cell>
          <cell r="C285">
            <v>23</v>
          </cell>
          <cell r="D285">
            <v>14</v>
          </cell>
          <cell r="E285">
            <v>9</v>
          </cell>
        </row>
        <row r="286">
          <cell r="A286" t="str">
            <v>DER</v>
          </cell>
          <cell r="B286" t="str">
            <v>201310</v>
          </cell>
          <cell r="C286">
            <v>23</v>
          </cell>
          <cell r="D286">
            <v>11</v>
          </cell>
          <cell r="E286">
            <v>11</v>
          </cell>
        </row>
        <row r="287">
          <cell r="A287" t="str">
            <v>DER</v>
          </cell>
          <cell r="B287" t="str">
            <v>201320</v>
          </cell>
          <cell r="C287">
            <v>19</v>
          </cell>
          <cell r="D287">
            <v>8</v>
          </cell>
          <cell r="E287">
            <v>11</v>
          </cell>
        </row>
        <row r="288">
          <cell r="A288" t="str">
            <v>DER</v>
          </cell>
          <cell r="B288" t="str">
            <v>201410</v>
          </cell>
          <cell r="C288">
            <v>26</v>
          </cell>
          <cell r="D288">
            <v>13</v>
          </cell>
          <cell r="E288">
            <v>13</v>
          </cell>
        </row>
        <row r="289">
          <cell r="A289" t="str">
            <v>DER</v>
          </cell>
          <cell r="B289" t="str">
            <v>201420</v>
          </cell>
          <cell r="C289">
            <v>15</v>
          </cell>
          <cell r="D289">
            <v>10</v>
          </cell>
          <cell r="E289">
            <v>5</v>
          </cell>
        </row>
        <row r="290">
          <cell r="A290" t="str">
            <v>DER</v>
          </cell>
          <cell r="B290" t="str">
            <v>201510</v>
          </cell>
          <cell r="C290">
            <v>71</v>
          </cell>
          <cell r="D290">
            <v>26</v>
          </cell>
          <cell r="E290">
            <v>42</v>
          </cell>
        </row>
        <row r="291">
          <cell r="A291" t="str">
            <v>DER</v>
          </cell>
          <cell r="B291" t="str">
            <v>201520</v>
          </cell>
          <cell r="C291">
            <v>23</v>
          </cell>
          <cell r="D291">
            <v>9</v>
          </cell>
          <cell r="E291">
            <v>14</v>
          </cell>
        </row>
        <row r="292">
          <cell r="A292" t="str">
            <v>DER</v>
          </cell>
          <cell r="B292" t="str">
            <v>201610</v>
          </cell>
          <cell r="C292">
            <v>80</v>
          </cell>
          <cell r="D292">
            <v>36</v>
          </cell>
          <cell r="E292">
            <v>43</v>
          </cell>
        </row>
        <row r="293">
          <cell r="A293" t="str">
            <v>DER</v>
          </cell>
          <cell r="B293" t="str">
            <v>201620</v>
          </cell>
          <cell r="C293">
            <v>19</v>
          </cell>
          <cell r="D293">
            <v>7</v>
          </cell>
          <cell r="E293">
            <v>10</v>
          </cell>
        </row>
        <row r="294">
          <cell r="A294" t="str">
            <v>DER</v>
          </cell>
          <cell r="B294" t="str">
            <v>201710</v>
          </cell>
          <cell r="C294">
            <v>57</v>
          </cell>
          <cell r="D294">
            <v>18</v>
          </cell>
          <cell r="E294">
            <v>36</v>
          </cell>
        </row>
        <row r="295">
          <cell r="A295" t="str">
            <v>DER</v>
          </cell>
          <cell r="B295" t="str">
            <v>201720</v>
          </cell>
          <cell r="C295">
            <v>26</v>
          </cell>
          <cell r="D295">
            <v>7</v>
          </cell>
          <cell r="E295">
            <v>16</v>
          </cell>
        </row>
        <row r="296">
          <cell r="A296" t="str">
            <v>DER</v>
          </cell>
          <cell r="B296" t="str">
            <v>201810</v>
          </cell>
          <cell r="C296">
            <v>38</v>
          </cell>
          <cell r="D296">
            <v>7</v>
          </cell>
          <cell r="E296">
            <v>21</v>
          </cell>
        </row>
        <row r="297">
          <cell r="A297" t="str">
            <v>DER</v>
          </cell>
          <cell r="B297" t="str">
            <v>201820</v>
          </cell>
          <cell r="C297">
            <v>19</v>
          </cell>
          <cell r="D297">
            <v>8</v>
          </cell>
          <cell r="E297">
            <v>2</v>
          </cell>
        </row>
        <row r="298">
          <cell r="A298" t="str">
            <v>DER</v>
          </cell>
          <cell r="B298" t="str">
            <v>201910</v>
          </cell>
          <cell r="C298">
            <v>22</v>
          </cell>
          <cell r="D298">
            <v>5</v>
          </cell>
          <cell r="E298">
            <v>0</v>
          </cell>
        </row>
        <row r="299">
          <cell r="A299" t="str">
            <v>DER</v>
          </cell>
          <cell r="B299" t="str">
            <v>201920</v>
          </cell>
          <cell r="C299">
            <v>14</v>
          </cell>
          <cell r="D299">
            <v>3</v>
          </cell>
          <cell r="E299">
            <v>0</v>
          </cell>
        </row>
        <row r="300">
          <cell r="A300" t="str">
            <v>DER</v>
          </cell>
          <cell r="B300" t="str">
            <v>202010</v>
          </cell>
          <cell r="C300">
            <v>23</v>
          </cell>
          <cell r="D300">
            <v>2</v>
          </cell>
          <cell r="E300">
            <v>0</v>
          </cell>
        </row>
        <row r="301">
          <cell r="A301" t="str">
            <v>DER</v>
          </cell>
          <cell r="B301" t="str">
            <v>202020</v>
          </cell>
          <cell r="C301">
            <v>24</v>
          </cell>
          <cell r="D301">
            <v>2</v>
          </cell>
          <cell r="E301">
            <v>1</v>
          </cell>
        </row>
        <row r="302">
          <cell r="A302" t="str">
            <v>DER</v>
          </cell>
          <cell r="B302" t="str">
            <v>202110</v>
          </cell>
          <cell r="C302">
            <v>28</v>
          </cell>
          <cell r="D302">
            <v>5</v>
          </cell>
          <cell r="E302">
            <v>0</v>
          </cell>
        </row>
        <row r="303">
          <cell r="A303" t="str">
            <v>DER</v>
          </cell>
          <cell r="B303" t="str">
            <v>202120</v>
          </cell>
          <cell r="C303">
            <v>10</v>
          </cell>
          <cell r="D303">
            <v>2</v>
          </cell>
          <cell r="E303">
            <v>0</v>
          </cell>
        </row>
        <row r="304">
          <cell r="A304" t="str">
            <v>DER</v>
          </cell>
          <cell r="B304" t="str">
            <v>202210</v>
          </cell>
          <cell r="C304">
            <v>37</v>
          </cell>
          <cell r="D304">
            <v>3</v>
          </cell>
          <cell r="E304">
            <v>0</v>
          </cell>
        </row>
        <row r="305">
          <cell r="A305" t="str">
            <v>DER</v>
          </cell>
          <cell r="B305" t="str">
            <v>202220</v>
          </cell>
          <cell r="C305">
            <v>22</v>
          </cell>
          <cell r="D305">
            <v>0</v>
          </cell>
          <cell r="E305">
            <v>0</v>
          </cell>
        </row>
        <row r="306">
          <cell r="A306" t="str">
            <v>DER</v>
          </cell>
          <cell r="B306" t="str">
            <v>202310</v>
          </cell>
          <cell r="C306">
            <v>28</v>
          </cell>
          <cell r="D306">
            <v>2</v>
          </cell>
          <cell r="E306">
            <v>0</v>
          </cell>
        </row>
        <row r="307">
          <cell r="A307" t="str">
            <v>DER</v>
          </cell>
          <cell r="B307" t="str">
            <v>202320</v>
          </cell>
          <cell r="C307">
            <v>1</v>
          </cell>
          <cell r="D307">
            <v>0</v>
          </cell>
          <cell r="E307">
            <v>0</v>
          </cell>
        </row>
        <row r="308">
          <cell r="A308" t="str">
            <v>DIS</v>
          </cell>
          <cell r="B308" t="str">
            <v>199820</v>
          </cell>
          <cell r="C308">
            <v>1</v>
          </cell>
          <cell r="D308">
            <v>1</v>
          </cell>
          <cell r="E308">
            <v>0</v>
          </cell>
        </row>
        <row r="309">
          <cell r="A309" t="str">
            <v>DIS</v>
          </cell>
          <cell r="B309" t="str">
            <v>199920</v>
          </cell>
          <cell r="C309">
            <v>2</v>
          </cell>
          <cell r="D309">
            <v>0</v>
          </cell>
          <cell r="E309">
            <v>2</v>
          </cell>
        </row>
        <row r="310">
          <cell r="A310" t="str">
            <v>DIS</v>
          </cell>
          <cell r="B310" t="str">
            <v>200010</v>
          </cell>
          <cell r="C310">
            <v>1</v>
          </cell>
          <cell r="D310">
            <v>0</v>
          </cell>
          <cell r="E310">
            <v>1</v>
          </cell>
        </row>
        <row r="311">
          <cell r="A311" t="str">
            <v>DIS</v>
          </cell>
          <cell r="B311" t="str">
            <v>200020</v>
          </cell>
          <cell r="C311">
            <v>3</v>
          </cell>
          <cell r="D311">
            <v>2</v>
          </cell>
          <cell r="E311">
            <v>1</v>
          </cell>
        </row>
        <row r="312">
          <cell r="A312" t="str">
            <v>DIS</v>
          </cell>
          <cell r="B312" t="str">
            <v>200110</v>
          </cell>
          <cell r="C312">
            <v>1</v>
          </cell>
          <cell r="D312">
            <v>1</v>
          </cell>
          <cell r="E312">
            <v>0</v>
          </cell>
        </row>
        <row r="313">
          <cell r="A313" t="str">
            <v>DIS</v>
          </cell>
          <cell r="B313" t="str">
            <v>200120</v>
          </cell>
          <cell r="C313">
            <v>2</v>
          </cell>
          <cell r="D313">
            <v>2</v>
          </cell>
          <cell r="E313">
            <v>0</v>
          </cell>
        </row>
        <row r="314">
          <cell r="A314" t="str">
            <v>DIS</v>
          </cell>
          <cell r="B314" t="str">
            <v>200210</v>
          </cell>
          <cell r="C314">
            <v>5</v>
          </cell>
          <cell r="D314">
            <v>2</v>
          </cell>
          <cell r="E314">
            <v>3</v>
          </cell>
        </row>
        <row r="315">
          <cell r="A315" t="str">
            <v>DIS</v>
          </cell>
          <cell r="B315" t="str">
            <v>200220</v>
          </cell>
          <cell r="C315">
            <v>4</v>
          </cell>
          <cell r="D315">
            <v>2</v>
          </cell>
          <cell r="E315">
            <v>2</v>
          </cell>
        </row>
        <row r="316">
          <cell r="A316" t="str">
            <v>DIS</v>
          </cell>
          <cell r="B316" t="str">
            <v>200310</v>
          </cell>
          <cell r="C316">
            <v>6</v>
          </cell>
          <cell r="D316">
            <v>3</v>
          </cell>
          <cell r="E316">
            <v>3</v>
          </cell>
        </row>
        <row r="317">
          <cell r="A317" t="str">
            <v>DIS</v>
          </cell>
          <cell r="B317" t="str">
            <v>200320</v>
          </cell>
          <cell r="C317">
            <v>5</v>
          </cell>
          <cell r="D317">
            <v>0</v>
          </cell>
          <cell r="E317">
            <v>5</v>
          </cell>
        </row>
        <row r="318">
          <cell r="A318" t="str">
            <v>DIS</v>
          </cell>
          <cell r="B318" t="str">
            <v>200410</v>
          </cell>
          <cell r="C318">
            <v>7</v>
          </cell>
          <cell r="D318">
            <v>0</v>
          </cell>
          <cell r="E318">
            <v>7</v>
          </cell>
        </row>
        <row r="319">
          <cell r="A319" t="str">
            <v>DIS</v>
          </cell>
          <cell r="B319" t="str">
            <v>200420</v>
          </cell>
          <cell r="C319">
            <v>4</v>
          </cell>
          <cell r="D319">
            <v>1</v>
          </cell>
          <cell r="E319">
            <v>3</v>
          </cell>
        </row>
        <row r="320">
          <cell r="A320" t="str">
            <v>DIS</v>
          </cell>
          <cell r="B320" t="str">
            <v>200510</v>
          </cell>
          <cell r="C320">
            <v>6</v>
          </cell>
          <cell r="D320">
            <v>5</v>
          </cell>
          <cell r="E320">
            <v>1</v>
          </cell>
        </row>
        <row r="321">
          <cell r="A321" t="str">
            <v>DIS</v>
          </cell>
          <cell r="B321" t="str">
            <v>200520</v>
          </cell>
          <cell r="C321">
            <v>5</v>
          </cell>
          <cell r="D321">
            <v>1</v>
          </cell>
          <cell r="E321">
            <v>4</v>
          </cell>
        </row>
        <row r="322">
          <cell r="A322" t="str">
            <v>DIS</v>
          </cell>
          <cell r="B322" t="str">
            <v>200610</v>
          </cell>
          <cell r="C322">
            <v>2</v>
          </cell>
          <cell r="D322">
            <v>0</v>
          </cell>
          <cell r="E322">
            <v>2</v>
          </cell>
        </row>
        <row r="323">
          <cell r="A323" t="str">
            <v>DIS</v>
          </cell>
          <cell r="B323" t="str">
            <v>200620</v>
          </cell>
          <cell r="C323">
            <v>8</v>
          </cell>
          <cell r="D323">
            <v>3</v>
          </cell>
          <cell r="E323">
            <v>5</v>
          </cell>
        </row>
        <row r="324">
          <cell r="A324" t="str">
            <v>DIS</v>
          </cell>
          <cell r="B324" t="str">
            <v>200710</v>
          </cell>
          <cell r="C324">
            <v>7</v>
          </cell>
          <cell r="D324">
            <v>1</v>
          </cell>
          <cell r="E324">
            <v>6</v>
          </cell>
        </row>
        <row r="325">
          <cell r="A325" t="str">
            <v>DIS</v>
          </cell>
          <cell r="B325" t="str">
            <v>200720</v>
          </cell>
          <cell r="C325">
            <v>5</v>
          </cell>
          <cell r="D325">
            <v>1</v>
          </cell>
          <cell r="E325">
            <v>4</v>
          </cell>
        </row>
        <row r="326">
          <cell r="A326" t="str">
            <v>DIS</v>
          </cell>
          <cell r="B326" t="str">
            <v>200810</v>
          </cell>
          <cell r="C326">
            <v>11</v>
          </cell>
          <cell r="D326">
            <v>3</v>
          </cell>
          <cell r="E326">
            <v>8</v>
          </cell>
        </row>
        <row r="327">
          <cell r="A327" t="str">
            <v>DIS</v>
          </cell>
          <cell r="B327" t="str">
            <v>200820</v>
          </cell>
          <cell r="C327">
            <v>3</v>
          </cell>
          <cell r="D327">
            <v>0</v>
          </cell>
          <cell r="E327">
            <v>3</v>
          </cell>
        </row>
        <row r="328">
          <cell r="A328" t="str">
            <v>DIS</v>
          </cell>
          <cell r="B328" t="str">
            <v>200910</v>
          </cell>
          <cell r="C328">
            <v>12</v>
          </cell>
          <cell r="D328">
            <v>3</v>
          </cell>
          <cell r="E328">
            <v>9</v>
          </cell>
        </row>
        <row r="329">
          <cell r="A329" t="str">
            <v>DIS</v>
          </cell>
          <cell r="B329" t="str">
            <v>200920</v>
          </cell>
          <cell r="C329">
            <v>7</v>
          </cell>
          <cell r="D329">
            <v>6</v>
          </cell>
          <cell r="E329">
            <v>1</v>
          </cell>
        </row>
        <row r="330">
          <cell r="A330" t="str">
            <v>DIS</v>
          </cell>
          <cell r="B330" t="str">
            <v>201010</v>
          </cell>
          <cell r="C330">
            <v>7</v>
          </cell>
          <cell r="D330">
            <v>4</v>
          </cell>
          <cell r="E330">
            <v>3</v>
          </cell>
        </row>
        <row r="331">
          <cell r="A331" t="str">
            <v>DIS</v>
          </cell>
          <cell r="B331" t="str">
            <v>201020</v>
          </cell>
          <cell r="C331">
            <v>8</v>
          </cell>
          <cell r="D331">
            <v>2</v>
          </cell>
          <cell r="E331">
            <v>6</v>
          </cell>
        </row>
        <row r="332">
          <cell r="A332" t="str">
            <v>DIS</v>
          </cell>
          <cell r="B332" t="str">
            <v>201110</v>
          </cell>
          <cell r="C332">
            <v>8</v>
          </cell>
          <cell r="D332">
            <v>3</v>
          </cell>
          <cell r="E332">
            <v>5</v>
          </cell>
        </row>
        <row r="333">
          <cell r="A333" t="str">
            <v>DIS</v>
          </cell>
          <cell r="B333" t="str">
            <v>201120</v>
          </cell>
          <cell r="C333">
            <v>8</v>
          </cell>
          <cell r="D333">
            <v>2</v>
          </cell>
          <cell r="E333">
            <v>6</v>
          </cell>
        </row>
        <row r="334">
          <cell r="A334" t="str">
            <v>DIS</v>
          </cell>
          <cell r="B334" t="str">
            <v>201210</v>
          </cell>
          <cell r="C334">
            <v>10</v>
          </cell>
          <cell r="D334">
            <v>4</v>
          </cell>
          <cell r="E334">
            <v>6</v>
          </cell>
        </row>
        <row r="335">
          <cell r="A335" t="str">
            <v>DIS</v>
          </cell>
          <cell r="B335" t="str">
            <v>201220</v>
          </cell>
          <cell r="C335">
            <v>12</v>
          </cell>
          <cell r="D335">
            <v>6</v>
          </cell>
          <cell r="E335">
            <v>6</v>
          </cell>
        </row>
        <row r="336">
          <cell r="A336" t="str">
            <v>DIS</v>
          </cell>
          <cell r="B336" t="str">
            <v>201310</v>
          </cell>
          <cell r="C336">
            <v>7</v>
          </cell>
          <cell r="D336">
            <v>3</v>
          </cell>
          <cell r="E336">
            <v>4</v>
          </cell>
        </row>
        <row r="337">
          <cell r="A337" t="str">
            <v>DIS</v>
          </cell>
          <cell r="B337" t="str">
            <v>201320</v>
          </cell>
          <cell r="C337">
            <v>16</v>
          </cell>
          <cell r="D337">
            <v>3</v>
          </cell>
          <cell r="E337">
            <v>13</v>
          </cell>
        </row>
        <row r="338">
          <cell r="A338" t="str">
            <v>DIS</v>
          </cell>
          <cell r="B338" t="str">
            <v>201410</v>
          </cell>
          <cell r="C338">
            <v>7</v>
          </cell>
          <cell r="D338">
            <v>3</v>
          </cell>
          <cell r="E338">
            <v>4</v>
          </cell>
        </row>
        <row r="339">
          <cell r="A339" t="str">
            <v>DIS</v>
          </cell>
          <cell r="B339" t="str">
            <v>201420</v>
          </cell>
          <cell r="C339">
            <v>14</v>
          </cell>
          <cell r="D339">
            <v>5</v>
          </cell>
          <cell r="E339">
            <v>9</v>
          </cell>
        </row>
        <row r="340">
          <cell r="A340" t="str">
            <v>DIS</v>
          </cell>
          <cell r="B340" t="str">
            <v>201510</v>
          </cell>
          <cell r="C340">
            <v>12</v>
          </cell>
          <cell r="D340">
            <v>3</v>
          </cell>
          <cell r="E340">
            <v>8</v>
          </cell>
        </row>
        <row r="341">
          <cell r="A341" t="str">
            <v>DIS</v>
          </cell>
          <cell r="B341" t="str">
            <v>201520</v>
          </cell>
          <cell r="C341">
            <v>14</v>
          </cell>
          <cell r="D341">
            <v>5</v>
          </cell>
          <cell r="E341">
            <v>9</v>
          </cell>
        </row>
        <row r="342">
          <cell r="A342" t="str">
            <v>DIS</v>
          </cell>
          <cell r="B342" t="str">
            <v>201610</v>
          </cell>
          <cell r="C342">
            <v>9</v>
          </cell>
          <cell r="D342">
            <v>4</v>
          </cell>
          <cell r="E342">
            <v>5</v>
          </cell>
        </row>
        <row r="343">
          <cell r="A343" t="str">
            <v>DIS</v>
          </cell>
          <cell r="B343" t="str">
            <v>201620</v>
          </cell>
          <cell r="C343">
            <v>5</v>
          </cell>
          <cell r="D343">
            <v>2</v>
          </cell>
          <cell r="E343">
            <v>3</v>
          </cell>
        </row>
        <row r="344">
          <cell r="A344" t="str">
            <v>DIS</v>
          </cell>
          <cell r="B344" t="str">
            <v>201710</v>
          </cell>
          <cell r="C344">
            <v>11</v>
          </cell>
          <cell r="D344">
            <v>4</v>
          </cell>
          <cell r="E344">
            <v>6</v>
          </cell>
        </row>
        <row r="345">
          <cell r="A345" t="str">
            <v>DIS</v>
          </cell>
          <cell r="B345" t="str">
            <v>201720</v>
          </cell>
          <cell r="C345">
            <v>8</v>
          </cell>
          <cell r="D345">
            <v>0</v>
          </cell>
          <cell r="E345">
            <v>6</v>
          </cell>
        </row>
        <row r="346">
          <cell r="A346" t="str">
            <v>DIS</v>
          </cell>
          <cell r="B346" t="str">
            <v>201810</v>
          </cell>
          <cell r="C346">
            <v>10</v>
          </cell>
          <cell r="D346">
            <v>2</v>
          </cell>
          <cell r="E346">
            <v>8</v>
          </cell>
        </row>
        <row r="347">
          <cell r="A347" t="str">
            <v>DIS</v>
          </cell>
          <cell r="B347" t="str">
            <v>201820</v>
          </cell>
          <cell r="C347">
            <v>4</v>
          </cell>
          <cell r="D347">
            <v>0</v>
          </cell>
          <cell r="E347">
            <v>1</v>
          </cell>
        </row>
        <row r="348">
          <cell r="A348" t="str">
            <v>DIS</v>
          </cell>
          <cell r="B348" t="str">
            <v>201910</v>
          </cell>
          <cell r="C348">
            <v>5</v>
          </cell>
          <cell r="D348">
            <v>1</v>
          </cell>
          <cell r="E348">
            <v>0</v>
          </cell>
        </row>
        <row r="349">
          <cell r="A349" t="str">
            <v>DIS</v>
          </cell>
          <cell r="B349" t="str">
            <v>201920</v>
          </cell>
          <cell r="C349">
            <v>4</v>
          </cell>
          <cell r="D349">
            <v>0</v>
          </cell>
          <cell r="E349">
            <v>0</v>
          </cell>
        </row>
        <row r="350">
          <cell r="A350" t="str">
            <v>DIS</v>
          </cell>
          <cell r="B350" t="str">
            <v>202010</v>
          </cell>
          <cell r="C350">
            <v>8</v>
          </cell>
          <cell r="D350">
            <v>1</v>
          </cell>
          <cell r="E350">
            <v>0</v>
          </cell>
        </row>
        <row r="351">
          <cell r="A351" t="str">
            <v>DIS</v>
          </cell>
          <cell r="B351" t="str">
            <v>202020</v>
          </cell>
          <cell r="C351">
            <v>1</v>
          </cell>
          <cell r="D351">
            <v>1</v>
          </cell>
          <cell r="E351">
            <v>0</v>
          </cell>
        </row>
        <row r="352">
          <cell r="A352" t="str">
            <v>DIS</v>
          </cell>
          <cell r="B352" t="str">
            <v>202110</v>
          </cell>
          <cell r="C352">
            <v>4</v>
          </cell>
          <cell r="D352">
            <v>1</v>
          </cell>
          <cell r="E352">
            <v>0</v>
          </cell>
        </row>
        <row r="353">
          <cell r="A353" t="str">
            <v>DIS</v>
          </cell>
          <cell r="B353" t="str">
            <v>202120</v>
          </cell>
          <cell r="C353">
            <v>2</v>
          </cell>
          <cell r="D353">
            <v>0</v>
          </cell>
          <cell r="E353">
            <v>0</v>
          </cell>
        </row>
        <row r="354">
          <cell r="A354" t="str">
            <v>DIS</v>
          </cell>
          <cell r="B354" t="str">
            <v>202210</v>
          </cell>
          <cell r="C354">
            <v>5</v>
          </cell>
          <cell r="D354">
            <v>1</v>
          </cell>
          <cell r="E354">
            <v>0</v>
          </cell>
        </row>
        <row r="355">
          <cell r="A355" t="str">
            <v>DIS</v>
          </cell>
          <cell r="B355" t="str">
            <v>202220</v>
          </cell>
          <cell r="C355">
            <v>3</v>
          </cell>
          <cell r="D355">
            <v>0</v>
          </cell>
          <cell r="E355">
            <v>0</v>
          </cell>
        </row>
        <row r="356">
          <cell r="A356" t="str">
            <v>DIS</v>
          </cell>
          <cell r="B356" t="str">
            <v>202310</v>
          </cell>
          <cell r="C356">
            <v>9</v>
          </cell>
          <cell r="D356">
            <v>2</v>
          </cell>
          <cell r="E356">
            <v>0</v>
          </cell>
        </row>
        <row r="357">
          <cell r="A357" t="str">
            <v>DMI</v>
          </cell>
          <cell r="B357" t="str">
            <v>200520</v>
          </cell>
          <cell r="C357">
            <v>4</v>
          </cell>
          <cell r="D357">
            <v>1</v>
          </cell>
          <cell r="E357">
            <v>3</v>
          </cell>
        </row>
        <row r="358">
          <cell r="A358" t="str">
            <v>DMI</v>
          </cell>
          <cell r="B358" t="str">
            <v>200610</v>
          </cell>
          <cell r="C358">
            <v>9</v>
          </cell>
          <cell r="D358">
            <v>6</v>
          </cell>
          <cell r="E358">
            <v>3</v>
          </cell>
        </row>
        <row r="359">
          <cell r="A359" t="str">
            <v>DMI</v>
          </cell>
          <cell r="B359" t="str">
            <v>200620</v>
          </cell>
          <cell r="C359">
            <v>13</v>
          </cell>
          <cell r="D359">
            <v>4</v>
          </cell>
          <cell r="E359">
            <v>9</v>
          </cell>
        </row>
        <row r="360">
          <cell r="A360" t="str">
            <v>DMI</v>
          </cell>
          <cell r="B360" t="str">
            <v>200710</v>
          </cell>
          <cell r="C360">
            <v>8</v>
          </cell>
          <cell r="D360">
            <v>4</v>
          </cell>
          <cell r="E360">
            <v>4</v>
          </cell>
        </row>
        <row r="361">
          <cell r="A361" t="str">
            <v>DMI</v>
          </cell>
          <cell r="B361" t="str">
            <v>200720</v>
          </cell>
          <cell r="C361">
            <v>11</v>
          </cell>
          <cell r="D361">
            <v>4</v>
          </cell>
          <cell r="E361">
            <v>7</v>
          </cell>
        </row>
        <row r="362">
          <cell r="A362" t="str">
            <v>DMI</v>
          </cell>
          <cell r="B362" t="str">
            <v>200810</v>
          </cell>
          <cell r="C362">
            <v>8</v>
          </cell>
          <cell r="D362">
            <v>4</v>
          </cell>
          <cell r="E362">
            <v>4</v>
          </cell>
        </row>
        <row r="363">
          <cell r="A363" t="str">
            <v>DMI</v>
          </cell>
          <cell r="B363" t="str">
            <v>200820</v>
          </cell>
          <cell r="C363">
            <v>17</v>
          </cell>
          <cell r="D363">
            <v>9</v>
          </cell>
          <cell r="E363">
            <v>8</v>
          </cell>
        </row>
        <row r="364">
          <cell r="A364" t="str">
            <v>DMI</v>
          </cell>
          <cell r="B364" t="str">
            <v>200910</v>
          </cell>
          <cell r="C364">
            <v>10</v>
          </cell>
          <cell r="D364">
            <v>4</v>
          </cell>
          <cell r="E364">
            <v>6</v>
          </cell>
        </row>
        <row r="365">
          <cell r="A365" t="str">
            <v>DMI</v>
          </cell>
          <cell r="B365" t="str">
            <v>200920</v>
          </cell>
          <cell r="C365">
            <v>11</v>
          </cell>
          <cell r="D365">
            <v>3</v>
          </cell>
          <cell r="E365">
            <v>8</v>
          </cell>
        </row>
        <row r="366">
          <cell r="A366" t="str">
            <v>DMI</v>
          </cell>
          <cell r="B366" t="str">
            <v>201010</v>
          </cell>
          <cell r="C366">
            <v>10</v>
          </cell>
          <cell r="D366">
            <v>6</v>
          </cell>
          <cell r="E366">
            <v>4</v>
          </cell>
        </row>
        <row r="367">
          <cell r="A367" t="str">
            <v>DMI</v>
          </cell>
          <cell r="B367" t="str">
            <v>201020</v>
          </cell>
          <cell r="C367">
            <v>23</v>
          </cell>
          <cell r="D367">
            <v>12</v>
          </cell>
          <cell r="E367">
            <v>11</v>
          </cell>
        </row>
        <row r="368">
          <cell r="A368" t="str">
            <v>DMI</v>
          </cell>
          <cell r="B368" t="str">
            <v>201110</v>
          </cell>
          <cell r="C368">
            <v>10</v>
          </cell>
          <cell r="D368">
            <v>6</v>
          </cell>
          <cell r="E368">
            <v>4</v>
          </cell>
        </row>
        <row r="369">
          <cell r="A369" t="str">
            <v>DMI</v>
          </cell>
          <cell r="B369" t="str">
            <v>201120</v>
          </cell>
          <cell r="C369">
            <v>14</v>
          </cell>
          <cell r="D369">
            <v>8</v>
          </cell>
          <cell r="E369">
            <v>6</v>
          </cell>
        </row>
        <row r="370">
          <cell r="A370" t="str">
            <v>DMI</v>
          </cell>
          <cell r="B370" t="str">
            <v>201210</v>
          </cell>
          <cell r="C370">
            <v>16</v>
          </cell>
          <cell r="D370">
            <v>9</v>
          </cell>
          <cell r="E370">
            <v>7</v>
          </cell>
        </row>
        <row r="371">
          <cell r="A371" t="str">
            <v>DMI</v>
          </cell>
          <cell r="B371" t="str">
            <v>201220</v>
          </cell>
          <cell r="C371">
            <v>17</v>
          </cell>
          <cell r="D371">
            <v>5</v>
          </cell>
          <cell r="E371">
            <v>11</v>
          </cell>
        </row>
        <row r="372">
          <cell r="A372" t="str">
            <v>DMI</v>
          </cell>
          <cell r="B372" t="str">
            <v>201310</v>
          </cell>
          <cell r="C372">
            <v>12</v>
          </cell>
          <cell r="D372">
            <v>4</v>
          </cell>
          <cell r="E372">
            <v>8</v>
          </cell>
        </row>
        <row r="373">
          <cell r="A373" t="str">
            <v>DMI</v>
          </cell>
          <cell r="B373" t="str">
            <v>201320</v>
          </cell>
          <cell r="C373">
            <v>19</v>
          </cell>
          <cell r="D373">
            <v>5</v>
          </cell>
          <cell r="E373">
            <v>14</v>
          </cell>
        </row>
        <row r="374">
          <cell r="A374" t="str">
            <v>DMI</v>
          </cell>
          <cell r="B374" t="str">
            <v>201410</v>
          </cell>
          <cell r="C374">
            <v>11</v>
          </cell>
          <cell r="D374">
            <v>4</v>
          </cell>
          <cell r="E374">
            <v>7</v>
          </cell>
        </row>
        <row r="375">
          <cell r="A375" t="str">
            <v>DMI</v>
          </cell>
          <cell r="B375" t="str">
            <v>201420</v>
          </cell>
          <cell r="C375">
            <v>19</v>
          </cell>
          <cell r="D375">
            <v>6</v>
          </cell>
          <cell r="E375">
            <v>13</v>
          </cell>
        </row>
        <row r="376">
          <cell r="A376" t="str">
            <v>DMI</v>
          </cell>
          <cell r="B376" t="str">
            <v>201510</v>
          </cell>
          <cell r="C376">
            <v>25</v>
          </cell>
          <cell r="D376">
            <v>6</v>
          </cell>
          <cell r="E376">
            <v>19</v>
          </cell>
        </row>
        <row r="377">
          <cell r="A377" t="str">
            <v>DMI</v>
          </cell>
          <cell r="B377" t="str">
            <v>201520</v>
          </cell>
          <cell r="C377">
            <v>18</v>
          </cell>
          <cell r="D377">
            <v>7</v>
          </cell>
          <cell r="E377">
            <v>11</v>
          </cell>
        </row>
        <row r="378">
          <cell r="A378" t="str">
            <v>DMI</v>
          </cell>
          <cell r="B378" t="str">
            <v>201610</v>
          </cell>
          <cell r="C378">
            <v>28</v>
          </cell>
          <cell r="D378">
            <v>13</v>
          </cell>
          <cell r="E378">
            <v>14</v>
          </cell>
        </row>
        <row r="379">
          <cell r="A379" t="str">
            <v>DMI</v>
          </cell>
          <cell r="B379" t="str">
            <v>201620</v>
          </cell>
          <cell r="C379">
            <v>14</v>
          </cell>
          <cell r="D379">
            <v>4</v>
          </cell>
          <cell r="E379">
            <v>10</v>
          </cell>
        </row>
        <row r="380">
          <cell r="A380" t="str">
            <v>DMI</v>
          </cell>
          <cell r="B380" t="str">
            <v>201710</v>
          </cell>
          <cell r="C380">
            <v>19</v>
          </cell>
          <cell r="D380">
            <v>7</v>
          </cell>
          <cell r="E380">
            <v>11</v>
          </cell>
        </row>
        <row r="381">
          <cell r="A381" t="str">
            <v>DMI</v>
          </cell>
          <cell r="B381" t="str">
            <v>201720</v>
          </cell>
          <cell r="C381">
            <v>12</v>
          </cell>
          <cell r="D381">
            <v>0</v>
          </cell>
          <cell r="E381">
            <v>9</v>
          </cell>
        </row>
        <row r="382">
          <cell r="A382" t="str">
            <v>DMI</v>
          </cell>
          <cell r="B382" t="str">
            <v>201810</v>
          </cell>
          <cell r="C382">
            <v>21</v>
          </cell>
          <cell r="D382">
            <v>6</v>
          </cell>
          <cell r="E382">
            <v>8</v>
          </cell>
        </row>
        <row r="383">
          <cell r="A383" t="str">
            <v>DMI</v>
          </cell>
          <cell r="B383" t="str">
            <v>201820</v>
          </cell>
          <cell r="C383">
            <v>17</v>
          </cell>
          <cell r="D383">
            <v>6</v>
          </cell>
          <cell r="E383">
            <v>7</v>
          </cell>
        </row>
        <row r="384">
          <cell r="A384" t="str">
            <v>DMI</v>
          </cell>
          <cell r="B384" t="str">
            <v>201910</v>
          </cell>
          <cell r="C384">
            <v>14</v>
          </cell>
          <cell r="D384">
            <v>5</v>
          </cell>
          <cell r="E384">
            <v>0</v>
          </cell>
        </row>
        <row r="385">
          <cell r="A385" t="str">
            <v>DMI</v>
          </cell>
          <cell r="B385" t="str">
            <v>201920</v>
          </cell>
          <cell r="C385">
            <v>13</v>
          </cell>
          <cell r="D385">
            <v>3</v>
          </cell>
          <cell r="E385">
            <v>0</v>
          </cell>
        </row>
        <row r="386">
          <cell r="A386" t="str">
            <v>DMI</v>
          </cell>
          <cell r="B386" t="str">
            <v>202010</v>
          </cell>
          <cell r="C386">
            <v>22</v>
          </cell>
          <cell r="D386">
            <v>7</v>
          </cell>
          <cell r="E386">
            <v>0</v>
          </cell>
        </row>
        <row r="387">
          <cell r="A387" t="str">
            <v>DMI</v>
          </cell>
          <cell r="B387" t="str">
            <v>202020</v>
          </cell>
          <cell r="C387">
            <v>16</v>
          </cell>
          <cell r="D387">
            <v>4</v>
          </cell>
          <cell r="E387">
            <v>0</v>
          </cell>
        </row>
        <row r="388">
          <cell r="A388" t="str">
            <v>DMI</v>
          </cell>
          <cell r="B388" t="str">
            <v>202110</v>
          </cell>
          <cell r="C388">
            <v>20</v>
          </cell>
          <cell r="D388">
            <v>4</v>
          </cell>
          <cell r="E388">
            <v>0</v>
          </cell>
        </row>
        <row r="389">
          <cell r="A389" t="str">
            <v>DMI</v>
          </cell>
          <cell r="B389" t="str">
            <v>202120</v>
          </cell>
          <cell r="C389">
            <v>11</v>
          </cell>
          <cell r="D389">
            <v>1</v>
          </cell>
          <cell r="E389">
            <v>0</v>
          </cell>
        </row>
        <row r="390">
          <cell r="A390" t="str">
            <v>DMI</v>
          </cell>
          <cell r="B390" t="str">
            <v>202210</v>
          </cell>
          <cell r="C390">
            <v>25</v>
          </cell>
          <cell r="D390">
            <v>2</v>
          </cell>
          <cell r="E390">
            <v>0</v>
          </cell>
        </row>
        <row r="391">
          <cell r="A391" t="str">
            <v>DMI</v>
          </cell>
          <cell r="B391" t="str">
            <v>202220</v>
          </cell>
          <cell r="C391">
            <v>21</v>
          </cell>
          <cell r="D391">
            <v>5</v>
          </cell>
          <cell r="E391">
            <v>0</v>
          </cell>
        </row>
        <row r="392">
          <cell r="A392" t="str">
            <v>DMI</v>
          </cell>
          <cell r="B392" t="str">
            <v>202310</v>
          </cell>
          <cell r="C392">
            <v>13</v>
          </cell>
          <cell r="D392">
            <v>0</v>
          </cell>
          <cell r="E392">
            <v>0</v>
          </cell>
        </row>
        <row r="393">
          <cell r="A393" t="str">
            <v>ECO</v>
          </cell>
          <cell r="B393" t="str">
            <v>200620</v>
          </cell>
          <cell r="C393">
            <v>3</v>
          </cell>
          <cell r="D393">
            <v>1</v>
          </cell>
          <cell r="E393">
            <v>2</v>
          </cell>
        </row>
        <row r="394">
          <cell r="A394" t="str">
            <v>ECO</v>
          </cell>
          <cell r="B394" t="str">
            <v>200710</v>
          </cell>
          <cell r="C394">
            <v>1</v>
          </cell>
          <cell r="D394">
            <v>1</v>
          </cell>
          <cell r="E394">
            <v>0</v>
          </cell>
        </row>
        <row r="395">
          <cell r="A395" t="str">
            <v>ECO</v>
          </cell>
          <cell r="B395" t="str">
            <v>200720</v>
          </cell>
          <cell r="C395">
            <v>6</v>
          </cell>
          <cell r="D395">
            <v>2</v>
          </cell>
          <cell r="E395">
            <v>4</v>
          </cell>
        </row>
        <row r="396">
          <cell r="A396" t="str">
            <v>ECO</v>
          </cell>
          <cell r="B396" t="str">
            <v>200810</v>
          </cell>
          <cell r="C396">
            <v>6</v>
          </cell>
          <cell r="D396">
            <v>1</v>
          </cell>
          <cell r="E396">
            <v>5</v>
          </cell>
        </row>
        <row r="397">
          <cell r="A397" t="str">
            <v>ECO</v>
          </cell>
          <cell r="B397" t="str">
            <v>200820</v>
          </cell>
          <cell r="C397">
            <v>11</v>
          </cell>
          <cell r="D397">
            <v>8</v>
          </cell>
          <cell r="E397">
            <v>3</v>
          </cell>
        </row>
        <row r="398">
          <cell r="A398" t="str">
            <v>ECO</v>
          </cell>
          <cell r="B398" t="str">
            <v>200910</v>
          </cell>
          <cell r="C398">
            <v>3</v>
          </cell>
          <cell r="D398">
            <v>3</v>
          </cell>
          <cell r="E398">
            <v>0</v>
          </cell>
        </row>
        <row r="399">
          <cell r="A399" t="str">
            <v>ECO</v>
          </cell>
          <cell r="B399" t="str">
            <v>200920</v>
          </cell>
          <cell r="C399">
            <v>3</v>
          </cell>
          <cell r="D399">
            <v>2</v>
          </cell>
          <cell r="E399">
            <v>1</v>
          </cell>
        </row>
        <row r="400">
          <cell r="A400" t="str">
            <v>ECO</v>
          </cell>
          <cell r="B400" t="str">
            <v>201010</v>
          </cell>
          <cell r="C400">
            <v>2</v>
          </cell>
          <cell r="D400">
            <v>1</v>
          </cell>
          <cell r="E400">
            <v>1</v>
          </cell>
        </row>
        <row r="401">
          <cell r="A401" t="str">
            <v>ECO</v>
          </cell>
          <cell r="B401" t="str">
            <v>201020</v>
          </cell>
          <cell r="C401">
            <v>5</v>
          </cell>
          <cell r="D401">
            <v>1</v>
          </cell>
          <cell r="E401">
            <v>3</v>
          </cell>
        </row>
        <row r="402">
          <cell r="A402" t="str">
            <v>ECO</v>
          </cell>
          <cell r="B402" t="str">
            <v>201110</v>
          </cell>
          <cell r="C402">
            <v>1</v>
          </cell>
          <cell r="D402">
            <v>1</v>
          </cell>
          <cell r="E402">
            <v>0</v>
          </cell>
        </row>
        <row r="403">
          <cell r="A403" t="str">
            <v>ECO</v>
          </cell>
          <cell r="B403" t="str">
            <v>201120</v>
          </cell>
          <cell r="C403">
            <v>4</v>
          </cell>
          <cell r="D403">
            <v>1</v>
          </cell>
          <cell r="E403">
            <v>3</v>
          </cell>
        </row>
        <row r="404">
          <cell r="A404" t="str">
            <v>ECO</v>
          </cell>
          <cell r="B404" t="str">
            <v>201210</v>
          </cell>
          <cell r="C404">
            <v>2</v>
          </cell>
          <cell r="D404">
            <v>2</v>
          </cell>
          <cell r="E404">
            <v>0</v>
          </cell>
        </row>
        <row r="405">
          <cell r="A405" t="str">
            <v>ECO</v>
          </cell>
          <cell r="B405" t="str">
            <v>201220</v>
          </cell>
          <cell r="C405">
            <v>1</v>
          </cell>
          <cell r="D405">
            <v>0</v>
          </cell>
          <cell r="E405">
            <v>1</v>
          </cell>
        </row>
        <row r="406">
          <cell r="A406" t="str">
            <v>ECO</v>
          </cell>
          <cell r="B406" t="str">
            <v>201320</v>
          </cell>
          <cell r="C406">
            <v>4</v>
          </cell>
          <cell r="D406">
            <v>1</v>
          </cell>
          <cell r="E406">
            <v>3</v>
          </cell>
        </row>
        <row r="407">
          <cell r="A407" t="str">
            <v>ECO</v>
          </cell>
          <cell r="B407" t="str">
            <v>201410</v>
          </cell>
          <cell r="C407">
            <v>3</v>
          </cell>
          <cell r="D407">
            <v>2</v>
          </cell>
          <cell r="E407">
            <v>1</v>
          </cell>
        </row>
        <row r="408">
          <cell r="A408" t="str">
            <v>ECO</v>
          </cell>
          <cell r="B408" t="str">
            <v>201420</v>
          </cell>
          <cell r="C408">
            <v>6</v>
          </cell>
          <cell r="D408">
            <v>2</v>
          </cell>
          <cell r="E408">
            <v>4</v>
          </cell>
        </row>
        <row r="409">
          <cell r="A409" t="str">
            <v>ECO</v>
          </cell>
          <cell r="B409" t="str">
            <v>201510</v>
          </cell>
          <cell r="C409">
            <v>9</v>
          </cell>
          <cell r="D409">
            <v>5</v>
          </cell>
          <cell r="E409">
            <v>4</v>
          </cell>
        </row>
        <row r="410">
          <cell r="A410" t="str">
            <v>ECO</v>
          </cell>
          <cell r="B410" t="str">
            <v>201520</v>
          </cell>
          <cell r="C410">
            <v>4</v>
          </cell>
          <cell r="D410">
            <v>0</v>
          </cell>
          <cell r="E410">
            <v>4</v>
          </cell>
        </row>
        <row r="411">
          <cell r="A411" t="str">
            <v>ECO</v>
          </cell>
          <cell r="B411" t="str">
            <v>201610</v>
          </cell>
          <cell r="C411">
            <v>10</v>
          </cell>
          <cell r="D411">
            <v>5</v>
          </cell>
          <cell r="E411">
            <v>4</v>
          </cell>
        </row>
        <row r="412">
          <cell r="A412" t="str">
            <v>ECO</v>
          </cell>
          <cell r="B412" t="str">
            <v>201620</v>
          </cell>
          <cell r="C412">
            <v>6</v>
          </cell>
          <cell r="D412">
            <v>1</v>
          </cell>
          <cell r="E412">
            <v>4</v>
          </cell>
        </row>
        <row r="413">
          <cell r="A413" t="str">
            <v>ECO</v>
          </cell>
          <cell r="B413" t="str">
            <v>201710</v>
          </cell>
          <cell r="C413">
            <v>6</v>
          </cell>
          <cell r="D413">
            <v>1</v>
          </cell>
          <cell r="E413">
            <v>5</v>
          </cell>
        </row>
        <row r="414">
          <cell r="A414" t="str">
            <v>ECO</v>
          </cell>
          <cell r="B414" t="str">
            <v>201720</v>
          </cell>
          <cell r="C414">
            <v>5</v>
          </cell>
          <cell r="D414">
            <v>1</v>
          </cell>
          <cell r="E414">
            <v>4</v>
          </cell>
        </row>
        <row r="415">
          <cell r="A415" t="str">
            <v>ECO</v>
          </cell>
          <cell r="B415" t="str">
            <v>201810</v>
          </cell>
          <cell r="C415">
            <v>4</v>
          </cell>
          <cell r="D415">
            <v>3</v>
          </cell>
          <cell r="E415">
            <v>1</v>
          </cell>
        </row>
        <row r="416">
          <cell r="A416" t="str">
            <v>ECO</v>
          </cell>
          <cell r="B416" t="str">
            <v>201820</v>
          </cell>
          <cell r="C416">
            <v>3</v>
          </cell>
          <cell r="D416">
            <v>1</v>
          </cell>
          <cell r="E416">
            <v>2</v>
          </cell>
        </row>
        <row r="417">
          <cell r="A417" t="str">
            <v>ECO</v>
          </cell>
          <cell r="B417" t="str">
            <v>201910</v>
          </cell>
          <cell r="C417">
            <v>4</v>
          </cell>
          <cell r="D417">
            <v>1</v>
          </cell>
          <cell r="E417">
            <v>1</v>
          </cell>
        </row>
        <row r="418">
          <cell r="A418" t="str">
            <v>ECO</v>
          </cell>
          <cell r="B418" t="str">
            <v>201920</v>
          </cell>
          <cell r="C418">
            <v>2</v>
          </cell>
          <cell r="D418">
            <v>0</v>
          </cell>
          <cell r="E418">
            <v>0</v>
          </cell>
        </row>
        <row r="419">
          <cell r="A419" t="str">
            <v>ECO</v>
          </cell>
          <cell r="B419" t="str">
            <v>202010</v>
          </cell>
          <cell r="C419">
            <v>4</v>
          </cell>
          <cell r="D419">
            <v>2</v>
          </cell>
          <cell r="E419">
            <v>0</v>
          </cell>
        </row>
        <row r="420">
          <cell r="A420" t="str">
            <v>ECO</v>
          </cell>
          <cell r="B420" t="str">
            <v>202020</v>
          </cell>
          <cell r="C420">
            <v>2</v>
          </cell>
          <cell r="D420">
            <v>0</v>
          </cell>
          <cell r="E420">
            <v>0</v>
          </cell>
        </row>
        <row r="421">
          <cell r="A421" t="str">
            <v>ECO</v>
          </cell>
          <cell r="B421" t="str">
            <v>202110</v>
          </cell>
          <cell r="C421">
            <v>3</v>
          </cell>
          <cell r="D421">
            <v>0</v>
          </cell>
          <cell r="E421">
            <v>0</v>
          </cell>
        </row>
        <row r="422">
          <cell r="A422" t="str">
            <v>ECO</v>
          </cell>
          <cell r="B422" t="str">
            <v>202120</v>
          </cell>
          <cell r="C422">
            <v>1</v>
          </cell>
          <cell r="D422">
            <v>1</v>
          </cell>
          <cell r="E422">
            <v>0</v>
          </cell>
        </row>
        <row r="423">
          <cell r="A423" t="str">
            <v>ECO</v>
          </cell>
          <cell r="B423" t="str">
            <v>202210</v>
          </cell>
          <cell r="C423">
            <v>2</v>
          </cell>
          <cell r="D423">
            <v>0</v>
          </cell>
          <cell r="E423">
            <v>0</v>
          </cell>
        </row>
        <row r="424">
          <cell r="A424" t="str">
            <v>ECO</v>
          </cell>
          <cell r="B424" t="str">
            <v>202220</v>
          </cell>
          <cell r="C424">
            <v>3</v>
          </cell>
          <cell r="D424">
            <v>0</v>
          </cell>
          <cell r="E424">
            <v>0</v>
          </cell>
        </row>
        <row r="425">
          <cell r="A425" t="str">
            <v>ECO</v>
          </cell>
          <cell r="B425" t="str">
            <v>202310</v>
          </cell>
          <cell r="C425">
            <v>1</v>
          </cell>
          <cell r="D425">
            <v>0</v>
          </cell>
          <cell r="E425">
            <v>0</v>
          </cell>
        </row>
        <row r="426">
          <cell r="A426" t="str">
            <v>ENI</v>
          </cell>
          <cell r="B426" t="str">
            <v>199820</v>
          </cell>
          <cell r="C426">
            <v>16</v>
          </cell>
          <cell r="D426">
            <v>7</v>
          </cell>
          <cell r="E426">
            <v>9</v>
          </cell>
        </row>
        <row r="427">
          <cell r="A427" t="str">
            <v>ENI</v>
          </cell>
          <cell r="B427" t="str">
            <v>199910</v>
          </cell>
          <cell r="C427">
            <v>10</v>
          </cell>
          <cell r="D427">
            <v>3</v>
          </cell>
          <cell r="E427">
            <v>7</v>
          </cell>
        </row>
        <row r="428">
          <cell r="A428" t="str">
            <v>ENI</v>
          </cell>
          <cell r="B428" t="str">
            <v>199920</v>
          </cell>
          <cell r="C428">
            <v>25</v>
          </cell>
          <cell r="D428">
            <v>11</v>
          </cell>
          <cell r="E428">
            <v>14</v>
          </cell>
        </row>
        <row r="429">
          <cell r="A429" t="str">
            <v>ENI</v>
          </cell>
          <cell r="B429" t="str">
            <v>200010</v>
          </cell>
          <cell r="C429">
            <v>8</v>
          </cell>
          <cell r="D429">
            <v>5</v>
          </cell>
          <cell r="E429">
            <v>3</v>
          </cell>
        </row>
        <row r="430">
          <cell r="A430" t="str">
            <v>ENI</v>
          </cell>
          <cell r="B430" t="str">
            <v>200020</v>
          </cell>
          <cell r="C430">
            <v>41</v>
          </cell>
          <cell r="D430">
            <v>25</v>
          </cell>
          <cell r="E430">
            <v>16</v>
          </cell>
        </row>
        <row r="431">
          <cell r="A431" t="str">
            <v>ENI</v>
          </cell>
          <cell r="B431" t="str">
            <v>200110</v>
          </cell>
          <cell r="C431">
            <v>8</v>
          </cell>
          <cell r="D431">
            <v>0</v>
          </cell>
          <cell r="E431">
            <v>8</v>
          </cell>
        </row>
        <row r="432">
          <cell r="A432" t="str">
            <v>ENI</v>
          </cell>
          <cell r="B432" t="str">
            <v>200120</v>
          </cell>
          <cell r="C432">
            <v>22</v>
          </cell>
          <cell r="D432">
            <v>9</v>
          </cell>
          <cell r="E432">
            <v>13</v>
          </cell>
        </row>
        <row r="433">
          <cell r="A433" t="str">
            <v>ENI</v>
          </cell>
          <cell r="B433" t="str">
            <v>200210</v>
          </cell>
          <cell r="C433">
            <v>14</v>
          </cell>
          <cell r="D433">
            <v>8</v>
          </cell>
          <cell r="E433">
            <v>6</v>
          </cell>
        </row>
        <row r="434">
          <cell r="A434" t="str">
            <v>ENI</v>
          </cell>
          <cell r="B434" t="str">
            <v>200220</v>
          </cell>
          <cell r="C434">
            <v>16</v>
          </cell>
          <cell r="D434">
            <v>10</v>
          </cell>
          <cell r="E434">
            <v>6</v>
          </cell>
        </row>
        <row r="435">
          <cell r="A435" t="str">
            <v>ENI</v>
          </cell>
          <cell r="B435" t="str">
            <v>200310</v>
          </cell>
          <cell r="C435">
            <v>15</v>
          </cell>
          <cell r="D435">
            <v>7</v>
          </cell>
          <cell r="E435">
            <v>8</v>
          </cell>
        </row>
        <row r="436">
          <cell r="A436" t="str">
            <v>ENI</v>
          </cell>
          <cell r="B436" t="str">
            <v>200320</v>
          </cell>
          <cell r="C436">
            <v>36</v>
          </cell>
          <cell r="D436">
            <v>22</v>
          </cell>
          <cell r="E436">
            <v>14</v>
          </cell>
        </row>
        <row r="437">
          <cell r="A437" t="str">
            <v>ENI</v>
          </cell>
          <cell r="B437" t="str">
            <v>200410</v>
          </cell>
          <cell r="C437">
            <v>19</v>
          </cell>
          <cell r="D437">
            <v>10</v>
          </cell>
          <cell r="E437">
            <v>9</v>
          </cell>
        </row>
        <row r="438">
          <cell r="A438" t="str">
            <v>ENI</v>
          </cell>
          <cell r="B438" t="str">
            <v>200420</v>
          </cell>
          <cell r="C438">
            <v>39</v>
          </cell>
          <cell r="D438">
            <v>18</v>
          </cell>
          <cell r="E438">
            <v>21</v>
          </cell>
        </row>
        <row r="439">
          <cell r="A439" t="str">
            <v>ENI</v>
          </cell>
          <cell r="B439" t="str">
            <v>200510</v>
          </cell>
          <cell r="C439">
            <v>11</v>
          </cell>
          <cell r="D439">
            <v>4</v>
          </cell>
          <cell r="E439">
            <v>7</v>
          </cell>
        </row>
        <row r="440">
          <cell r="A440" t="str">
            <v>ENI</v>
          </cell>
          <cell r="B440" t="str">
            <v>200520</v>
          </cell>
          <cell r="C440">
            <v>41</v>
          </cell>
          <cell r="D440">
            <v>17</v>
          </cell>
          <cell r="E440">
            <v>24</v>
          </cell>
        </row>
        <row r="441">
          <cell r="A441" t="str">
            <v>ENI</v>
          </cell>
          <cell r="B441" t="str">
            <v>200610</v>
          </cell>
          <cell r="C441">
            <v>16</v>
          </cell>
          <cell r="D441">
            <v>9</v>
          </cell>
          <cell r="E441">
            <v>7</v>
          </cell>
        </row>
        <row r="442">
          <cell r="A442" t="str">
            <v>ENI</v>
          </cell>
          <cell r="B442" t="str">
            <v>200620</v>
          </cell>
          <cell r="C442">
            <v>49</v>
          </cell>
          <cell r="D442">
            <v>24</v>
          </cell>
          <cell r="E442">
            <v>25</v>
          </cell>
        </row>
        <row r="443">
          <cell r="A443" t="str">
            <v>ENI</v>
          </cell>
          <cell r="B443" t="str">
            <v>200710</v>
          </cell>
          <cell r="C443">
            <v>16</v>
          </cell>
          <cell r="D443">
            <v>12</v>
          </cell>
          <cell r="E443">
            <v>4</v>
          </cell>
        </row>
        <row r="444">
          <cell r="A444" t="str">
            <v>ENI</v>
          </cell>
          <cell r="B444" t="str">
            <v>200720</v>
          </cell>
          <cell r="C444">
            <v>74</v>
          </cell>
          <cell r="D444">
            <v>44</v>
          </cell>
          <cell r="E444">
            <v>30</v>
          </cell>
        </row>
        <row r="445">
          <cell r="A445" t="str">
            <v>ENI</v>
          </cell>
          <cell r="B445" t="str">
            <v>200810</v>
          </cell>
          <cell r="C445">
            <v>32</v>
          </cell>
          <cell r="D445">
            <v>18</v>
          </cell>
          <cell r="E445">
            <v>14</v>
          </cell>
        </row>
        <row r="446">
          <cell r="A446" t="str">
            <v>ENI</v>
          </cell>
          <cell r="B446" t="str">
            <v>200820</v>
          </cell>
          <cell r="C446">
            <v>54</v>
          </cell>
          <cell r="D446">
            <v>26</v>
          </cell>
          <cell r="E446">
            <v>28</v>
          </cell>
        </row>
        <row r="447">
          <cell r="A447" t="str">
            <v>ENI</v>
          </cell>
          <cell r="B447" t="str">
            <v>200910</v>
          </cell>
          <cell r="C447">
            <v>20</v>
          </cell>
          <cell r="D447">
            <v>14</v>
          </cell>
          <cell r="E447">
            <v>6</v>
          </cell>
        </row>
        <row r="448">
          <cell r="A448" t="str">
            <v>ENI</v>
          </cell>
          <cell r="B448" t="str">
            <v>200920</v>
          </cell>
          <cell r="C448">
            <v>53</v>
          </cell>
          <cell r="D448">
            <v>19</v>
          </cell>
          <cell r="E448">
            <v>34</v>
          </cell>
        </row>
        <row r="449">
          <cell r="A449" t="str">
            <v>ENI</v>
          </cell>
          <cell r="B449" t="str">
            <v>201010</v>
          </cell>
          <cell r="C449">
            <v>10</v>
          </cell>
          <cell r="D449">
            <v>4</v>
          </cell>
          <cell r="E449">
            <v>6</v>
          </cell>
        </row>
        <row r="450">
          <cell r="A450" t="str">
            <v>ENI</v>
          </cell>
          <cell r="B450" t="str">
            <v>201020</v>
          </cell>
          <cell r="C450">
            <v>31</v>
          </cell>
          <cell r="D450">
            <v>7</v>
          </cell>
          <cell r="E450">
            <v>23</v>
          </cell>
        </row>
        <row r="451">
          <cell r="A451" t="str">
            <v>ENI</v>
          </cell>
          <cell r="B451" t="str">
            <v>201110</v>
          </cell>
          <cell r="C451">
            <v>32</v>
          </cell>
          <cell r="D451">
            <v>10</v>
          </cell>
          <cell r="E451">
            <v>22</v>
          </cell>
        </row>
        <row r="452">
          <cell r="A452" t="str">
            <v>ENI</v>
          </cell>
          <cell r="B452" t="str">
            <v>201120</v>
          </cell>
          <cell r="C452">
            <v>39</v>
          </cell>
          <cell r="D452">
            <v>17</v>
          </cell>
          <cell r="E452">
            <v>21</v>
          </cell>
        </row>
        <row r="453">
          <cell r="A453" t="str">
            <v>ENI</v>
          </cell>
          <cell r="B453" t="str">
            <v>201210</v>
          </cell>
          <cell r="C453">
            <v>44</v>
          </cell>
          <cell r="D453">
            <v>22</v>
          </cell>
          <cell r="E453">
            <v>22</v>
          </cell>
        </row>
        <row r="454">
          <cell r="A454" t="str">
            <v>ENI</v>
          </cell>
          <cell r="B454" t="str">
            <v>201220</v>
          </cell>
          <cell r="C454">
            <v>51</v>
          </cell>
          <cell r="D454">
            <v>18</v>
          </cell>
          <cell r="E454">
            <v>32</v>
          </cell>
        </row>
        <row r="455">
          <cell r="A455" t="str">
            <v>ENI</v>
          </cell>
          <cell r="B455" t="str">
            <v>201310</v>
          </cell>
          <cell r="C455">
            <v>71</v>
          </cell>
          <cell r="D455">
            <v>34</v>
          </cell>
          <cell r="E455">
            <v>37</v>
          </cell>
        </row>
        <row r="456">
          <cell r="A456" t="str">
            <v>ENI</v>
          </cell>
          <cell r="B456" t="str">
            <v>201320</v>
          </cell>
          <cell r="C456">
            <v>52</v>
          </cell>
          <cell r="D456">
            <v>22</v>
          </cell>
          <cell r="E456">
            <v>30</v>
          </cell>
        </row>
        <row r="457">
          <cell r="A457" t="str">
            <v>ENI</v>
          </cell>
          <cell r="B457" t="str">
            <v>201410</v>
          </cell>
          <cell r="C457">
            <v>45</v>
          </cell>
          <cell r="D457">
            <v>21</v>
          </cell>
          <cell r="E457">
            <v>24</v>
          </cell>
        </row>
        <row r="458">
          <cell r="A458" t="str">
            <v>ENI</v>
          </cell>
          <cell r="B458" t="str">
            <v>201420</v>
          </cell>
          <cell r="C458">
            <v>55</v>
          </cell>
          <cell r="D458">
            <v>27</v>
          </cell>
          <cell r="E458">
            <v>28</v>
          </cell>
        </row>
        <row r="459">
          <cell r="A459" t="str">
            <v>ENI</v>
          </cell>
          <cell r="B459" t="str">
            <v>201510</v>
          </cell>
          <cell r="C459">
            <v>83</v>
          </cell>
          <cell r="D459">
            <v>34</v>
          </cell>
          <cell r="E459">
            <v>47</v>
          </cell>
        </row>
        <row r="460">
          <cell r="A460" t="str">
            <v>ENI</v>
          </cell>
          <cell r="B460" t="str">
            <v>201520</v>
          </cell>
          <cell r="C460">
            <v>45</v>
          </cell>
          <cell r="D460">
            <v>10</v>
          </cell>
          <cell r="E460">
            <v>34</v>
          </cell>
        </row>
        <row r="461">
          <cell r="A461" t="str">
            <v>ENI</v>
          </cell>
          <cell r="B461" t="str">
            <v>201610</v>
          </cell>
          <cell r="C461">
            <v>99</v>
          </cell>
          <cell r="D461">
            <v>39</v>
          </cell>
          <cell r="E461">
            <v>60</v>
          </cell>
        </row>
        <row r="462">
          <cell r="A462" t="str">
            <v>ENI</v>
          </cell>
          <cell r="B462" t="str">
            <v>201620</v>
          </cell>
          <cell r="C462">
            <v>37</v>
          </cell>
          <cell r="D462">
            <v>18</v>
          </cell>
          <cell r="E462">
            <v>19</v>
          </cell>
        </row>
        <row r="463">
          <cell r="A463" t="str">
            <v>ENI</v>
          </cell>
          <cell r="B463" t="str">
            <v>201710</v>
          </cell>
          <cell r="C463">
            <v>70</v>
          </cell>
          <cell r="D463">
            <v>27</v>
          </cell>
          <cell r="E463">
            <v>41</v>
          </cell>
        </row>
        <row r="464">
          <cell r="A464" t="str">
            <v>ENI</v>
          </cell>
          <cell r="B464" t="str">
            <v>201720</v>
          </cell>
          <cell r="C464">
            <v>31</v>
          </cell>
          <cell r="D464">
            <v>9</v>
          </cell>
          <cell r="E464">
            <v>18</v>
          </cell>
        </row>
        <row r="465">
          <cell r="A465" t="str">
            <v>ENI</v>
          </cell>
          <cell r="B465" t="str">
            <v>201810</v>
          </cell>
          <cell r="C465">
            <v>36</v>
          </cell>
          <cell r="D465">
            <v>11</v>
          </cell>
          <cell r="E465">
            <v>20</v>
          </cell>
        </row>
        <row r="466">
          <cell r="A466" t="str">
            <v>ENI</v>
          </cell>
          <cell r="B466" t="str">
            <v>201820</v>
          </cell>
          <cell r="C466">
            <v>14</v>
          </cell>
          <cell r="D466">
            <v>6</v>
          </cell>
          <cell r="E466">
            <v>4</v>
          </cell>
        </row>
        <row r="467">
          <cell r="A467" t="str">
            <v>ENI</v>
          </cell>
          <cell r="B467" t="str">
            <v>201910</v>
          </cell>
          <cell r="C467">
            <v>34</v>
          </cell>
          <cell r="D467">
            <v>5</v>
          </cell>
          <cell r="E467">
            <v>4</v>
          </cell>
        </row>
        <row r="468">
          <cell r="A468" t="str">
            <v>ENI</v>
          </cell>
          <cell r="B468" t="str">
            <v>201920</v>
          </cell>
          <cell r="C468">
            <v>19</v>
          </cell>
          <cell r="D468">
            <v>6</v>
          </cell>
          <cell r="E468">
            <v>0</v>
          </cell>
        </row>
        <row r="469">
          <cell r="A469" t="str">
            <v>ENI</v>
          </cell>
          <cell r="B469" t="str">
            <v>202010</v>
          </cell>
          <cell r="C469">
            <v>36</v>
          </cell>
          <cell r="D469">
            <v>9</v>
          </cell>
          <cell r="E469">
            <v>1</v>
          </cell>
        </row>
        <row r="470">
          <cell r="A470" t="str">
            <v>ENI</v>
          </cell>
          <cell r="B470" t="str">
            <v>202020</v>
          </cell>
          <cell r="C470">
            <v>19</v>
          </cell>
          <cell r="D470">
            <v>4</v>
          </cell>
          <cell r="E470">
            <v>0</v>
          </cell>
        </row>
        <row r="471">
          <cell r="A471" t="str">
            <v>ENI</v>
          </cell>
          <cell r="B471" t="str">
            <v>202110</v>
          </cell>
          <cell r="C471">
            <v>31</v>
          </cell>
          <cell r="D471">
            <v>5</v>
          </cell>
          <cell r="E471">
            <v>0</v>
          </cell>
        </row>
        <row r="472">
          <cell r="A472" t="str">
            <v>ENI</v>
          </cell>
          <cell r="B472" t="str">
            <v>202120</v>
          </cell>
          <cell r="C472">
            <v>22</v>
          </cell>
          <cell r="D472">
            <v>2</v>
          </cell>
          <cell r="E472">
            <v>0</v>
          </cell>
        </row>
        <row r="473">
          <cell r="A473" t="str">
            <v>ENI</v>
          </cell>
          <cell r="B473" t="str">
            <v>202210</v>
          </cell>
          <cell r="C473">
            <v>40</v>
          </cell>
          <cell r="D473">
            <v>6</v>
          </cell>
          <cell r="E473">
            <v>0</v>
          </cell>
        </row>
        <row r="474">
          <cell r="A474" t="str">
            <v>ENI</v>
          </cell>
          <cell r="B474" t="str">
            <v>202220</v>
          </cell>
          <cell r="C474">
            <v>43</v>
          </cell>
          <cell r="D474">
            <v>4</v>
          </cell>
          <cell r="E474">
            <v>0</v>
          </cell>
        </row>
        <row r="475">
          <cell r="A475" t="str">
            <v>ENI</v>
          </cell>
          <cell r="B475" t="str">
            <v>202310</v>
          </cell>
          <cell r="C475">
            <v>30</v>
          </cell>
          <cell r="D475">
            <v>1</v>
          </cell>
          <cell r="E475">
            <v>0</v>
          </cell>
        </row>
        <row r="476">
          <cell r="A476" t="str">
            <v>ENI</v>
          </cell>
          <cell r="B476" t="str">
            <v>202320</v>
          </cell>
          <cell r="C476">
            <v>1</v>
          </cell>
          <cell r="D476">
            <v>0</v>
          </cell>
          <cell r="E476">
            <v>0</v>
          </cell>
        </row>
        <row r="477">
          <cell r="A477" t="str">
            <v>FIN</v>
          </cell>
          <cell r="B477" t="str">
            <v>201910</v>
          </cell>
          <cell r="C477">
            <v>5</v>
          </cell>
          <cell r="D477">
            <v>3</v>
          </cell>
          <cell r="E477">
            <v>0</v>
          </cell>
        </row>
        <row r="478">
          <cell r="A478" t="str">
            <v>FIN</v>
          </cell>
          <cell r="B478" t="str">
            <v>201920</v>
          </cell>
          <cell r="C478">
            <v>6</v>
          </cell>
          <cell r="D478">
            <v>1</v>
          </cell>
          <cell r="E478">
            <v>0</v>
          </cell>
        </row>
        <row r="479">
          <cell r="A479" t="str">
            <v>FIN</v>
          </cell>
          <cell r="B479" t="str">
            <v>202010</v>
          </cell>
          <cell r="C479">
            <v>5</v>
          </cell>
          <cell r="D479">
            <v>3</v>
          </cell>
          <cell r="E479">
            <v>1</v>
          </cell>
        </row>
        <row r="480">
          <cell r="A480" t="str">
            <v>FIN</v>
          </cell>
          <cell r="B480" t="str">
            <v>202020</v>
          </cell>
          <cell r="C480">
            <v>3</v>
          </cell>
          <cell r="D480">
            <v>2</v>
          </cell>
          <cell r="E480">
            <v>0</v>
          </cell>
        </row>
        <row r="481">
          <cell r="A481" t="str">
            <v>FIN</v>
          </cell>
          <cell r="B481" t="str">
            <v>202110</v>
          </cell>
          <cell r="C481">
            <v>10</v>
          </cell>
          <cell r="D481">
            <v>2</v>
          </cell>
          <cell r="E481">
            <v>0</v>
          </cell>
        </row>
        <row r="482">
          <cell r="A482" t="str">
            <v>FIN</v>
          </cell>
          <cell r="B482" t="str">
            <v>202120</v>
          </cell>
          <cell r="C482">
            <v>6</v>
          </cell>
          <cell r="D482">
            <v>2</v>
          </cell>
          <cell r="E482">
            <v>0</v>
          </cell>
        </row>
        <row r="483">
          <cell r="A483" t="str">
            <v>FIN</v>
          </cell>
          <cell r="B483" t="str">
            <v>202210</v>
          </cell>
          <cell r="C483">
            <v>18</v>
          </cell>
          <cell r="D483">
            <v>1</v>
          </cell>
          <cell r="E483">
            <v>0</v>
          </cell>
        </row>
        <row r="484">
          <cell r="A484" t="str">
            <v>FIN</v>
          </cell>
          <cell r="B484" t="str">
            <v>202220</v>
          </cell>
          <cell r="C484">
            <v>9</v>
          </cell>
          <cell r="D484">
            <v>2</v>
          </cell>
          <cell r="E484">
            <v>0</v>
          </cell>
        </row>
        <row r="485">
          <cell r="A485" t="str">
            <v>FIN</v>
          </cell>
          <cell r="B485" t="str">
            <v>202310</v>
          </cell>
          <cell r="C485">
            <v>12</v>
          </cell>
          <cell r="D485">
            <v>1</v>
          </cell>
          <cell r="E485">
            <v>0</v>
          </cell>
        </row>
        <row r="486">
          <cell r="A486" t="str">
            <v>IAG</v>
          </cell>
          <cell r="B486" t="str">
            <v>202120</v>
          </cell>
          <cell r="C486">
            <v>1</v>
          </cell>
          <cell r="D486">
            <v>1</v>
          </cell>
          <cell r="E486">
            <v>0</v>
          </cell>
        </row>
        <row r="487">
          <cell r="A487" t="str">
            <v>IBQ</v>
          </cell>
          <cell r="B487" t="str">
            <v>201520</v>
          </cell>
          <cell r="C487">
            <v>17</v>
          </cell>
          <cell r="D487">
            <v>4</v>
          </cell>
          <cell r="E487">
            <v>12</v>
          </cell>
        </row>
        <row r="488">
          <cell r="A488" t="str">
            <v>IBQ</v>
          </cell>
          <cell r="B488" t="str">
            <v>201610</v>
          </cell>
          <cell r="C488">
            <v>61</v>
          </cell>
          <cell r="D488">
            <v>17</v>
          </cell>
          <cell r="E488">
            <v>44</v>
          </cell>
        </row>
        <row r="489">
          <cell r="A489" t="str">
            <v>IBQ</v>
          </cell>
          <cell r="B489" t="str">
            <v>201620</v>
          </cell>
          <cell r="C489">
            <v>26</v>
          </cell>
          <cell r="D489">
            <v>9</v>
          </cell>
          <cell r="E489">
            <v>17</v>
          </cell>
        </row>
        <row r="490">
          <cell r="A490" t="str">
            <v>IBQ</v>
          </cell>
          <cell r="B490" t="str">
            <v>201710</v>
          </cell>
          <cell r="C490">
            <v>58</v>
          </cell>
          <cell r="D490">
            <v>12</v>
          </cell>
          <cell r="E490">
            <v>41</v>
          </cell>
        </row>
        <row r="491">
          <cell r="A491" t="str">
            <v>IBQ</v>
          </cell>
          <cell r="B491" t="str">
            <v>201720</v>
          </cell>
          <cell r="C491">
            <v>5</v>
          </cell>
          <cell r="D491">
            <v>0</v>
          </cell>
          <cell r="E491">
            <v>2</v>
          </cell>
        </row>
        <row r="492">
          <cell r="A492" t="str">
            <v>IBQ</v>
          </cell>
          <cell r="B492" t="str">
            <v>201810</v>
          </cell>
          <cell r="C492">
            <v>43</v>
          </cell>
          <cell r="D492">
            <v>11</v>
          </cell>
          <cell r="E492">
            <v>21</v>
          </cell>
        </row>
        <row r="493">
          <cell r="A493" t="str">
            <v>IBQ</v>
          </cell>
          <cell r="B493" t="str">
            <v>201820</v>
          </cell>
          <cell r="C493">
            <v>11</v>
          </cell>
          <cell r="D493">
            <v>5</v>
          </cell>
          <cell r="E493">
            <v>3</v>
          </cell>
        </row>
        <row r="494">
          <cell r="A494" t="str">
            <v>IBQ</v>
          </cell>
          <cell r="B494" t="str">
            <v>201910</v>
          </cell>
          <cell r="C494">
            <v>22</v>
          </cell>
          <cell r="D494">
            <v>4</v>
          </cell>
          <cell r="E494">
            <v>0</v>
          </cell>
        </row>
        <row r="495">
          <cell r="A495" t="str">
            <v>IBQ</v>
          </cell>
          <cell r="B495" t="str">
            <v>201920</v>
          </cell>
          <cell r="C495">
            <v>13</v>
          </cell>
          <cell r="D495">
            <v>3</v>
          </cell>
          <cell r="E495">
            <v>0</v>
          </cell>
        </row>
        <row r="496">
          <cell r="A496" t="str">
            <v>IBQ</v>
          </cell>
          <cell r="B496" t="str">
            <v>202010</v>
          </cell>
          <cell r="C496">
            <v>20</v>
          </cell>
          <cell r="D496">
            <v>2</v>
          </cell>
          <cell r="E496">
            <v>0</v>
          </cell>
        </row>
        <row r="497">
          <cell r="A497" t="str">
            <v>IBQ</v>
          </cell>
          <cell r="B497" t="str">
            <v>202020</v>
          </cell>
          <cell r="C497">
            <v>10</v>
          </cell>
          <cell r="D497">
            <v>3</v>
          </cell>
          <cell r="E497">
            <v>0</v>
          </cell>
        </row>
        <row r="498">
          <cell r="A498" t="str">
            <v>IBQ</v>
          </cell>
          <cell r="B498" t="str">
            <v>202110</v>
          </cell>
          <cell r="C498">
            <v>11</v>
          </cell>
          <cell r="D498">
            <v>0</v>
          </cell>
          <cell r="E498">
            <v>0</v>
          </cell>
        </row>
        <row r="499">
          <cell r="A499" t="str">
            <v>IBQ</v>
          </cell>
          <cell r="B499" t="str">
            <v>202120</v>
          </cell>
          <cell r="C499">
            <v>8</v>
          </cell>
          <cell r="D499">
            <v>1</v>
          </cell>
          <cell r="E499">
            <v>0</v>
          </cell>
        </row>
        <row r="500">
          <cell r="A500" t="str">
            <v>IBQ</v>
          </cell>
          <cell r="B500" t="str">
            <v>202210</v>
          </cell>
          <cell r="C500">
            <v>15</v>
          </cell>
          <cell r="D500">
            <v>5</v>
          </cell>
          <cell r="E500">
            <v>0</v>
          </cell>
        </row>
        <row r="501">
          <cell r="A501" t="str">
            <v>IBQ</v>
          </cell>
          <cell r="B501" t="str">
            <v>202220</v>
          </cell>
          <cell r="C501">
            <v>13</v>
          </cell>
          <cell r="D501">
            <v>5</v>
          </cell>
          <cell r="E501">
            <v>0</v>
          </cell>
        </row>
        <row r="502">
          <cell r="A502" t="str">
            <v>IBQ</v>
          </cell>
          <cell r="B502" t="str">
            <v>202310</v>
          </cell>
          <cell r="C502">
            <v>18</v>
          </cell>
          <cell r="D502">
            <v>3</v>
          </cell>
          <cell r="E502">
            <v>0</v>
          </cell>
        </row>
        <row r="503">
          <cell r="A503" t="str">
            <v>IND</v>
          </cell>
          <cell r="B503" t="str">
            <v>199720</v>
          </cell>
          <cell r="C503">
            <v>7</v>
          </cell>
          <cell r="D503">
            <v>1</v>
          </cell>
          <cell r="E503">
            <v>6</v>
          </cell>
        </row>
        <row r="504">
          <cell r="A504" t="str">
            <v>IND</v>
          </cell>
          <cell r="B504" t="str">
            <v>199810</v>
          </cell>
          <cell r="C504">
            <v>3</v>
          </cell>
          <cell r="D504">
            <v>1</v>
          </cell>
          <cell r="E504">
            <v>2</v>
          </cell>
        </row>
        <row r="505">
          <cell r="A505" t="str">
            <v>IND</v>
          </cell>
          <cell r="B505" t="str">
            <v>199820</v>
          </cell>
          <cell r="C505">
            <v>13</v>
          </cell>
          <cell r="D505">
            <v>5</v>
          </cell>
          <cell r="E505">
            <v>8</v>
          </cell>
        </row>
        <row r="506">
          <cell r="A506" t="str">
            <v>IND</v>
          </cell>
          <cell r="B506" t="str">
            <v>199910</v>
          </cell>
          <cell r="C506">
            <v>3</v>
          </cell>
          <cell r="D506">
            <v>1</v>
          </cell>
          <cell r="E506">
            <v>2</v>
          </cell>
        </row>
        <row r="507">
          <cell r="A507" t="str">
            <v>IND</v>
          </cell>
          <cell r="B507" t="str">
            <v>199920</v>
          </cell>
          <cell r="C507">
            <v>5</v>
          </cell>
          <cell r="D507">
            <v>3</v>
          </cell>
          <cell r="E507">
            <v>2</v>
          </cell>
        </row>
        <row r="508">
          <cell r="A508" t="str">
            <v>IND</v>
          </cell>
          <cell r="B508" t="str">
            <v>200010</v>
          </cell>
          <cell r="C508">
            <v>1</v>
          </cell>
          <cell r="D508">
            <v>0</v>
          </cell>
          <cell r="E508">
            <v>1</v>
          </cell>
        </row>
        <row r="509">
          <cell r="A509" t="str">
            <v>IND</v>
          </cell>
          <cell r="B509" t="str">
            <v>200020</v>
          </cell>
          <cell r="C509">
            <v>9</v>
          </cell>
          <cell r="D509">
            <v>7</v>
          </cell>
          <cell r="E509">
            <v>2</v>
          </cell>
        </row>
        <row r="510">
          <cell r="A510" t="str">
            <v>IND</v>
          </cell>
          <cell r="B510" t="str">
            <v>200110</v>
          </cell>
          <cell r="C510">
            <v>1</v>
          </cell>
          <cell r="D510">
            <v>1</v>
          </cell>
          <cell r="E510">
            <v>0</v>
          </cell>
        </row>
        <row r="511">
          <cell r="A511" t="str">
            <v>IND</v>
          </cell>
          <cell r="B511" t="str">
            <v>200120</v>
          </cell>
          <cell r="C511">
            <v>4</v>
          </cell>
          <cell r="D511">
            <v>2</v>
          </cell>
          <cell r="E511">
            <v>2</v>
          </cell>
        </row>
        <row r="512">
          <cell r="A512" t="str">
            <v>IND</v>
          </cell>
          <cell r="B512" t="str">
            <v>200210</v>
          </cell>
          <cell r="C512">
            <v>5</v>
          </cell>
          <cell r="D512">
            <v>2</v>
          </cell>
          <cell r="E512">
            <v>3</v>
          </cell>
        </row>
        <row r="513">
          <cell r="A513" t="str">
            <v>IND</v>
          </cell>
          <cell r="B513" t="str">
            <v>200220</v>
          </cell>
          <cell r="C513">
            <v>7</v>
          </cell>
          <cell r="D513">
            <v>5</v>
          </cell>
          <cell r="E513">
            <v>2</v>
          </cell>
        </row>
        <row r="514">
          <cell r="A514" t="str">
            <v>IND</v>
          </cell>
          <cell r="B514" t="str">
            <v>200310</v>
          </cell>
          <cell r="C514">
            <v>5</v>
          </cell>
          <cell r="D514">
            <v>2</v>
          </cell>
          <cell r="E514">
            <v>3</v>
          </cell>
        </row>
        <row r="515">
          <cell r="A515" t="str">
            <v>IND</v>
          </cell>
          <cell r="B515" t="str">
            <v>200320</v>
          </cell>
          <cell r="C515">
            <v>20</v>
          </cell>
          <cell r="D515">
            <v>9</v>
          </cell>
          <cell r="E515">
            <v>11</v>
          </cell>
        </row>
        <row r="516">
          <cell r="A516" t="str">
            <v>IND</v>
          </cell>
          <cell r="B516" t="str">
            <v>200410</v>
          </cell>
          <cell r="C516">
            <v>6</v>
          </cell>
          <cell r="D516">
            <v>2</v>
          </cell>
          <cell r="E516">
            <v>4</v>
          </cell>
        </row>
        <row r="517">
          <cell r="A517" t="str">
            <v>IND</v>
          </cell>
          <cell r="B517" t="str">
            <v>200420</v>
          </cell>
          <cell r="C517">
            <v>18</v>
          </cell>
          <cell r="D517">
            <v>6</v>
          </cell>
          <cell r="E517">
            <v>12</v>
          </cell>
        </row>
        <row r="518">
          <cell r="A518" t="str">
            <v>IND</v>
          </cell>
          <cell r="B518" t="str">
            <v>200510</v>
          </cell>
          <cell r="C518">
            <v>6</v>
          </cell>
          <cell r="D518">
            <v>3</v>
          </cell>
          <cell r="E518">
            <v>3</v>
          </cell>
        </row>
        <row r="519">
          <cell r="A519" t="str">
            <v>IND</v>
          </cell>
          <cell r="B519" t="str">
            <v>200520</v>
          </cell>
          <cell r="C519">
            <v>24</v>
          </cell>
          <cell r="D519">
            <v>14</v>
          </cell>
          <cell r="E519">
            <v>10</v>
          </cell>
        </row>
        <row r="520">
          <cell r="A520" t="str">
            <v>IND</v>
          </cell>
          <cell r="B520" t="str">
            <v>200610</v>
          </cell>
          <cell r="C520">
            <v>8</v>
          </cell>
          <cell r="D520">
            <v>2</v>
          </cell>
          <cell r="E520">
            <v>6</v>
          </cell>
        </row>
        <row r="521">
          <cell r="A521" t="str">
            <v>IND</v>
          </cell>
          <cell r="B521" t="str">
            <v>200620</v>
          </cell>
          <cell r="C521">
            <v>40</v>
          </cell>
          <cell r="D521">
            <v>12</v>
          </cell>
          <cell r="E521">
            <v>28</v>
          </cell>
        </row>
        <row r="522">
          <cell r="A522" t="str">
            <v>IND</v>
          </cell>
          <cell r="B522" t="str">
            <v>200710</v>
          </cell>
          <cell r="C522">
            <v>20</v>
          </cell>
          <cell r="D522">
            <v>13</v>
          </cell>
          <cell r="E522">
            <v>7</v>
          </cell>
        </row>
        <row r="523">
          <cell r="A523" t="str">
            <v>IND</v>
          </cell>
          <cell r="B523" t="str">
            <v>200720</v>
          </cell>
          <cell r="C523">
            <v>44</v>
          </cell>
          <cell r="D523">
            <v>16</v>
          </cell>
          <cell r="E523">
            <v>28</v>
          </cell>
        </row>
        <row r="524">
          <cell r="A524" t="str">
            <v>IND</v>
          </cell>
          <cell r="B524" t="str">
            <v>200810</v>
          </cell>
          <cell r="C524">
            <v>25</v>
          </cell>
          <cell r="D524">
            <v>12</v>
          </cell>
          <cell r="E524">
            <v>13</v>
          </cell>
        </row>
        <row r="525">
          <cell r="A525" t="str">
            <v>IND</v>
          </cell>
          <cell r="B525" t="str">
            <v>200820</v>
          </cell>
          <cell r="C525">
            <v>48</v>
          </cell>
          <cell r="D525">
            <v>16</v>
          </cell>
          <cell r="E525">
            <v>32</v>
          </cell>
        </row>
        <row r="526">
          <cell r="A526" t="str">
            <v>IND</v>
          </cell>
          <cell r="B526" t="str">
            <v>200910</v>
          </cell>
          <cell r="C526">
            <v>23</v>
          </cell>
          <cell r="D526">
            <v>7</v>
          </cell>
          <cell r="E526">
            <v>16</v>
          </cell>
        </row>
        <row r="527">
          <cell r="A527" t="str">
            <v>IND</v>
          </cell>
          <cell r="B527" t="str">
            <v>200920</v>
          </cell>
          <cell r="C527">
            <v>40</v>
          </cell>
          <cell r="D527">
            <v>15</v>
          </cell>
          <cell r="E527">
            <v>25</v>
          </cell>
        </row>
        <row r="528">
          <cell r="A528" t="str">
            <v>IND</v>
          </cell>
          <cell r="B528" t="str">
            <v>201010</v>
          </cell>
          <cell r="C528">
            <v>22</v>
          </cell>
          <cell r="D528">
            <v>13</v>
          </cell>
          <cell r="E528">
            <v>9</v>
          </cell>
        </row>
        <row r="529">
          <cell r="A529" t="str">
            <v>IND</v>
          </cell>
          <cell r="B529" t="str">
            <v>201020</v>
          </cell>
          <cell r="C529">
            <v>32</v>
          </cell>
          <cell r="D529">
            <v>10</v>
          </cell>
          <cell r="E529">
            <v>22</v>
          </cell>
        </row>
        <row r="530">
          <cell r="A530" t="str">
            <v>IND</v>
          </cell>
          <cell r="B530" t="str">
            <v>201110</v>
          </cell>
          <cell r="C530">
            <v>27</v>
          </cell>
          <cell r="D530">
            <v>15</v>
          </cell>
          <cell r="E530">
            <v>12</v>
          </cell>
        </row>
        <row r="531">
          <cell r="A531" t="str">
            <v>IND</v>
          </cell>
          <cell r="B531" t="str">
            <v>201120</v>
          </cell>
          <cell r="C531">
            <v>52</v>
          </cell>
          <cell r="D531">
            <v>18</v>
          </cell>
          <cell r="E531">
            <v>34</v>
          </cell>
        </row>
        <row r="532">
          <cell r="A532" t="str">
            <v>IND</v>
          </cell>
          <cell r="B532" t="str">
            <v>201210</v>
          </cell>
          <cell r="C532">
            <v>40</v>
          </cell>
          <cell r="D532">
            <v>20</v>
          </cell>
          <cell r="E532">
            <v>20</v>
          </cell>
        </row>
        <row r="533">
          <cell r="A533" t="str">
            <v>IND</v>
          </cell>
          <cell r="B533" t="str">
            <v>201220</v>
          </cell>
          <cell r="C533">
            <v>43</v>
          </cell>
          <cell r="D533">
            <v>22</v>
          </cell>
          <cell r="E533">
            <v>21</v>
          </cell>
        </row>
        <row r="534">
          <cell r="A534" t="str">
            <v>IND</v>
          </cell>
          <cell r="B534" t="str">
            <v>201310</v>
          </cell>
          <cell r="C534">
            <v>43</v>
          </cell>
          <cell r="D534">
            <v>21</v>
          </cell>
          <cell r="E534">
            <v>22</v>
          </cell>
        </row>
        <row r="535">
          <cell r="A535" t="str">
            <v>IND</v>
          </cell>
          <cell r="B535" t="str">
            <v>201320</v>
          </cell>
          <cell r="C535">
            <v>38</v>
          </cell>
          <cell r="D535">
            <v>13</v>
          </cell>
          <cell r="E535">
            <v>25</v>
          </cell>
        </row>
        <row r="536">
          <cell r="A536" t="str">
            <v>IND</v>
          </cell>
          <cell r="B536" t="str">
            <v>201410</v>
          </cell>
          <cell r="C536">
            <v>39</v>
          </cell>
          <cell r="D536">
            <v>17</v>
          </cell>
          <cell r="E536">
            <v>22</v>
          </cell>
        </row>
        <row r="537">
          <cell r="A537" t="str">
            <v>IND</v>
          </cell>
          <cell r="B537" t="str">
            <v>201420</v>
          </cell>
          <cell r="C537">
            <v>36</v>
          </cell>
          <cell r="D537">
            <v>13</v>
          </cell>
          <cell r="E537">
            <v>22</v>
          </cell>
        </row>
        <row r="538">
          <cell r="A538" t="str">
            <v>IND</v>
          </cell>
          <cell r="B538" t="str">
            <v>201510</v>
          </cell>
          <cell r="C538">
            <v>101</v>
          </cell>
          <cell r="D538">
            <v>35</v>
          </cell>
          <cell r="E538">
            <v>65</v>
          </cell>
        </row>
        <row r="539">
          <cell r="A539" t="str">
            <v>IND</v>
          </cell>
          <cell r="B539" t="str">
            <v>201520</v>
          </cell>
          <cell r="C539">
            <v>26</v>
          </cell>
          <cell r="D539">
            <v>10</v>
          </cell>
          <cell r="E539">
            <v>15</v>
          </cell>
        </row>
        <row r="540">
          <cell r="A540" t="str">
            <v>IND</v>
          </cell>
          <cell r="B540" t="str">
            <v>201610</v>
          </cell>
          <cell r="C540">
            <v>115</v>
          </cell>
          <cell r="D540">
            <v>33</v>
          </cell>
          <cell r="E540">
            <v>80</v>
          </cell>
        </row>
        <row r="541">
          <cell r="A541" t="str">
            <v>IND</v>
          </cell>
          <cell r="B541" t="str">
            <v>201620</v>
          </cell>
          <cell r="C541">
            <v>30</v>
          </cell>
          <cell r="D541">
            <v>8</v>
          </cell>
          <cell r="E541">
            <v>22</v>
          </cell>
        </row>
        <row r="542">
          <cell r="A542" t="str">
            <v>IND</v>
          </cell>
          <cell r="B542" t="str">
            <v>201710</v>
          </cell>
          <cell r="C542">
            <v>63</v>
          </cell>
          <cell r="D542">
            <v>12</v>
          </cell>
          <cell r="E542">
            <v>50</v>
          </cell>
        </row>
        <row r="543">
          <cell r="A543" t="str">
            <v>IND</v>
          </cell>
          <cell r="B543" t="str">
            <v>201720</v>
          </cell>
          <cell r="C543">
            <v>21</v>
          </cell>
          <cell r="D543">
            <v>7</v>
          </cell>
          <cell r="E543">
            <v>10</v>
          </cell>
        </row>
        <row r="544">
          <cell r="A544" t="str">
            <v>IND</v>
          </cell>
          <cell r="B544" t="str">
            <v>201810</v>
          </cell>
          <cell r="C544">
            <v>32</v>
          </cell>
          <cell r="D544">
            <v>5</v>
          </cell>
          <cell r="E544">
            <v>23</v>
          </cell>
        </row>
        <row r="545">
          <cell r="A545" t="str">
            <v>IND</v>
          </cell>
          <cell r="B545" t="str">
            <v>201820</v>
          </cell>
          <cell r="C545">
            <v>24</v>
          </cell>
          <cell r="D545">
            <v>7</v>
          </cell>
          <cell r="E545">
            <v>13</v>
          </cell>
        </row>
        <row r="546">
          <cell r="A546" t="str">
            <v>IND</v>
          </cell>
          <cell r="B546" t="str">
            <v>201910</v>
          </cell>
          <cell r="C546">
            <v>14</v>
          </cell>
          <cell r="D546">
            <v>4</v>
          </cell>
          <cell r="E546">
            <v>1</v>
          </cell>
        </row>
        <row r="547">
          <cell r="A547" t="str">
            <v>IND</v>
          </cell>
          <cell r="B547" t="str">
            <v>201920</v>
          </cell>
          <cell r="C547">
            <v>8</v>
          </cell>
          <cell r="D547">
            <v>0</v>
          </cell>
          <cell r="E547">
            <v>0</v>
          </cell>
        </row>
        <row r="548">
          <cell r="A548" t="str">
            <v>IND</v>
          </cell>
          <cell r="B548" t="str">
            <v>202010</v>
          </cell>
          <cell r="C548">
            <v>19</v>
          </cell>
          <cell r="D548">
            <v>1</v>
          </cell>
          <cell r="E548">
            <v>1</v>
          </cell>
        </row>
        <row r="549">
          <cell r="A549" t="str">
            <v>IND</v>
          </cell>
          <cell r="B549" t="str">
            <v>202020</v>
          </cell>
          <cell r="C549">
            <v>10</v>
          </cell>
          <cell r="D549">
            <v>3</v>
          </cell>
          <cell r="E549">
            <v>0</v>
          </cell>
        </row>
        <row r="550">
          <cell r="A550" t="str">
            <v>IND</v>
          </cell>
          <cell r="B550" t="str">
            <v>202110</v>
          </cell>
          <cell r="C550">
            <v>8</v>
          </cell>
          <cell r="D550">
            <v>1</v>
          </cell>
          <cell r="E550">
            <v>0</v>
          </cell>
        </row>
        <row r="551">
          <cell r="A551" t="str">
            <v>IND</v>
          </cell>
          <cell r="B551" t="str">
            <v>202120</v>
          </cell>
          <cell r="C551">
            <v>11</v>
          </cell>
          <cell r="D551">
            <v>4</v>
          </cell>
          <cell r="E551">
            <v>0</v>
          </cell>
        </row>
        <row r="552">
          <cell r="A552" t="str">
            <v>IND</v>
          </cell>
          <cell r="B552" t="str">
            <v>202210</v>
          </cell>
          <cell r="C552">
            <v>17</v>
          </cell>
          <cell r="D552">
            <v>1</v>
          </cell>
          <cell r="E552">
            <v>0</v>
          </cell>
        </row>
        <row r="553">
          <cell r="A553" t="str">
            <v>IND</v>
          </cell>
          <cell r="B553" t="str">
            <v>202220</v>
          </cell>
          <cell r="C553">
            <v>14</v>
          </cell>
          <cell r="D553">
            <v>2</v>
          </cell>
          <cell r="E553">
            <v>0</v>
          </cell>
        </row>
        <row r="554">
          <cell r="A554" t="str">
            <v>IND</v>
          </cell>
          <cell r="B554" t="str">
            <v>202310</v>
          </cell>
          <cell r="C554">
            <v>21</v>
          </cell>
          <cell r="D554">
            <v>0</v>
          </cell>
          <cell r="E554">
            <v>0</v>
          </cell>
        </row>
        <row r="555">
          <cell r="A555" t="str">
            <v>LAT</v>
          </cell>
          <cell r="B555" t="str">
            <v>201520</v>
          </cell>
          <cell r="C555">
            <v>3</v>
          </cell>
          <cell r="D555">
            <v>2</v>
          </cell>
          <cell r="E555">
            <v>1</v>
          </cell>
        </row>
        <row r="556">
          <cell r="A556" t="str">
            <v>LAT</v>
          </cell>
          <cell r="B556" t="str">
            <v>201610</v>
          </cell>
          <cell r="C556">
            <v>2</v>
          </cell>
          <cell r="D556">
            <v>0</v>
          </cell>
          <cell r="E556">
            <v>2</v>
          </cell>
        </row>
        <row r="557">
          <cell r="A557" t="str">
            <v>LAT</v>
          </cell>
          <cell r="B557" t="str">
            <v>201620</v>
          </cell>
          <cell r="C557">
            <v>4</v>
          </cell>
          <cell r="D557">
            <v>3</v>
          </cell>
          <cell r="E557">
            <v>1</v>
          </cell>
        </row>
        <row r="558">
          <cell r="A558" t="str">
            <v>LAT</v>
          </cell>
          <cell r="B558" t="str">
            <v>201710</v>
          </cell>
          <cell r="C558">
            <v>2</v>
          </cell>
          <cell r="D558">
            <v>2</v>
          </cell>
          <cell r="E558">
            <v>0</v>
          </cell>
        </row>
        <row r="559">
          <cell r="A559" t="str">
            <v>LAT</v>
          </cell>
          <cell r="B559" t="str">
            <v>201720</v>
          </cell>
          <cell r="C559">
            <v>1</v>
          </cell>
          <cell r="D559">
            <v>1</v>
          </cell>
          <cell r="E559">
            <v>0</v>
          </cell>
        </row>
        <row r="560">
          <cell r="A560" t="str">
            <v>LAT</v>
          </cell>
          <cell r="B560" t="str">
            <v>201810</v>
          </cell>
          <cell r="C560">
            <v>1</v>
          </cell>
          <cell r="D560">
            <v>1</v>
          </cell>
          <cell r="E560">
            <v>0</v>
          </cell>
        </row>
        <row r="561">
          <cell r="A561" t="str">
            <v>LAT</v>
          </cell>
          <cell r="B561" t="str">
            <v>201820</v>
          </cell>
          <cell r="C561">
            <v>1</v>
          </cell>
          <cell r="D561">
            <v>1</v>
          </cell>
          <cell r="E561">
            <v>0</v>
          </cell>
        </row>
        <row r="562">
          <cell r="A562" t="str">
            <v>LAT</v>
          </cell>
          <cell r="B562" t="str">
            <v>201910</v>
          </cell>
          <cell r="C562">
            <v>2</v>
          </cell>
          <cell r="D562">
            <v>1</v>
          </cell>
          <cell r="E562">
            <v>0</v>
          </cell>
        </row>
        <row r="563">
          <cell r="A563" t="str">
            <v>LAT</v>
          </cell>
          <cell r="B563" t="str">
            <v>202110</v>
          </cell>
          <cell r="C563">
            <v>1</v>
          </cell>
          <cell r="D563">
            <v>1</v>
          </cell>
          <cell r="E563">
            <v>0</v>
          </cell>
        </row>
        <row r="564">
          <cell r="A564" t="str">
            <v>LAT</v>
          </cell>
          <cell r="B564" t="str">
            <v>202120</v>
          </cell>
          <cell r="C564">
            <v>4</v>
          </cell>
          <cell r="D564">
            <v>1</v>
          </cell>
          <cell r="E564">
            <v>0</v>
          </cell>
        </row>
        <row r="565">
          <cell r="A565" t="str">
            <v>LAT</v>
          </cell>
          <cell r="B565" t="str">
            <v>202210</v>
          </cell>
          <cell r="C565">
            <v>2</v>
          </cell>
          <cell r="D565">
            <v>0</v>
          </cell>
          <cell r="E565">
            <v>0</v>
          </cell>
        </row>
        <row r="566">
          <cell r="A566" t="str">
            <v>LAT</v>
          </cell>
          <cell r="B566" t="str">
            <v>202220</v>
          </cell>
          <cell r="C566">
            <v>1</v>
          </cell>
          <cell r="D566">
            <v>0</v>
          </cell>
          <cell r="E566">
            <v>0</v>
          </cell>
        </row>
        <row r="567">
          <cell r="A567" t="str">
            <v>LAT</v>
          </cell>
          <cell r="B567" t="str">
            <v>202310</v>
          </cell>
          <cell r="C567">
            <v>3</v>
          </cell>
          <cell r="D567">
            <v>1</v>
          </cell>
          <cell r="E567">
            <v>0</v>
          </cell>
        </row>
        <row r="568">
          <cell r="A568" t="str">
            <v>LBP</v>
          </cell>
          <cell r="B568" t="str">
            <v>201520</v>
          </cell>
          <cell r="C568">
            <v>3</v>
          </cell>
          <cell r="D568">
            <v>0</v>
          </cell>
          <cell r="E568">
            <v>3</v>
          </cell>
        </row>
        <row r="569">
          <cell r="A569" t="str">
            <v>LBP</v>
          </cell>
          <cell r="B569" t="str">
            <v>201610</v>
          </cell>
          <cell r="C569">
            <v>2</v>
          </cell>
          <cell r="D569">
            <v>0</v>
          </cell>
          <cell r="E569">
            <v>2</v>
          </cell>
        </row>
        <row r="570">
          <cell r="A570" t="str">
            <v>LBP</v>
          </cell>
          <cell r="B570" t="str">
            <v>201620</v>
          </cell>
          <cell r="C570">
            <v>2</v>
          </cell>
          <cell r="D570">
            <v>1</v>
          </cell>
          <cell r="E570">
            <v>1</v>
          </cell>
        </row>
        <row r="571">
          <cell r="A571" t="str">
            <v>LBP</v>
          </cell>
          <cell r="B571" t="str">
            <v>201710</v>
          </cell>
          <cell r="C571">
            <v>5</v>
          </cell>
          <cell r="D571">
            <v>1</v>
          </cell>
          <cell r="E571">
            <v>4</v>
          </cell>
        </row>
        <row r="572">
          <cell r="A572" t="str">
            <v>LBP</v>
          </cell>
          <cell r="B572" t="str">
            <v>201720</v>
          </cell>
          <cell r="C572">
            <v>2</v>
          </cell>
          <cell r="D572">
            <v>0</v>
          </cell>
          <cell r="E572">
            <v>2</v>
          </cell>
        </row>
        <row r="573">
          <cell r="A573" t="str">
            <v>LBP</v>
          </cell>
          <cell r="B573" t="str">
            <v>201820</v>
          </cell>
          <cell r="C573">
            <v>1</v>
          </cell>
          <cell r="D573">
            <v>1</v>
          </cell>
          <cell r="E573">
            <v>0</v>
          </cell>
        </row>
        <row r="574">
          <cell r="A574" t="str">
            <v>LBP</v>
          </cell>
          <cell r="B574" t="str">
            <v>201920</v>
          </cell>
          <cell r="C574">
            <v>4</v>
          </cell>
          <cell r="D574">
            <v>0</v>
          </cell>
          <cell r="E574">
            <v>0</v>
          </cell>
        </row>
        <row r="575">
          <cell r="A575" t="str">
            <v>LBP</v>
          </cell>
          <cell r="B575" t="str">
            <v>202010</v>
          </cell>
          <cell r="C575">
            <v>1</v>
          </cell>
          <cell r="D575">
            <v>1</v>
          </cell>
          <cell r="E575">
            <v>0</v>
          </cell>
        </row>
        <row r="576">
          <cell r="A576" t="str">
            <v>LBP</v>
          </cell>
          <cell r="B576" t="str">
            <v>202110</v>
          </cell>
          <cell r="C576">
            <v>2</v>
          </cell>
          <cell r="D576">
            <v>2</v>
          </cell>
          <cell r="E576">
            <v>0</v>
          </cell>
        </row>
        <row r="577">
          <cell r="A577" t="str">
            <v>LBP</v>
          </cell>
          <cell r="B577" t="str">
            <v>202210</v>
          </cell>
          <cell r="C577">
            <v>2</v>
          </cell>
          <cell r="D577">
            <v>1</v>
          </cell>
          <cell r="E577">
            <v>0</v>
          </cell>
        </row>
        <row r="578">
          <cell r="A578" t="str">
            <v>LBP</v>
          </cell>
          <cell r="B578" t="str">
            <v>202220</v>
          </cell>
          <cell r="C578">
            <v>1</v>
          </cell>
          <cell r="D578">
            <v>0</v>
          </cell>
          <cell r="E578">
            <v>0</v>
          </cell>
        </row>
        <row r="579">
          <cell r="A579" t="str">
            <v>LBP</v>
          </cell>
          <cell r="B579" t="str">
            <v>202310</v>
          </cell>
          <cell r="C579">
            <v>1</v>
          </cell>
          <cell r="D579">
            <v>0</v>
          </cell>
          <cell r="E579">
            <v>0</v>
          </cell>
        </row>
        <row r="580">
          <cell r="A580" t="str">
            <v>LCN</v>
          </cell>
          <cell r="B580" t="str">
            <v>201610</v>
          </cell>
          <cell r="C580">
            <v>2</v>
          </cell>
          <cell r="D580">
            <v>1</v>
          </cell>
          <cell r="E580">
            <v>1</v>
          </cell>
        </row>
        <row r="581">
          <cell r="A581" t="str">
            <v>LCN</v>
          </cell>
          <cell r="B581" t="str">
            <v>201620</v>
          </cell>
          <cell r="C581">
            <v>2</v>
          </cell>
          <cell r="D581">
            <v>0</v>
          </cell>
          <cell r="E581">
            <v>2</v>
          </cell>
        </row>
        <row r="582">
          <cell r="A582" t="str">
            <v>LCN</v>
          </cell>
          <cell r="B582" t="str">
            <v>201710</v>
          </cell>
          <cell r="C582">
            <v>2</v>
          </cell>
          <cell r="D582">
            <v>0</v>
          </cell>
          <cell r="E582">
            <v>2</v>
          </cell>
        </row>
        <row r="583">
          <cell r="A583" t="str">
            <v>LCN</v>
          </cell>
          <cell r="B583" t="str">
            <v>201720</v>
          </cell>
          <cell r="C583">
            <v>2</v>
          </cell>
          <cell r="D583">
            <v>2</v>
          </cell>
          <cell r="E583">
            <v>0</v>
          </cell>
        </row>
        <row r="584">
          <cell r="A584" t="str">
            <v>LCN</v>
          </cell>
          <cell r="B584" t="str">
            <v>201810</v>
          </cell>
          <cell r="C584">
            <v>2</v>
          </cell>
          <cell r="D584">
            <v>1</v>
          </cell>
          <cell r="E584">
            <v>1</v>
          </cell>
        </row>
        <row r="585">
          <cell r="A585" t="str">
            <v>LCN</v>
          </cell>
          <cell r="B585" t="str">
            <v>201920</v>
          </cell>
          <cell r="C585">
            <v>2</v>
          </cell>
          <cell r="D585">
            <v>0</v>
          </cell>
          <cell r="E585">
            <v>1</v>
          </cell>
        </row>
        <row r="586">
          <cell r="A586" t="str">
            <v>LCN</v>
          </cell>
          <cell r="B586" t="str">
            <v>202010</v>
          </cell>
          <cell r="C586">
            <v>1</v>
          </cell>
          <cell r="D586">
            <v>1</v>
          </cell>
          <cell r="E586">
            <v>0</v>
          </cell>
        </row>
        <row r="587">
          <cell r="A587" t="str">
            <v>LCN</v>
          </cell>
          <cell r="B587" t="str">
            <v>202120</v>
          </cell>
          <cell r="C587">
            <v>2</v>
          </cell>
          <cell r="D587">
            <v>0</v>
          </cell>
          <cell r="E587">
            <v>0</v>
          </cell>
        </row>
        <row r="588">
          <cell r="A588" t="str">
            <v>LCN</v>
          </cell>
          <cell r="B588" t="str">
            <v>202220</v>
          </cell>
          <cell r="C588">
            <v>3</v>
          </cell>
          <cell r="D588">
            <v>1</v>
          </cell>
          <cell r="E588">
            <v>0</v>
          </cell>
        </row>
        <row r="589">
          <cell r="A589" t="str">
            <v>LCS</v>
          </cell>
          <cell r="B589" t="str">
            <v>201610</v>
          </cell>
          <cell r="C589">
            <v>1</v>
          </cell>
          <cell r="D589">
            <v>1</v>
          </cell>
          <cell r="E589">
            <v>0</v>
          </cell>
        </row>
        <row r="590">
          <cell r="A590" t="str">
            <v>LCS</v>
          </cell>
          <cell r="B590" t="str">
            <v>201620</v>
          </cell>
          <cell r="C590">
            <v>1</v>
          </cell>
          <cell r="D590">
            <v>0</v>
          </cell>
          <cell r="E590">
            <v>1</v>
          </cell>
        </row>
        <row r="591">
          <cell r="A591" t="str">
            <v>LCS</v>
          </cell>
          <cell r="B591" t="str">
            <v>201710</v>
          </cell>
          <cell r="C591">
            <v>7</v>
          </cell>
          <cell r="D591">
            <v>2</v>
          </cell>
          <cell r="E591">
            <v>4</v>
          </cell>
        </row>
        <row r="592">
          <cell r="A592" t="str">
            <v>LCS</v>
          </cell>
          <cell r="B592" t="str">
            <v>201720</v>
          </cell>
          <cell r="C592">
            <v>1</v>
          </cell>
          <cell r="D592">
            <v>0</v>
          </cell>
          <cell r="E592">
            <v>0</v>
          </cell>
        </row>
        <row r="593">
          <cell r="A593" t="str">
            <v>LCS</v>
          </cell>
          <cell r="B593" t="str">
            <v>201810</v>
          </cell>
          <cell r="C593">
            <v>3</v>
          </cell>
          <cell r="D593">
            <v>0</v>
          </cell>
          <cell r="E593">
            <v>3</v>
          </cell>
        </row>
        <row r="594">
          <cell r="A594" t="str">
            <v>LCS</v>
          </cell>
          <cell r="B594" t="str">
            <v>201820</v>
          </cell>
          <cell r="C594">
            <v>2</v>
          </cell>
          <cell r="D594">
            <v>1</v>
          </cell>
          <cell r="E594">
            <v>0</v>
          </cell>
        </row>
        <row r="595">
          <cell r="A595" t="str">
            <v>LCS</v>
          </cell>
          <cell r="B595" t="str">
            <v>202010</v>
          </cell>
          <cell r="C595">
            <v>9</v>
          </cell>
          <cell r="D595">
            <v>0</v>
          </cell>
          <cell r="E595">
            <v>0</v>
          </cell>
        </row>
        <row r="596">
          <cell r="A596" t="str">
            <v>LCS</v>
          </cell>
          <cell r="B596" t="str">
            <v>202020</v>
          </cell>
          <cell r="C596">
            <v>1</v>
          </cell>
          <cell r="D596">
            <v>0</v>
          </cell>
          <cell r="E596">
            <v>0</v>
          </cell>
        </row>
        <row r="597">
          <cell r="A597" t="str">
            <v>LCS</v>
          </cell>
          <cell r="B597" t="str">
            <v>202110</v>
          </cell>
          <cell r="C597">
            <v>1</v>
          </cell>
          <cell r="D597">
            <v>0</v>
          </cell>
          <cell r="E597">
            <v>0</v>
          </cell>
        </row>
        <row r="598">
          <cell r="A598" t="str">
            <v>LCS</v>
          </cell>
          <cell r="B598" t="str">
            <v>202120</v>
          </cell>
          <cell r="C598">
            <v>1</v>
          </cell>
          <cell r="D598">
            <v>0</v>
          </cell>
          <cell r="E598">
            <v>0</v>
          </cell>
        </row>
        <row r="599">
          <cell r="A599" t="str">
            <v>LCS</v>
          </cell>
          <cell r="B599" t="str">
            <v>202210</v>
          </cell>
          <cell r="C599">
            <v>3</v>
          </cell>
          <cell r="D599">
            <v>0</v>
          </cell>
          <cell r="E599">
            <v>0</v>
          </cell>
        </row>
        <row r="600">
          <cell r="A600" t="str">
            <v>LCS</v>
          </cell>
          <cell r="B600" t="str">
            <v>202220</v>
          </cell>
          <cell r="C600">
            <v>2</v>
          </cell>
          <cell r="D600">
            <v>0</v>
          </cell>
          <cell r="E600">
            <v>0</v>
          </cell>
        </row>
        <row r="601">
          <cell r="A601" t="str">
            <v>LCS</v>
          </cell>
          <cell r="B601" t="str">
            <v>202310</v>
          </cell>
          <cell r="C601">
            <v>4</v>
          </cell>
          <cell r="D601">
            <v>0</v>
          </cell>
          <cell r="E601">
            <v>0</v>
          </cell>
        </row>
        <row r="602">
          <cell r="A602" t="str">
            <v>LEI</v>
          </cell>
          <cell r="B602" t="str">
            <v>201520</v>
          </cell>
          <cell r="C602">
            <v>3</v>
          </cell>
          <cell r="D602">
            <v>0</v>
          </cell>
          <cell r="E602">
            <v>3</v>
          </cell>
        </row>
        <row r="603">
          <cell r="A603" t="str">
            <v>LEI</v>
          </cell>
          <cell r="B603" t="str">
            <v>201610</v>
          </cell>
          <cell r="C603">
            <v>17</v>
          </cell>
          <cell r="D603">
            <v>2</v>
          </cell>
          <cell r="E603">
            <v>15</v>
          </cell>
        </row>
        <row r="604">
          <cell r="A604" t="str">
            <v>LEI</v>
          </cell>
          <cell r="B604" t="str">
            <v>201620</v>
          </cell>
          <cell r="C604">
            <v>2</v>
          </cell>
          <cell r="D604">
            <v>0</v>
          </cell>
          <cell r="E604">
            <v>2</v>
          </cell>
        </row>
        <row r="605">
          <cell r="A605" t="str">
            <v>LEI</v>
          </cell>
          <cell r="B605" t="str">
            <v>201710</v>
          </cell>
          <cell r="C605">
            <v>12</v>
          </cell>
          <cell r="D605">
            <v>6</v>
          </cell>
          <cell r="E605">
            <v>6</v>
          </cell>
        </row>
        <row r="606">
          <cell r="A606" t="str">
            <v>LEI</v>
          </cell>
          <cell r="B606" t="str">
            <v>201720</v>
          </cell>
          <cell r="C606">
            <v>6</v>
          </cell>
          <cell r="D606">
            <v>3</v>
          </cell>
          <cell r="E606">
            <v>2</v>
          </cell>
        </row>
        <row r="607">
          <cell r="A607" t="str">
            <v>LEI</v>
          </cell>
          <cell r="B607" t="str">
            <v>201810</v>
          </cell>
          <cell r="C607">
            <v>15</v>
          </cell>
          <cell r="D607">
            <v>3</v>
          </cell>
          <cell r="E607">
            <v>8</v>
          </cell>
        </row>
        <row r="608">
          <cell r="A608" t="str">
            <v>LEI</v>
          </cell>
          <cell r="B608" t="str">
            <v>201820</v>
          </cell>
          <cell r="C608">
            <v>11</v>
          </cell>
          <cell r="D608">
            <v>4</v>
          </cell>
          <cell r="E608">
            <v>3</v>
          </cell>
        </row>
        <row r="609">
          <cell r="A609" t="str">
            <v>LEI</v>
          </cell>
          <cell r="B609" t="str">
            <v>201910</v>
          </cell>
          <cell r="C609">
            <v>14</v>
          </cell>
          <cell r="D609">
            <v>2</v>
          </cell>
          <cell r="E609">
            <v>0</v>
          </cell>
        </row>
        <row r="610">
          <cell r="A610" t="str">
            <v>LEI</v>
          </cell>
          <cell r="B610" t="str">
            <v>201920</v>
          </cell>
          <cell r="C610">
            <v>4</v>
          </cell>
          <cell r="D610">
            <v>1</v>
          </cell>
          <cell r="E610">
            <v>0</v>
          </cell>
        </row>
        <row r="611">
          <cell r="A611" t="str">
            <v>LEI</v>
          </cell>
          <cell r="B611" t="str">
            <v>202010</v>
          </cell>
          <cell r="C611">
            <v>17</v>
          </cell>
          <cell r="D611">
            <v>7</v>
          </cell>
          <cell r="E611">
            <v>0</v>
          </cell>
        </row>
        <row r="612">
          <cell r="A612" t="str">
            <v>LEI</v>
          </cell>
          <cell r="B612" t="str">
            <v>202020</v>
          </cell>
          <cell r="C612">
            <v>4</v>
          </cell>
          <cell r="D612">
            <v>2</v>
          </cell>
          <cell r="E612">
            <v>0</v>
          </cell>
        </row>
        <row r="613">
          <cell r="A613" t="str">
            <v>LEI</v>
          </cell>
          <cell r="B613" t="str">
            <v>202110</v>
          </cell>
          <cell r="C613">
            <v>12</v>
          </cell>
          <cell r="D613">
            <v>1</v>
          </cell>
          <cell r="E613">
            <v>0</v>
          </cell>
        </row>
        <row r="614">
          <cell r="A614" t="str">
            <v>LEI</v>
          </cell>
          <cell r="B614" t="str">
            <v>202120</v>
          </cell>
          <cell r="C614">
            <v>7</v>
          </cell>
          <cell r="D614">
            <v>1</v>
          </cell>
          <cell r="E614">
            <v>0</v>
          </cell>
        </row>
        <row r="615">
          <cell r="A615" t="str">
            <v>LEI</v>
          </cell>
          <cell r="B615" t="str">
            <v>202210</v>
          </cell>
          <cell r="C615">
            <v>20</v>
          </cell>
          <cell r="D615">
            <v>3</v>
          </cell>
          <cell r="E615">
            <v>0</v>
          </cell>
        </row>
        <row r="616">
          <cell r="A616" t="str">
            <v>LEI</v>
          </cell>
          <cell r="B616" t="str">
            <v>202220</v>
          </cell>
          <cell r="C616">
            <v>16</v>
          </cell>
          <cell r="D616">
            <v>0</v>
          </cell>
          <cell r="E616">
            <v>0</v>
          </cell>
        </row>
        <row r="617">
          <cell r="A617" t="str">
            <v>LEI</v>
          </cell>
          <cell r="B617" t="str">
            <v>202310</v>
          </cell>
          <cell r="C617">
            <v>14</v>
          </cell>
          <cell r="D617">
            <v>1</v>
          </cell>
          <cell r="E617">
            <v>0</v>
          </cell>
        </row>
        <row r="618">
          <cell r="A618" t="str">
            <v>LYL</v>
          </cell>
          <cell r="B618" t="str">
            <v>201610</v>
          </cell>
          <cell r="C618">
            <v>4</v>
          </cell>
          <cell r="D618">
            <v>0</v>
          </cell>
          <cell r="E618">
            <v>4</v>
          </cell>
        </row>
        <row r="619">
          <cell r="A619" t="str">
            <v>LYL</v>
          </cell>
          <cell r="B619" t="str">
            <v>201620</v>
          </cell>
          <cell r="C619">
            <v>6</v>
          </cell>
          <cell r="D619">
            <v>4</v>
          </cell>
          <cell r="E619">
            <v>2</v>
          </cell>
        </row>
        <row r="620">
          <cell r="A620" t="str">
            <v>LYL</v>
          </cell>
          <cell r="B620" t="str">
            <v>201710</v>
          </cell>
          <cell r="C620">
            <v>4</v>
          </cell>
          <cell r="D620">
            <v>2</v>
          </cell>
          <cell r="E620">
            <v>2</v>
          </cell>
        </row>
        <row r="621">
          <cell r="A621" t="str">
            <v>LYL</v>
          </cell>
          <cell r="B621" t="str">
            <v>201720</v>
          </cell>
          <cell r="C621">
            <v>1</v>
          </cell>
          <cell r="D621">
            <v>0</v>
          </cell>
          <cell r="E621">
            <v>1</v>
          </cell>
        </row>
        <row r="622">
          <cell r="A622" t="str">
            <v>LYL</v>
          </cell>
          <cell r="B622" t="str">
            <v>201810</v>
          </cell>
          <cell r="C622">
            <v>2</v>
          </cell>
          <cell r="D622">
            <v>0</v>
          </cell>
          <cell r="E622">
            <v>1</v>
          </cell>
        </row>
        <row r="623">
          <cell r="A623" t="str">
            <v>LYL</v>
          </cell>
          <cell r="B623" t="str">
            <v>201910</v>
          </cell>
          <cell r="C623">
            <v>1</v>
          </cell>
          <cell r="D623">
            <v>0</v>
          </cell>
          <cell r="E623">
            <v>0</v>
          </cell>
        </row>
        <row r="624">
          <cell r="A624" t="str">
            <v>LYL</v>
          </cell>
          <cell r="B624" t="str">
            <v>201920</v>
          </cell>
          <cell r="C624">
            <v>1</v>
          </cell>
          <cell r="D624">
            <v>0</v>
          </cell>
          <cell r="E624">
            <v>0</v>
          </cell>
        </row>
        <row r="625">
          <cell r="A625" t="str">
            <v>LYL</v>
          </cell>
          <cell r="B625" t="str">
            <v>202010</v>
          </cell>
          <cell r="C625">
            <v>3</v>
          </cell>
          <cell r="D625">
            <v>1</v>
          </cell>
          <cell r="E625">
            <v>0</v>
          </cell>
        </row>
        <row r="626">
          <cell r="A626" t="str">
            <v>LYL</v>
          </cell>
          <cell r="B626" t="str">
            <v>202020</v>
          </cell>
          <cell r="C626">
            <v>2</v>
          </cell>
          <cell r="D626">
            <v>0</v>
          </cell>
          <cell r="E626">
            <v>0</v>
          </cell>
        </row>
        <row r="627">
          <cell r="A627" t="str">
            <v>LYL</v>
          </cell>
          <cell r="B627" t="str">
            <v>202110</v>
          </cell>
          <cell r="C627">
            <v>2</v>
          </cell>
          <cell r="D627">
            <v>1</v>
          </cell>
          <cell r="E627">
            <v>0</v>
          </cell>
        </row>
        <row r="628">
          <cell r="A628" t="str">
            <v>LYL</v>
          </cell>
          <cell r="B628" t="str">
            <v>202120</v>
          </cell>
          <cell r="C628">
            <v>1</v>
          </cell>
          <cell r="D628">
            <v>0</v>
          </cell>
          <cell r="E628">
            <v>0</v>
          </cell>
        </row>
        <row r="629">
          <cell r="A629" t="str">
            <v>LYL</v>
          </cell>
          <cell r="B629" t="str">
            <v>202210</v>
          </cell>
          <cell r="C629">
            <v>9</v>
          </cell>
          <cell r="D629">
            <v>3</v>
          </cell>
          <cell r="E629">
            <v>0</v>
          </cell>
        </row>
        <row r="630">
          <cell r="A630" t="str">
            <v>LYL</v>
          </cell>
          <cell r="B630" t="str">
            <v>202220</v>
          </cell>
          <cell r="C630">
            <v>4</v>
          </cell>
          <cell r="D630">
            <v>0</v>
          </cell>
          <cell r="E630">
            <v>0</v>
          </cell>
        </row>
        <row r="631">
          <cell r="A631" t="str">
            <v>LYL</v>
          </cell>
          <cell r="B631" t="str">
            <v>202310</v>
          </cell>
          <cell r="C631">
            <v>4</v>
          </cell>
          <cell r="D631">
            <v>0</v>
          </cell>
          <cell r="E631">
            <v>0</v>
          </cell>
        </row>
        <row r="632">
          <cell r="A632" t="str">
            <v>MED</v>
          </cell>
          <cell r="B632" t="str">
            <v>200920</v>
          </cell>
          <cell r="C632">
            <v>12</v>
          </cell>
          <cell r="D632">
            <v>5</v>
          </cell>
          <cell r="E632">
            <v>7</v>
          </cell>
        </row>
        <row r="633">
          <cell r="A633" t="str">
            <v>MED</v>
          </cell>
          <cell r="B633" t="str">
            <v>201010</v>
          </cell>
          <cell r="C633">
            <v>15</v>
          </cell>
          <cell r="D633">
            <v>4</v>
          </cell>
          <cell r="E633">
            <v>11</v>
          </cell>
        </row>
        <row r="634">
          <cell r="A634" t="str">
            <v>MED</v>
          </cell>
          <cell r="B634" t="str">
            <v>201020</v>
          </cell>
          <cell r="C634">
            <v>19</v>
          </cell>
          <cell r="D634">
            <v>5</v>
          </cell>
          <cell r="E634">
            <v>14</v>
          </cell>
        </row>
        <row r="635">
          <cell r="A635" t="str">
            <v>MED</v>
          </cell>
          <cell r="B635" t="str">
            <v>201110</v>
          </cell>
          <cell r="C635">
            <v>21</v>
          </cell>
          <cell r="D635">
            <v>7</v>
          </cell>
          <cell r="E635">
            <v>14</v>
          </cell>
        </row>
        <row r="636">
          <cell r="A636" t="str">
            <v>MED</v>
          </cell>
          <cell r="B636" t="str">
            <v>201120</v>
          </cell>
          <cell r="C636">
            <v>22</v>
          </cell>
          <cell r="D636">
            <v>5</v>
          </cell>
          <cell r="E636">
            <v>17</v>
          </cell>
        </row>
        <row r="637">
          <cell r="A637" t="str">
            <v>MED</v>
          </cell>
          <cell r="B637" t="str">
            <v>201210</v>
          </cell>
          <cell r="C637">
            <v>34</v>
          </cell>
          <cell r="D637">
            <v>12</v>
          </cell>
          <cell r="E637">
            <v>22</v>
          </cell>
        </row>
        <row r="638">
          <cell r="A638" t="str">
            <v>MED</v>
          </cell>
          <cell r="B638" t="str">
            <v>201220</v>
          </cell>
          <cell r="C638">
            <v>18</v>
          </cell>
          <cell r="D638">
            <v>6</v>
          </cell>
          <cell r="E638">
            <v>11</v>
          </cell>
        </row>
        <row r="639">
          <cell r="A639" t="str">
            <v>MED</v>
          </cell>
          <cell r="B639" t="str">
            <v>201310</v>
          </cell>
          <cell r="C639">
            <v>38</v>
          </cell>
          <cell r="D639">
            <v>13</v>
          </cell>
          <cell r="E639">
            <v>25</v>
          </cell>
        </row>
        <row r="640">
          <cell r="A640" t="str">
            <v>MED</v>
          </cell>
          <cell r="B640" t="str">
            <v>201320</v>
          </cell>
          <cell r="C640">
            <v>19</v>
          </cell>
          <cell r="D640">
            <v>6</v>
          </cell>
          <cell r="E640">
            <v>13</v>
          </cell>
        </row>
        <row r="641">
          <cell r="A641" t="str">
            <v>MED</v>
          </cell>
          <cell r="B641" t="str">
            <v>201410</v>
          </cell>
          <cell r="C641">
            <v>42</v>
          </cell>
          <cell r="D641">
            <v>6</v>
          </cell>
          <cell r="E641">
            <v>36</v>
          </cell>
        </row>
        <row r="642">
          <cell r="A642" t="str">
            <v>MED</v>
          </cell>
          <cell r="B642" t="str">
            <v>201420</v>
          </cell>
          <cell r="C642">
            <v>33</v>
          </cell>
          <cell r="D642">
            <v>8</v>
          </cell>
          <cell r="E642">
            <v>24</v>
          </cell>
        </row>
        <row r="643">
          <cell r="A643" t="str">
            <v>MED</v>
          </cell>
          <cell r="B643" t="str">
            <v>201510</v>
          </cell>
          <cell r="C643">
            <v>57</v>
          </cell>
          <cell r="D643">
            <v>15</v>
          </cell>
          <cell r="E643">
            <v>42</v>
          </cell>
        </row>
        <row r="644">
          <cell r="A644" t="str">
            <v>MED</v>
          </cell>
          <cell r="B644" t="str">
            <v>201520</v>
          </cell>
          <cell r="C644">
            <v>22</v>
          </cell>
          <cell r="D644">
            <v>8</v>
          </cell>
          <cell r="E644">
            <v>14</v>
          </cell>
        </row>
        <row r="645">
          <cell r="A645" t="str">
            <v>MED</v>
          </cell>
          <cell r="B645" t="str">
            <v>201610</v>
          </cell>
          <cell r="C645">
            <v>63</v>
          </cell>
          <cell r="D645">
            <v>12</v>
          </cell>
          <cell r="E645">
            <v>50</v>
          </cell>
        </row>
        <row r="646">
          <cell r="A646" t="str">
            <v>MED</v>
          </cell>
          <cell r="B646" t="str">
            <v>201620</v>
          </cell>
          <cell r="C646">
            <v>24</v>
          </cell>
          <cell r="D646">
            <v>3</v>
          </cell>
          <cell r="E646">
            <v>21</v>
          </cell>
        </row>
        <row r="647">
          <cell r="A647" t="str">
            <v>MED</v>
          </cell>
          <cell r="B647" t="str">
            <v>201710</v>
          </cell>
          <cell r="C647">
            <v>49</v>
          </cell>
          <cell r="D647">
            <v>8</v>
          </cell>
          <cell r="E647">
            <v>36</v>
          </cell>
        </row>
        <row r="648">
          <cell r="A648" t="str">
            <v>MED</v>
          </cell>
          <cell r="B648" t="str">
            <v>201720</v>
          </cell>
          <cell r="C648">
            <v>17</v>
          </cell>
          <cell r="D648">
            <v>5</v>
          </cell>
          <cell r="E648">
            <v>9</v>
          </cell>
        </row>
        <row r="649">
          <cell r="A649" t="str">
            <v>MED</v>
          </cell>
          <cell r="B649" t="str">
            <v>201810</v>
          </cell>
          <cell r="C649">
            <v>45</v>
          </cell>
          <cell r="D649">
            <v>7</v>
          </cell>
          <cell r="E649">
            <v>0</v>
          </cell>
        </row>
        <row r="650">
          <cell r="A650" t="str">
            <v>MED</v>
          </cell>
          <cell r="B650" t="str">
            <v>201820</v>
          </cell>
          <cell r="C650">
            <v>10</v>
          </cell>
          <cell r="D650">
            <v>2</v>
          </cell>
          <cell r="E650">
            <v>0</v>
          </cell>
        </row>
        <row r="651">
          <cell r="A651" t="str">
            <v>MED</v>
          </cell>
          <cell r="B651" t="str">
            <v>201910</v>
          </cell>
          <cell r="C651">
            <v>52</v>
          </cell>
          <cell r="D651">
            <v>6</v>
          </cell>
          <cell r="E651">
            <v>0</v>
          </cell>
        </row>
        <row r="652">
          <cell r="A652" t="str">
            <v>MED</v>
          </cell>
          <cell r="B652" t="str">
            <v>201920</v>
          </cell>
          <cell r="C652">
            <v>20</v>
          </cell>
          <cell r="D652">
            <v>3</v>
          </cell>
          <cell r="E652">
            <v>0</v>
          </cell>
        </row>
        <row r="653">
          <cell r="A653" t="str">
            <v>MED</v>
          </cell>
          <cell r="B653" t="str">
            <v>202010</v>
          </cell>
          <cell r="C653">
            <v>65</v>
          </cell>
          <cell r="D653">
            <v>3</v>
          </cell>
          <cell r="E653">
            <v>0</v>
          </cell>
        </row>
        <row r="654">
          <cell r="A654" t="str">
            <v>MED</v>
          </cell>
          <cell r="B654" t="str">
            <v>202020</v>
          </cell>
          <cell r="C654">
            <v>16</v>
          </cell>
          <cell r="D654">
            <v>2</v>
          </cell>
          <cell r="E654">
            <v>0</v>
          </cell>
        </row>
        <row r="655">
          <cell r="A655" t="str">
            <v>MED</v>
          </cell>
          <cell r="B655" t="str">
            <v>202110</v>
          </cell>
          <cell r="C655">
            <v>31</v>
          </cell>
          <cell r="D655">
            <v>4</v>
          </cell>
          <cell r="E655">
            <v>0</v>
          </cell>
        </row>
        <row r="656">
          <cell r="A656" t="str">
            <v>MED</v>
          </cell>
          <cell r="B656" t="str">
            <v>202120</v>
          </cell>
          <cell r="C656">
            <v>43</v>
          </cell>
          <cell r="D656">
            <v>3</v>
          </cell>
          <cell r="E656">
            <v>0</v>
          </cell>
        </row>
        <row r="657">
          <cell r="A657" t="str">
            <v>MED</v>
          </cell>
          <cell r="B657" t="str">
            <v>202210</v>
          </cell>
          <cell r="C657">
            <v>55</v>
          </cell>
          <cell r="D657">
            <v>1</v>
          </cell>
          <cell r="E657">
            <v>0</v>
          </cell>
        </row>
        <row r="658">
          <cell r="A658" t="str">
            <v>MED</v>
          </cell>
          <cell r="B658" t="str">
            <v>202220</v>
          </cell>
          <cell r="C658">
            <v>28</v>
          </cell>
          <cell r="D658">
            <v>3</v>
          </cell>
          <cell r="E658">
            <v>0</v>
          </cell>
        </row>
        <row r="659">
          <cell r="A659" t="str">
            <v>MED</v>
          </cell>
          <cell r="B659" t="str">
            <v>202310</v>
          </cell>
          <cell r="C659">
            <v>51</v>
          </cell>
          <cell r="D659">
            <v>2</v>
          </cell>
          <cell r="E659">
            <v>0</v>
          </cell>
        </row>
        <row r="660">
          <cell r="A660" t="str">
            <v>MIP</v>
          </cell>
          <cell r="B660" t="str">
            <v>200520</v>
          </cell>
          <cell r="C660">
            <v>20</v>
          </cell>
          <cell r="D660">
            <v>12</v>
          </cell>
          <cell r="E660">
            <v>8</v>
          </cell>
        </row>
        <row r="661">
          <cell r="A661" t="str">
            <v>MIP</v>
          </cell>
          <cell r="B661" t="str">
            <v>200610</v>
          </cell>
          <cell r="C661">
            <v>11</v>
          </cell>
          <cell r="D661">
            <v>7</v>
          </cell>
          <cell r="E661">
            <v>4</v>
          </cell>
        </row>
        <row r="662">
          <cell r="A662" t="str">
            <v>MIP</v>
          </cell>
          <cell r="B662" t="str">
            <v>200620</v>
          </cell>
          <cell r="C662">
            <v>34</v>
          </cell>
          <cell r="D662">
            <v>14</v>
          </cell>
          <cell r="E662">
            <v>20</v>
          </cell>
        </row>
        <row r="663">
          <cell r="A663" t="str">
            <v>MIP</v>
          </cell>
          <cell r="B663" t="str">
            <v>200710</v>
          </cell>
          <cell r="C663">
            <v>19</v>
          </cell>
          <cell r="D663">
            <v>5</v>
          </cell>
          <cell r="E663">
            <v>14</v>
          </cell>
        </row>
        <row r="664">
          <cell r="A664" t="str">
            <v>MIP</v>
          </cell>
          <cell r="B664" t="str">
            <v>200720</v>
          </cell>
          <cell r="C664">
            <v>23</v>
          </cell>
          <cell r="D664">
            <v>10</v>
          </cell>
          <cell r="E664">
            <v>13</v>
          </cell>
        </row>
        <row r="665">
          <cell r="A665" t="str">
            <v>MIP</v>
          </cell>
          <cell r="B665" t="str">
            <v>200810</v>
          </cell>
          <cell r="C665">
            <v>24</v>
          </cell>
          <cell r="D665">
            <v>11</v>
          </cell>
          <cell r="E665">
            <v>13</v>
          </cell>
        </row>
        <row r="666">
          <cell r="A666" t="str">
            <v>MIP</v>
          </cell>
          <cell r="B666" t="str">
            <v>200820</v>
          </cell>
          <cell r="C666">
            <v>37</v>
          </cell>
          <cell r="D666">
            <v>12</v>
          </cell>
          <cell r="E666">
            <v>25</v>
          </cell>
        </row>
        <row r="667">
          <cell r="A667" t="str">
            <v>MIP</v>
          </cell>
          <cell r="B667" t="str">
            <v>200910</v>
          </cell>
          <cell r="C667">
            <v>19</v>
          </cell>
          <cell r="D667">
            <v>8</v>
          </cell>
          <cell r="E667">
            <v>10</v>
          </cell>
        </row>
        <row r="668">
          <cell r="A668" t="str">
            <v>MIP</v>
          </cell>
          <cell r="B668" t="str">
            <v>200920</v>
          </cell>
          <cell r="C668">
            <v>30</v>
          </cell>
          <cell r="D668">
            <v>8</v>
          </cell>
          <cell r="E668">
            <v>22</v>
          </cell>
        </row>
        <row r="669">
          <cell r="A669" t="str">
            <v>MIP</v>
          </cell>
          <cell r="B669" t="str">
            <v>201010</v>
          </cell>
          <cell r="C669">
            <v>17</v>
          </cell>
          <cell r="D669">
            <v>7</v>
          </cell>
          <cell r="E669">
            <v>10</v>
          </cell>
        </row>
        <row r="670">
          <cell r="A670" t="str">
            <v>MIP</v>
          </cell>
          <cell r="B670" t="str">
            <v>201020</v>
          </cell>
          <cell r="C670">
            <v>30</v>
          </cell>
          <cell r="D670">
            <v>13</v>
          </cell>
          <cell r="E670">
            <v>17</v>
          </cell>
        </row>
        <row r="671">
          <cell r="A671" t="str">
            <v>MIP</v>
          </cell>
          <cell r="B671" t="str">
            <v>201110</v>
          </cell>
          <cell r="C671">
            <v>25</v>
          </cell>
          <cell r="D671">
            <v>10</v>
          </cell>
          <cell r="E671">
            <v>15</v>
          </cell>
        </row>
        <row r="672">
          <cell r="A672" t="str">
            <v>MIP</v>
          </cell>
          <cell r="B672" t="str">
            <v>201120</v>
          </cell>
          <cell r="C672">
            <v>36</v>
          </cell>
          <cell r="D672">
            <v>11</v>
          </cell>
          <cell r="E672">
            <v>25</v>
          </cell>
        </row>
        <row r="673">
          <cell r="A673" t="str">
            <v>MIP</v>
          </cell>
          <cell r="B673" t="str">
            <v>201210</v>
          </cell>
          <cell r="C673">
            <v>25</v>
          </cell>
          <cell r="D673">
            <v>10</v>
          </cell>
          <cell r="E673">
            <v>15</v>
          </cell>
        </row>
        <row r="674">
          <cell r="A674" t="str">
            <v>MIP</v>
          </cell>
          <cell r="B674" t="str">
            <v>201220</v>
          </cell>
          <cell r="C674">
            <v>29</v>
          </cell>
          <cell r="D674">
            <v>10</v>
          </cell>
          <cell r="E674">
            <v>19</v>
          </cell>
        </row>
        <row r="675">
          <cell r="A675" t="str">
            <v>MIP</v>
          </cell>
          <cell r="B675" t="str">
            <v>201310</v>
          </cell>
          <cell r="C675">
            <v>29</v>
          </cell>
          <cell r="D675">
            <v>11</v>
          </cell>
          <cell r="E675">
            <v>18</v>
          </cell>
        </row>
        <row r="676">
          <cell r="A676" t="str">
            <v>MIP</v>
          </cell>
          <cell r="B676" t="str">
            <v>201320</v>
          </cell>
          <cell r="C676">
            <v>33</v>
          </cell>
          <cell r="D676">
            <v>11</v>
          </cell>
          <cell r="E676">
            <v>22</v>
          </cell>
        </row>
        <row r="677">
          <cell r="A677" t="str">
            <v>MIP</v>
          </cell>
          <cell r="B677" t="str">
            <v>201410</v>
          </cell>
          <cell r="C677">
            <v>24</v>
          </cell>
          <cell r="D677">
            <v>7</v>
          </cell>
          <cell r="E677">
            <v>17</v>
          </cell>
        </row>
        <row r="678">
          <cell r="A678" t="str">
            <v>MIP</v>
          </cell>
          <cell r="B678" t="str">
            <v>201420</v>
          </cell>
          <cell r="C678">
            <v>35</v>
          </cell>
          <cell r="D678">
            <v>14</v>
          </cell>
          <cell r="E678">
            <v>21</v>
          </cell>
        </row>
        <row r="679">
          <cell r="A679" t="str">
            <v>MIP</v>
          </cell>
          <cell r="B679" t="str">
            <v>201510</v>
          </cell>
          <cell r="C679">
            <v>30</v>
          </cell>
          <cell r="D679">
            <v>11</v>
          </cell>
          <cell r="E679">
            <v>19</v>
          </cell>
        </row>
        <row r="680">
          <cell r="A680" t="str">
            <v>MIP</v>
          </cell>
          <cell r="B680" t="str">
            <v>201520</v>
          </cell>
          <cell r="C680">
            <v>35</v>
          </cell>
          <cell r="D680">
            <v>12</v>
          </cell>
          <cell r="E680">
            <v>23</v>
          </cell>
        </row>
        <row r="681">
          <cell r="A681" t="str">
            <v>MIP</v>
          </cell>
          <cell r="B681" t="str">
            <v>201610</v>
          </cell>
          <cell r="C681">
            <v>38</v>
          </cell>
          <cell r="D681">
            <v>12</v>
          </cell>
          <cell r="E681">
            <v>26</v>
          </cell>
        </row>
        <row r="682">
          <cell r="A682" t="str">
            <v>MIP</v>
          </cell>
          <cell r="B682" t="str">
            <v>201620</v>
          </cell>
          <cell r="C682">
            <v>23</v>
          </cell>
          <cell r="D682">
            <v>4</v>
          </cell>
          <cell r="E682">
            <v>18</v>
          </cell>
        </row>
        <row r="683">
          <cell r="A683" t="str">
            <v>MIP</v>
          </cell>
          <cell r="B683" t="str">
            <v>201710</v>
          </cell>
          <cell r="C683">
            <v>22</v>
          </cell>
          <cell r="D683">
            <v>5</v>
          </cell>
          <cell r="E683">
            <v>16</v>
          </cell>
        </row>
        <row r="684">
          <cell r="A684" t="str">
            <v>MIP</v>
          </cell>
          <cell r="B684" t="str">
            <v>201720</v>
          </cell>
          <cell r="C684">
            <v>24</v>
          </cell>
          <cell r="D684">
            <v>6</v>
          </cell>
          <cell r="E684">
            <v>15</v>
          </cell>
        </row>
        <row r="685">
          <cell r="A685" t="str">
            <v>MIP</v>
          </cell>
          <cell r="B685" t="str">
            <v>201810</v>
          </cell>
          <cell r="C685">
            <v>22</v>
          </cell>
          <cell r="D685">
            <v>5</v>
          </cell>
          <cell r="E685">
            <v>14</v>
          </cell>
        </row>
        <row r="686">
          <cell r="A686" t="str">
            <v>MIP</v>
          </cell>
          <cell r="B686" t="str">
            <v>201820</v>
          </cell>
          <cell r="C686">
            <v>19</v>
          </cell>
          <cell r="D686">
            <v>5</v>
          </cell>
          <cell r="E686">
            <v>12</v>
          </cell>
        </row>
        <row r="687">
          <cell r="A687" t="str">
            <v>MIP</v>
          </cell>
          <cell r="B687" t="str">
            <v>201910</v>
          </cell>
          <cell r="C687">
            <v>18</v>
          </cell>
          <cell r="D687">
            <v>5</v>
          </cell>
          <cell r="E687">
            <v>0</v>
          </cell>
        </row>
        <row r="688">
          <cell r="A688" t="str">
            <v>MIP</v>
          </cell>
          <cell r="B688" t="str">
            <v>201920</v>
          </cell>
          <cell r="C688">
            <v>24</v>
          </cell>
          <cell r="D688">
            <v>6</v>
          </cell>
          <cell r="E688">
            <v>0</v>
          </cell>
        </row>
        <row r="689">
          <cell r="A689" t="str">
            <v>MIP</v>
          </cell>
          <cell r="B689" t="str">
            <v>202010</v>
          </cell>
          <cell r="C689">
            <v>19</v>
          </cell>
          <cell r="D689">
            <v>4</v>
          </cell>
          <cell r="E689">
            <v>1</v>
          </cell>
        </row>
        <row r="690">
          <cell r="A690" t="str">
            <v>MIP</v>
          </cell>
          <cell r="B690" t="str">
            <v>202020</v>
          </cell>
          <cell r="C690">
            <v>15</v>
          </cell>
          <cell r="D690">
            <v>3</v>
          </cell>
          <cell r="E690">
            <v>1</v>
          </cell>
        </row>
        <row r="691">
          <cell r="A691" t="str">
            <v>MIP</v>
          </cell>
          <cell r="B691" t="str">
            <v>202110</v>
          </cell>
          <cell r="C691">
            <v>17</v>
          </cell>
          <cell r="D691">
            <v>1</v>
          </cell>
          <cell r="E691">
            <v>0</v>
          </cell>
        </row>
        <row r="692">
          <cell r="A692" t="str">
            <v>MIP</v>
          </cell>
          <cell r="B692" t="str">
            <v>202120</v>
          </cell>
          <cell r="C692">
            <v>13</v>
          </cell>
          <cell r="D692">
            <v>2</v>
          </cell>
          <cell r="E692">
            <v>0</v>
          </cell>
        </row>
        <row r="693">
          <cell r="A693" t="str">
            <v>MIP</v>
          </cell>
          <cell r="B693" t="str">
            <v>202210</v>
          </cell>
          <cell r="C693">
            <v>44</v>
          </cell>
          <cell r="D693">
            <v>6</v>
          </cell>
          <cell r="E693">
            <v>0</v>
          </cell>
        </row>
        <row r="694">
          <cell r="A694" t="str">
            <v>MIP</v>
          </cell>
          <cell r="B694" t="str">
            <v>202220</v>
          </cell>
          <cell r="C694">
            <v>18</v>
          </cell>
          <cell r="D694">
            <v>3</v>
          </cell>
          <cell r="E694">
            <v>0</v>
          </cell>
        </row>
        <row r="695">
          <cell r="A695" t="str">
            <v>MIP</v>
          </cell>
          <cell r="B695" t="str">
            <v>202310</v>
          </cell>
          <cell r="C695">
            <v>26</v>
          </cell>
          <cell r="D695">
            <v>1</v>
          </cell>
          <cell r="E695">
            <v>0</v>
          </cell>
        </row>
        <row r="696">
          <cell r="A696" t="str">
            <v>MUS</v>
          </cell>
          <cell r="B696" t="str">
            <v>201710</v>
          </cell>
          <cell r="C696">
            <v>19</v>
          </cell>
          <cell r="D696">
            <v>9</v>
          </cell>
          <cell r="E696">
            <v>9</v>
          </cell>
        </row>
        <row r="697">
          <cell r="A697" t="str">
            <v>MUS</v>
          </cell>
          <cell r="B697" t="str">
            <v>201720</v>
          </cell>
          <cell r="C697">
            <v>23</v>
          </cell>
          <cell r="D697">
            <v>7</v>
          </cell>
          <cell r="E697">
            <v>15</v>
          </cell>
        </row>
        <row r="698">
          <cell r="A698" t="str">
            <v>MUS</v>
          </cell>
          <cell r="B698" t="str">
            <v>201810</v>
          </cell>
          <cell r="C698">
            <v>11</v>
          </cell>
          <cell r="D698">
            <v>4</v>
          </cell>
          <cell r="E698">
            <v>6</v>
          </cell>
        </row>
        <row r="699">
          <cell r="A699" t="str">
            <v>MUS</v>
          </cell>
          <cell r="B699" t="str">
            <v>201820</v>
          </cell>
          <cell r="C699">
            <v>11</v>
          </cell>
          <cell r="D699">
            <v>6</v>
          </cell>
          <cell r="E699">
            <v>2</v>
          </cell>
        </row>
        <row r="700">
          <cell r="A700" t="str">
            <v>MUS</v>
          </cell>
          <cell r="B700" t="str">
            <v>201910</v>
          </cell>
          <cell r="C700">
            <v>14</v>
          </cell>
          <cell r="D700">
            <v>4</v>
          </cell>
          <cell r="E700">
            <v>2</v>
          </cell>
        </row>
        <row r="701">
          <cell r="A701" t="str">
            <v>MUS</v>
          </cell>
          <cell r="B701" t="str">
            <v>201920</v>
          </cell>
          <cell r="C701">
            <v>5</v>
          </cell>
          <cell r="D701">
            <v>3</v>
          </cell>
          <cell r="E701">
            <v>0</v>
          </cell>
        </row>
        <row r="702">
          <cell r="A702" t="str">
            <v>MUS</v>
          </cell>
          <cell r="B702" t="str">
            <v>202010</v>
          </cell>
          <cell r="C702">
            <v>21</v>
          </cell>
          <cell r="D702">
            <v>5</v>
          </cell>
          <cell r="E702">
            <v>0</v>
          </cell>
        </row>
        <row r="703">
          <cell r="A703" t="str">
            <v>MUS</v>
          </cell>
          <cell r="B703" t="str">
            <v>202020</v>
          </cell>
          <cell r="C703">
            <v>5</v>
          </cell>
          <cell r="D703">
            <v>0</v>
          </cell>
          <cell r="E703">
            <v>0</v>
          </cell>
        </row>
        <row r="704">
          <cell r="A704" t="str">
            <v>MUS</v>
          </cell>
          <cell r="B704" t="str">
            <v>202110</v>
          </cell>
          <cell r="C704">
            <v>9</v>
          </cell>
          <cell r="D704">
            <v>3</v>
          </cell>
          <cell r="E704">
            <v>0</v>
          </cell>
        </row>
        <row r="705">
          <cell r="A705" t="str">
            <v>MUS</v>
          </cell>
          <cell r="B705" t="str">
            <v>202120</v>
          </cell>
          <cell r="C705">
            <v>10</v>
          </cell>
          <cell r="D705">
            <v>2</v>
          </cell>
          <cell r="E705">
            <v>0</v>
          </cell>
        </row>
        <row r="706">
          <cell r="A706" t="str">
            <v>MUS</v>
          </cell>
          <cell r="B706" t="str">
            <v>202210</v>
          </cell>
          <cell r="C706">
            <v>26</v>
          </cell>
          <cell r="D706">
            <v>4</v>
          </cell>
          <cell r="E706">
            <v>0</v>
          </cell>
        </row>
        <row r="707">
          <cell r="A707" t="str">
            <v>MUS</v>
          </cell>
          <cell r="B707" t="str">
            <v>202220</v>
          </cell>
          <cell r="C707">
            <v>17</v>
          </cell>
          <cell r="D707">
            <v>3</v>
          </cell>
          <cell r="E707">
            <v>0</v>
          </cell>
        </row>
        <row r="708">
          <cell r="A708" t="str">
            <v>MUS</v>
          </cell>
          <cell r="B708" t="str">
            <v>202310</v>
          </cell>
          <cell r="C708">
            <v>33</v>
          </cell>
          <cell r="D708">
            <v>3</v>
          </cell>
          <cell r="E708">
            <v>0</v>
          </cell>
        </row>
        <row r="709">
          <cell r="A709" t="str">
            <v>PSI</v>
          </cell>
          <cell r="B709" t="str">
            <v>200620</v>
          </cell>
          <cell r="C709">
            <v>7</v>
          </cell>
          <cell r="D709">
            <v>5</v>
          </cell>
          <cell r="E709">
            <v>2</v>
          </cell>
        </row>
        <row r="710">
          <cell r="A710" t="str">
            <v>PSI</v>
          </cell>
          <cell r="B710" t="str">
            <v>200710</v>
          </cell>
          <cell r="C710">
            <v>4</v>
          </cell>
          <cell r="D710">
            <v>0</v>
          </cell>
          <cell r="E710">
            <v>4</v>
          </cell>
        </row>
        <row r="711">
          <cell r="A711" t="str">
            <v>PSI</v>
          </cell>
          <cell r="B711" t="str">
            <v>200720</v>
          </cell>
          <cell r="C711">
            <v>5</v>
          </cell>
          <cell r="D711">
            <v>2</v>
          </cell>
          <cell r="E711">
            <v>3</v>
          </cell>
        </row>
        <row r="712">
          <cell r="A712" t="str">
            <v>PSI</v>
          </cell>
          <cell r="B712" t="str">
            <v>200810</v>
          </cell>
          <cell r="C712">
            <v>3</v>
          </cell>
          <cell r="D712">
            <v>1</v>
          </cell>
          <cell r="E712">
            <v>2</v>
          </cell>
        </row>
        <row r="713">
          <cell r="A713" t="str">
            <v>PSI</v>
          </cell>
          <cell r="B713" t="str">
            <v>200820</v>
          </cell>
          <cell r="C713">
            <v>5</v>
          </cell>
          <cell r="D713">
            <v>0</v>
          </cell>
          <cell r="E713">
            <v>5</v>
          </cell>
        </row>
        <row r="714">
          <cell r="A714" t="str">
            <v>PSI</v>
          </cell>
          <cell r="B714" t="str">
            <v>200910</v>
          </cell>
          <cell r="C714">
            <v>5</v>
          </cell>
          <cell r="D714">
            <v>1</v>
          </cell>
          <cell r="E714">
            <v>4</v>
          </cell>
        </row>
        <row r="715">
          <cell r="A715" t="str">
            <v>PSI</v>
          </cell>
          <cell r="B715" t="str">
            <v>200920</v>
          </cell>
          <cell r="C715">
            <v>5</v>
          </cell>
          <cell r="D715">
            <v>0</v>
          </cell>
          <cell r="E715">
            <v>5</v>
          </cell>
        </row>
        <row r="716">
          <cell r="A716" t="str">
            <v>PSI</v>
          </cell>
          <cell r="B716" t="str">
            <v>201010</v>
          </cell>
          <cell r="C716">
            <v>3</v>
          </cell>
          <cell r="D716">
            <v>1</v>
          </cell>
          <cell r="E716">
            <v>2</v>
          </cell>
        </row>
        <row r="717">
          <cell r="A717" t="str">
            <v>PSI</v>
          </cell>
          <cell r="B717" t="str">
            <v>201020</v>
          </cell>
          <cell r="C717">
            <v>2</v>
          </cell>
          <cell r="D717">
            <v>1</v>
          </cell>
          <cell r="E717">
            <v>1</v>
          </cell>
        </row>
        <row r="718">
          <cell r="A718" t="str">
            <v>PSI</v>
          </cell>
          <cell r="B718" t="str">
            <v>201110</v>
          </cell>
          <cell r="C718">
            <v>16</v>
          </cell>
          <cell r="D718">
            <v>4</v>
          </cell>
          <cell r="E718">
            <v>11</v>
          </cell>
        </row>
        <row r="719">
          <cell r="A719" t="str">
            <v>PSI</v>
          </cell>
          <cell r="B719" t="str">
            <v>201120</v>
          </cell>
          <cell r="C719">
            <v>11</v>
          </cell>
          <cell r="D719">
            <v>4</v>
          </cell>
          <cell r="E719">
            <v>7</v>
          </cell>
        </row>
        <row r="720">
          <cell r="A720" t="str">
            <v>PSI</v>
          </cell>
          <cell r="B720" t="str">
            <v>201210</v>
          </cell>
          <cell r="C720">
            <v>17</v>
          </cell>
          <cell r="D720">
            <v>6</v>
          </cell>
          <cell r="E720">
            <v>11</v>
          </cell>
        </row>
        <row r="721">
          <cell r="A721" t="str">
            <v>PSI</v>
          </cell>
          <cell r="B721" t="str">
            <v>201220</v>
          </cell>
          <cell r="C721">
            <v>12</v>
          </cell>
          <cell r="D721">
            <v>4</v>
          </cell>
          <cell r="E721">
            <v>8</v>
          </cell>
        </row>
        <row r="722">
          <cell r="A722" t="str">
            <v>PSI</v>
          </cell>
          <cell r="B722" t="str">
            <v>201310</v>
          </cell>
          <cell r="C722">
            <v>21</v>
          </cell>
          <cell r="D722">
            <v>6</v>
          </cell>
          <cell r="E722">
            <v>14</v>
          </cell>
        </row>
        <row r="723">
          <cell r="A723" t="str">
            <v>PSI</v>
          </cell>
          <cell r="B723" t="str">
            <v>201320</v>
          </cell>
          <cell r="C723">
            <v>12</v>
          </cell>
          <cell r="D723">
            <v>3</v>
          </cell>
          <cell r="E723">
            <v>9</v>
          </cell>
        </row>
        <row r="724">
          <cell r="A724" t="str">
            <v>PSI</v>
          </cell>
          <cell r="B724" t="str">
            <v>201410</v>
          </cell>
          <cell r="C724">
            <v>19</v>
          </cell>
          <cell r="D724">
            <v>9</v>
          </cell>
          <cell r="E724">
            <v>10</v>
          </cell>
        </row>
        <row r="725">
          <cell r="A725" t="str">
            <v>PSI</v>
          </cell>
          <cell r="B725" t="str">
            <v>201420</v>
          </cell>
          <cell r="C725">
            <v>21</v>
          </cell>
          <cell r="D725">
            <v>6</v>
          </cell>
          <cell r="E725">
            <v>15</v>
          </cell>
        </row>
        <row r="726">
          <cell r="A726" t="str">
            <v>PSI</v>
          </cell>
          <cell r="B726" t="str">
            <v>201510</v>
          </cell>
          <cell r="C726">
            <v>75</v>
          </cell>
          <cell r="D726">
            <v>15</v>
          </cell>
          <cell r="E726">
            <v>59</v>
          </cell>
        </row>
        <row r="727">
          <cell r="A727" t="str">
            <v>PSI</v>
          </cell>
          <cell r="B727" t="str">
            <v>201520</v>
          </cell>
          <cell r="C727">
            <v>16</v>
          </cell>
          <cell r="D727">
            <v>6</v>
          </cell>
          <cell r="E727">
            <v>10</v>
          </cell>
        </row>
        <row r="728">
          <cell r="A728" t="str">
            <v>PSI</v>
          </cell>
          <cell r="B728" t="str">
            <v>201610</v>
          </cell>
          <cell r="C728">
            <v>56</v>
          </cell>
          <cell r="D728">
            <v>16</v>
          </cell>
          <cell r="E728">
            <v>38</v>
          </cell>
        </row>
        <row r="729">
          <cell r="A729" t="str">
            <v>PSI</v>
          </cell>
          <cell r="B729" t="str">
            <v>201620</v>
          </cell>
          <cell r="C729">
            <v>13</v>
          </cell>
          <cell r="D729">
            <v>4</v>
          </cell>
          <cell r="E729">
            <v>9</v>
          </cell>
        </row>
        <row r="730">
          <cell r="A730" t="str">
            <v>PSI</v>
          </cell>
          <cell r="B730" t="str">
            <v>201710</v>
          </cell>
          <cell r="C730">
            <v>32</v>
          </cell>
          <cell r="D730">
            <v>9</v>
          </cell>
          <cell r="E730">
            <v>20</v>
          </cell>
        </row>
        <row r="731">
          <cell r="A731" t="str">
            <v>PSI</v>
          </cell>
          <cell r="B731" t="str">
            <v>201720</v>
          </cell>
          <cell r="C731">
            <v>11</v>
          </cell>
          <cell r="D731">
            <v>3</v>
          </cell>
          <cell r="E731">
            <v>8</v>
          </cell>
        </row>
        <row r="732">
          <cell r="A732" t="str">
            <v>PSI</v>
          </cell>
          <cell r="B732" t="str">
            <v>201810</v>
          </cell>
          <cell r="C732">
            <v>27</v>
          </cell>
          <cell r="D732">
            <v>6</v>
          </cell>
          <cell r="E732">
            <v>17</v>
          </cell>
        </row>
        <row r="733">
          <cell r="A733" t="str">
            <v>PSI</v>
          </cell>
          <cell r="B733" t="str">
            <v>201820</v>
          </cell>
          <cell r="C733">
            <v>16</v>
          </cell>
          <cell r="D733">
            <v>5</v>
          </cell>
          <cell r="E733">
            <v>4</v>
          </cell>
        </row>
        <row r="734">
          <cell r="A734" t="str">
            <v>PSI</v>
          </cell>
          <cell r="B734" t="str">
            <v>201910</v>
          </cell>
          <cell r="C734">
            <v>8</v>
          </cell>
          <cell r="D734">
            <v>1</v>
          </cell>
          <cell r="E734">
            <v>0</v>
          </cell>
        </row>
        <row r="735">
          <cell r="A735" t="str">
            <v>PSI</v>
          </cell>
          <cell r="B735" t="str">
            <v>201920</v>
          </cell>
          <cell r="C735">
            <v>10</v>
          </cell>
          <cell r="D735">
            <v>3</v>
          </cell>
          <cell r="E735">
            <v>0</v>
          </cell>
        </row>
        <row r="736">
          <cell r="A736" t="str">
            <v>PSI</v>
          </cell>
          <cell r="B736" t="str">
            <v>202010</v>
          </cell>
          <cell r="C736">
            <v>25</v>
          </cell>
          <cell r="D736">
            <v>4</v>
          </cell>
          <cell r="E736">
            <v>0</v>
          </cell>
        </row>
        <row r="737">
          <cell r="A737" t="str">
            <v>PSI</v>
          </cell>
          <cell r="B737" t="str">
            <v>202020</v>
          </cell>
          <cell r="C737">
            <v>6</v>
          </cell>
          <cell r="D737">
            <v>3</v>
          </cell>
          <cell r="E737">
            <v>0</v>
          </cell>
        </row>
        <row r="738">
          <cell r="A738" t="str">
            <v>PSI</v>
          </cell>
          <cell r="B738" t="str">
            <v>202110</v>
          </cell>
          <cell r="C738">
            <v>10</v>
          </cell>
          <cell r="D738">
            <v>1</v>
          </cell>
          <cell r="E738">
            <v>0</v>
          </cell>
        </row>
        <row r="739">
          <cell r="A739" t="str">
            <v>PSI</v>
          </cell>
          <cell r="B739" t="str">
            <v>202120</v>
          </cell>
          <cell r="C739">
            <v>12</v>
          </cell>
          <cell r="D739">
            <v>2</v>
          </cell>
          <cell r="E739">
            <v>0</v>
          </cell>
        </row>
        <row r="740">
          <cell r="A740" t="str">
            <v>PSI</v>
          </cell>
          <cell r="B740" t="str">
            <v>202210</v>
          </cell>
          <cell r="C740">
            <v>27</v>
          </cell>
          <cell r="D740">
            <v>1</v>
          </cell>
          <cell r="E740">
            <v>0</v>
          </cell>
        </row>
        <row r="741">
          <cell r="A741" t="str">
            <v>PSI</v>
          </cell>
          <cell r="B741" t="str">
            <v>202220</v>
          </cell>
          <cell r="C741">
            <v>16</v>
          </cell>
          <cell r="D741">
            <v>2</v>
          </cell>
          <cell r="E741">
            <v>0</v>
          </cell>
        </row>
        <row r="742">
          <cell r="A742" t="str">
            <v>PSI</v>
          </cell>
          <cell r="B742" t="str">
            <v>202310</v>
          </cell>
          <cell r="C742">
            <v>19</v>
          </cell>
          <cell r="D742">
            <v>3</v>
          </cell>
          <cell r="E742">
            <v>0</v>
          </cell>
        </row>
        <row r="743">
          <cell r="A743" t="str">
            <v>QUF</v>
          </cell>
          <cell r="B743" t="str">
            <v>200820</v>
          </cell>
          <cell r="C743">
            <v>29</v>
          </cell>
          <cell r="D743">
            <v>5</v>
          </cell>
          <cell r="E743">
            <v>24</v>
          </cell>
        </row>
        <row r="744">
          <cell r="A744" t="str">
            <v>QUF</v>
          </cell>
          <cell r="B744" t="str">
            <v>200910</v>
          </cell>
          <cell r="C744">
            <v>18</v>
          </cell>
          <cell r="D744">
            <v>5</v>
          </cell>
          <cell r="E744">
            <v>13</v>
          </cell>
        </row>
        <row r="745">
          <cell r="A745" t="str">
            <v>QUF</v>
          </cell>
          <cell r="B745" t="str">
            <v>200920</v>
          </cell>
          <cell r="C745">
            <v>18</v>
          </cell>
          <cell r="D745">
            <v>10</v>
          </cell>
          <cell r="E745">
            <v>8</v>
          </cell>
        </row>
        <row r="746">
          <cell r="A746" t="str">
            <v>QUF</v>
          </cell>
          <cell r="B746" t="str">
            <v>201010</v>
          </cell>
          <cell r="C746">
            <v>20</v>
          </cell>
          <cell r="D746">
            <v>7</v>
          </cell>
          <cell r="E746">
            <v>13</v>
          </cell>
        </row>
        <row r="747">
          <cell r="A747" t="str">
            <v>QUF</v>
          </cell>
          <cell r="B747" t="str">
            <v>201020</v>
          </cell>
          <cell r="C747">
            <v>26</v>
          </cell>
          <cell r="D747">
            <v>9</v>
          </cell>
          <cell r="E747">
            <v>17</v>
          </cell>
        </row>
        <row r="748">
          <cell r="A748" t="str">
            <v>QUF</v>
          </cell>
          <cell r="B748" t="str">
            <v>201110</v>
          </cell>
          <cell r="C748">
            <v>34</v>
          </cell>
          <cell r="D748">
            <v>20</v>
          </cell>
          <cell r="E748">
            <v>14</v>
          </cell>
        </row>
        <row r="749">
          <cell r="A749" t="str">
            <v>QUF</v>
          </cell>
          <cell r="B749" t="str">
            <v>201120</v>
          </cell>
          <cell r="C749">
            <v>33</v>
          </cell>
          <cell r="D749">
            <v>11</v>
          </cell>
          <cell r="E749">
            <v>22</v>
          </cell>
        </row>
        <row r="750">
          <cell r="A750" t="str">
            <v>QUF</v>
          </cell>
          <cell r="B750" t="str">
            <v>201210</v>
          </cell>
          <cell r="C750">
            <v>23</v>
          </cell>
          <cell r="D750">
            <v>12</v>
          </cell>
          <cell r="E750">
            <v>11</v>
          </cell>
        </row>
        <row r="751">
          <cell r="A751" t="str">
            <v>QUF</v>
          </cell>
          <cell r="B751" t="str">
            <v>201220</v>
          </cell>
          <cell r="C751">
            <v>36</v>
          </cell>
          <cell r="D751">
            <v>25</v>
          </cell>
          <cell r="E751">
            <v>11</v>
          </cell>
        </row>
        <row r="752">
          <cell r="A752" t="str">
            <v>QUF</v>
          </cell>
          <cell r="B752" t="str">
            <v>201310</v>
          </cell>
          <cell r="C752">
            <v>35</v>
          </cell>
          <cell r="D752">
            <v>17</v>
          </cell>
          <cell r="E752">
            <v>18</v>
          </cell>
        </row>
        <row r="753">
          <cell r="A753" t="str">
            <v>QUF</v>
          </cell>
          <cell r="B753" t="str">
            <v>201320</v>
          </cell>
          <cell r="C753">
            <v>26</v>
          </cell>
          <cell r="D753">
            <v>12</v>
          </cell>
          <cell r="E753">
            <v>14</v>
          </cell>
        </row>
        <row r="754">
          <cell r="A754" t="str">
            <v>QUF</v>
          </cell>
          <cell r="B754" t="str">
            <v>201410</v>
          </cell>
          <cell r="C754">
            <v>38</v>
          </cell>
          <cell r="D754">
            <v>17</v>
          </cell>
          <cell r="E754">
            <v>21</v>
          </cell>
        </row>
        <row r="755">
          <cell r="A755" t="str">
            <v>QUF</v>
          </cell>
          <cell r="B755" t="str">
            <v>201420</v>
          </cell>
          <cell r="C755">
            <v>51</v>
          </cell>
          <cell r="D755">
            <v>29</v>
          </cell>
          <cell r="E755">
            <v>22</v>
          </cell>
        </row>
        <row r="756">
          <cell r="A756" t="str">
            <v>QUF</v>
          </cell>
          <cell r="B756" t="str">
            <v>201510</v>
          </cell>
          <cell r="C756">
            <v>59</v>
          </cell>
          <cell r="D756">
            <v>20</v>
          </cell>
          <cell r="E756">
            <v>39</v>
          </cell>
        </row>
        <row r="757">
          <cell r="A757" t="str">
            <v>QUF</v>
          </cell>
          <cell r="B757" t="str">
            <v>201520</v>
          </cell>
          <cell r="C757">
            <v>20</v>
          </cell>
          <cell r="D757">
            <v>4</v>
          </cell>
          <cell r="E757">
            <v>16</v>
          </cell>
        </row>
        <row r="758">
          <cell r="A758" t="str">
            <v>QUF</v>
          </cell>
          <cell r="B758" t="str">
            <v>201610</v>
          </cell>
          <cell r="C758">
            <v>49</v>
          </cell>
          <cell r="D758">
            <v>17</v>
          </cell>
          <cell r="E758">
            <v>32</v>
          </cell>
        </row>
        <row r="759">
          <cell r="A759" t="str">
            <v>QUF</v>
          </cell>
          <cell r="B759" t="str">
            <v>201620</v>
          </cell>
          <cell r="C759">
            <v>24</v>
          </cell>
          <cell r="D759">
            <v>12</v>
          </cell>
          <cell r="E759">
            <v>12</v>
          </cell>
        </row>
        <row r="760">
          <cell r="A760" t="str">
            <v>QUF</v>
          </cell>
          <cell r="B760" t="str">
            <v>201710</v>
          </cell>
          <cell r="C760">
            <v>59</v>
          </cell>
          <cell r="D760">
            <v>16</v>
          </cell>
          <cell r="E760">
            <v>42</v>
          </cell>
        </row>
        <row r="761">
          <cell r="A761" t="str">
            <v>QUF</v>
          </cell>
          <cell r="B761" t="str">
            <v>201720</v>
          </cell>
          <cell r="C761">
            <v>30</v>
          </cell>
          <cell r="D761">
            <v>9</v>
          </cell>
          <cell r="E761">
            <v>20</v>
          </cell>
        </row>
        <row r="762">
          <cell r="A762" t="str">
            <v>QUF</v>
          </cell>
          <cell r="B762" t="str">
            <v>201810</v>
          </cell>
          <cell r="C762">
            <v>48</v>
          </cell>
          <cell r="D762">
            <v>10</v>
          </cell>
          <cell r="E762">
            <v>35</v>
          </cell>
        </row>
        <row r="763">
          <cell r="A763" t="str">
            <v>QUF</v>
          </cell>
          <cell r="B763" t="str">
            <v>201820</v>
          </cell>
          <cell r="C763">
            <v>18</v>
          </cell>
          <cell r="D763">
            <v>6</v>
          </cell>
          <cell r="E763">
            <v>6</v>
          </cell>
        </row>
        <row r="764">
          <cell r="A764" t="str">
            <v>QUF</v>
          </cell>
          <cell r="B764" t="str">
            <v>201910</v>
          </cell>
          <cell r="C764">
            <v>32</v>
          </cell>
          <cell r="D764">
            <v>5</v>
          </cell>
          <cell r="E764">
            <v>2</v>
          </cell>
        </row>
        <row r="765">
          <cell r="A765" t="str">
            <v>QUF</v>
          </cell>
          <cell r="B765" t="str">
            <v>201920</v>
          </cell>
          <cell r="C765">
            <v>25</v>
          </cell>
          <cell r="D765">
            <v>4</v>
          </cell>
          <cell r="E765">
            <v>0</v>
          </cell>
        </row>
        <row r="766">
          <cell r="A766" t="str">
            <v>QUF</v>
          </cell>
          <cell r="B766" t="str">
            <v>202010</v>
          </cell>
          <cell r="C766">
            <v>33</v>
          </cell>
          <cell r="D766">
            <v>4</v>
          </cell>
          <cell r="E766">
            <v>0</v>
          </cell>
        </row>
        <row r="767">
          <cell r="A767" t="str">
            <v>QUF</v>
          </cell>
          <cell r="B767" t="str">
            <v>202020</v>
          </cell>
          <cell r="C767">
            <v>26</v>
          </cell>
          <cell r="D767">
            <v>6</v>
          </cell>
          <cell r="E767">
            <v>0</v>
          </cell>
        </row>
        <row r="768">
          <cell r="A768" t="str">
            <v>QUF</v>
          </cell>
          <cell r="B768" t="str">
            <v>202110</v>
          </cell>
          <cell r="C768">
            <v>42</v>
          </cell>
          <cell r="D768">
            <v>3</v>
          </cell>
          <cell r="E768">
            <v>0</v>
          </cell>
        </row>
        <row r="769">
          <cell r="A769" t="str">
            <v>QUF</v>
          </cell>
          <cell r="B769" t="str">
            <v>202120</v>
          </cell>
          <cell r="C769">
            <v>25</v>
          </cell>
          <cell r="D769">
            <v>3</v>
          </cell>
          <cell r="E769">
            <v>0</v>
          </cell>
        </row>
        <row r="770">
          <cell r="A770" t="str">
            <v>QUF</v>
          </cell>
          <cell r="B770" t="str">
            <v>202210</v>
          </cell>
          <cell r="C770">
            <v>49</v>
          </cell>
          <cell r="D770">
            <v>7</v>
          </cell>
          <cell r="E770">
            <v>0</v>
          </cell>
        </row>
        <row r="771">
          <cell r="A771" t="str">
            <v>QUF</v>
          </cell>
          <cell r="B771" t="str">
            <v>202220</v>
          </cell>
          <cell r="C771">
            <v>31</v>
          </cell>
          <cell r="D771">
            <v>3</v>
          </cell>
          <cell r="E771">
            <v>0</v>
          </cell>
        </row>
        <row r="772">
          <cell r="A772" t="str">
            <v>QUF</v>
          </cell>
          <cell r="B772" t="str">
            <v>202310</v>
          </cell>
          <cell r="C772">
            <v>41</v>
          </cell>
          <cell r="D772">
            <v>2</v>
          </cell>
          <cell r="E772">
            <v>0</v>
          </cell>
        </row>
        <row r="773">
          <cell r="A773" t="str">
            <v>QUI</v>
          </cell>
          <cell r="B773" t="str">
            <v>200820</v>
          </cell>
          <cell r="C773">
            <v>2</v>
          </cell>
          <cell r="D773">
            <v>2</v>
          </cell>
          <cell r="E773">
            <v>0</v>
          </cell>
        </row>
        <row r="774">
          <cell r="A774" t="str">
            <v>QUI</v>
          </cell>
          <cell r="B774" t="str">
            <v>200910</v>
          </cell>
          <cell r="C774">
            <v>5</v>
          </cell>
          <cell r="D774">
            <v>4</v>
          </cell>
          <cell r="E774">
            <v>1</v>
          </cell>
        </row>
        <row r="775">
          <cell r="A775" t="str">
            <v>QUI</v>
          </cell>
          <cell r="B775" t="str">
            <v>200920</v>
          </cell>
          <cell r="C775">
            <v>2</v>
          </cell>
          <cell r="D775">
            <v>1</v>
          </cell>
          <cell r="E775">
            <v>1</v>
          </cell>
        </row>
        <row r="776">
          <cell r="A776" t="str">
            <v>QUI</v>
          </cell>
          <cell r="B776" t="str">
            <v>201020</v>
          </cell>
          <cell r="C776">
            <v>2</v>
          </cell>
          <cell r="D776">
            <v>0</v>
          </cell>
          <cell r="E776">
            <v>2</v>
          </cell>
        </row>
        <row r="777">
          <cell r="A777" t="str">
            <v>QUI</v>
          </cell>
          <cell r="B777" t="str">
            <v>201110</v>
          </cell>
          <cell r="C777">
            <v>4</v>
          </cell>
          <cell r="D777">
            <v>3</v>
          </cell>
          <cell r="E777">
            <v>1</v>
          </cell>
        </row>
        <row r="778">
          <cell r="A778" t="str">
            <v>QUI</v>
          </cell>
          <cell r="B778" t="str">
            <v>201120</v>
          </cell>
          <cell r="C778">
            <v>6</v>
          </cell>
          <cell r="D778">
            <v>6</v>
          </cell>
          <cell r="E778">
            <v>0</v>
          </cell>
        </row>
        <row r="779">
          <cell r="A779" t="str">
            <v>QUI</v>
          </cell>
          <cell r="B779" t="str">
            <v>201210</v>
          </cell>
          <cell r="C779">
            <v>12</v>
          </cell>
          <cell r="D779">
            <v>9</v>
          </cell>
          <cell r="E779">
            <v>3</v>
          </cell>
        </row>
        <row r="780">
          <cell r="A780" t="str">
            <v>QUI</v>
          </cell>
          <cell r="B780" t="str">
            <v>201220</v>
          </cell>
          <cell r="C780">
            <v>7</v>
          </cell>
          <cell r="D780">
            <v>3</v>
          </cell>
          <cell r="E780">
            <v>4</v>
          </cell>
        </row>
        <row r="781">
          <cell r="A781" t="str">
            <v>QUI</v>
          </cell>
          <cell r="B781" t="str">
            <v>201310</v>
          </cell>
          <cell r="C781">
            <v>7</v>
          </cell>
          <cell r="D781">
            <v>4</v>
          </cell>
          <cell r="E781">
            <v>3</v>
          </cell>
        </row>
        <row r="782">
          <cell r="A782" t="str">
            <v>QUI</v>
          </cell>
          <cell r="B782" t="str">
            <v>201320</v>
          </cell>
          <cell r="C782">
            <v>13</v>
          </cell>
          <cell r="D782">
            <v>8</v>
          </cell>
          <cell r="E782">
            <v>5</v>
          </cell>
        </row>
        <row r="783">
          <cell r="A783" t="str">
            <v>QUI</v>
          </cell>
          <cell r="B783" t="str">
            <v>201410</v>
          </cell>
          <cell r="C783">
            <v>5</v>
          </cell>
          <cell r="D783">
            <v>3</v>
          </cell>
          <cell r="E783">
            <v>2</v>
          </cell>
        </row>
        <row r="784">
          <cell r="A784" t="str">
            <v>QUI</v>
          </cell>
          <cell r="B784" t="str">
            <v>201420</v>
          </cell>
          <cell r="C784">
            <v>9</v>
          </cell>
          <cell r="D784">
            <v>4</v>
          </cell>
          <cell r="E784">
            <v>5</v>
          </cell>
        </row>
        <row r="785">
          <cell r="A785" t="str">
            <v>QUI</v>
          </cell>
          <cell r="B785" t="str">
            <v>201510</v>
          </cell>
          <cell r="C785">
            <v>25</v>
          </cell>
          <cell r="D785">
            <v>10</v>
          </cell>
          <cell r="E785">
            <v>15</v>
          </cell>
        </row>
        <row r="786">
          <cell r="A786" t="str">
            <v>QUI</v>
          </cell>
          <cell r="B786" t="str">
            <v>201520</v>
          </cell>
          <cell r="C786">
            <v>3</v>
          </cell>
          <cell r="D786">
            <v>2</v>
          </cell>
          <cell r="E786">
            <v>1</v>
          </cell>
        </row>
        <row r="787">
          <cell r="A787" t="str">
            <v>QUI</v>
          </cell>
          <cell r="B787" t="str">
            <v>201610</v>
          </cell>
          <cell r="C787">
            <v>16</v>
          </cell>
          <cell r="D787">
            <v>6</v>
          </cell>
          <cell r="E787">
            <v>9</v>
          </cell>
        </row>
        <row r="788">
          <cell r="A788" t="str">
            <v>QUI</v>
          </cell>
          <cell r="B788" t="str">
            <v>201620</v>
          </cell>
          <cell r="C788">
            <v>5</v>
          </cell>
          <cell r="D788">
            <v>3</v>
          </cell>
          <cell r="E788">
            <v>2</v>
          </cell>
        </row>
        <row r="789">
          <cell r="A789" t="str">
            <v>QUI</v>
          </cell>
          <cell r="B789" t="str">
            <v>201710</v>
          </cell>
          <cell r="C789">
            <v>16</v>
          </cell>
          <cell r="D789">
            <v>5</v>
          </cell>
          <cell r="E789">
            <v>10</v>
          </cell>
        </row>
        <row r="790">
          <cell r="A790" t="str">
            <v>QUI</v>
          </cell>
          <cell r="B790" t="str">
            <v>201720</v>
          </cell>
          <cell r="C790">
            <v>5</v>
          </cell>
          <cell r="D790">
            <v>1</v>
          </cell>
          <cell r="E790">
            <v>3</v>
          </cell>
        </row>
        <row r="791">
          <cell r="A791" t="str">
            <v>QUI</v>
          </cell>
          <cell r="B791" t="str">
            <v>201810</v>
          </cell>
          <cell r="C791">
            <v>10</v>
          </cell>
          <cell r="D791">
            <v>1</v>
          </cell>
          <cell r="E791">
            <v>6</v>
          </cell>
        </row>
        <row r="792">
          <cell r="A792" t="str">
            <v>QUI</v>
          </cell>
          <cell r="B792" t="str">
            <v>201820</v>
          </cell>
          <cell r="C792">
            <v>4</v>
          </cell>
          <cell r="D792">
            <v>1</v>
          </cell>
          <cell r="E792">
            <v>2</v>
          </cell>
        </row>
        <row r="793">
          <cell r="A793" t="str">
            <v>QUI</v>
          </cell>
          <cell r="B793" t="str">
            <v>201910</v>
          </cell>
          <cell r="C793">
            <v>1</v>
          </cell>
          <cell r="D793">
            <v>0</v>
          </cell>
          <cell r="E793">
            <v>0</v>
          </cell>
        </row>
        <row r="794">
          <cell r="A794" t="str">
            <v>QUI</v>
          </cell>
          <cell r="B794" t="str">
            <v>201920</v>
          </cell>
          <cell r="C794">
            <v>1</v>
          </cell>
          <cell r="D794">
            <v>1</v>
          </cell>
          <cell r="E794">
            <v>0</v>
          </cell>
        </row>
        <row r="795">
          <cell r="A795" t="str">
            <v>QUI</v>
          </cell>
          <cell r="B795" t="str">
            <v>202010</v>
          </cell>
          <cell r="C795">
            <v>14</v>
          </cell>
          <cell r="D795">
            <v>6</v>
          </cell>
          <cell r="E795">
            <v>0</v>
          </cell>
        </row>
        <row r="796">
          <cell r="A796" t="str">
            <v>QUI</v>
          </cell>
          <cell r="B796" t="str">
            <v>202020</v>
          </cell>
          <cell r="C796">
            <v>3</v>
          </cell>
          <cell r="D796">
            <v>1</v>
          </cell>
          <cell r="E796">
            <v>0</v>
          </cell>
        </row>
        <row r="797">
          <cell r="A797" t="str">
            <v>QUI</v>
          </cell>
          <cell r="B797" t="str">
            <v>202110</v>
          </cell>
          <cell r="C797">
            <v>7</v>
          </cell>
          <cell r="D797">
            <v>2</v>
          </cell>
          <cell r="E797">
            <v>0</v>
          </cell>
        </row>
        <row r="798">
          <cell r="A798" t="str">
            <v>QUI</v>
          </cell>
          <cell r="B798" t="str">
            <v>202120</v>
          </cell>
          <cell r="C798">
            <v>6</v>
          </cell>
          <cell r="D798">
            <v>3</v>
          </cell>
          <cell r="E798">
            <v>0</v>
          </cell>
        </row>
        <row r="799">
          <cell r="A799" t="str">
            <v>QUI</v>
          </cell>
          <cell r="B799" t="str">
            <v>202210</v>
          </cell>
          <cell r="C799">
            <v>9</v>
          </cell>
          <cell r="D799">
            <v>1</v>
          </cell>
          <cell r="E799">
            <v>0</v>
          </cell>
        </row>
        <row r="800">
          <cell r="A800" t="str">
            <v>QUI</v>
          </cell>
          <cell r="B800" t="str">
            <v>202220</v>
          </cell>
          <cell r="C800">
            <v>3</v>
          </cell>
          <cell r="D800">
            <v>0</v>
          </cell>
          <cell r="E800">
            <v>0</v>
          </cell>
        </row>
        <row r="801">
          <cell r="A801" t="str">
            <v>QUI</v>
          </cell>
          <cell r="B801" t="str">
            <v>202310</v>
          </cell>
          <cell r="C801">
            <v>7</v>
          </cell>
          <cell r="D801">
            <v>2</v>
          </cell>
          <cell r="E801">
            <v>0</v>
          </cell>
        </row>
        <row r="802">
          <cell r="A802" t="str">
            <v>SIS</v>
          </cell>
          <cell r="B802" t="str">
            <v>198610</v>
          </cell>
          <cell r="C802">
            <v>1</v>
          </cell>
          <cell r="D802">
            <v>1</v>
          </cell>
          <cell r="E802">
            <v>0</v>
          </cell>
        </row>
        <row r="803">
          <cell r="A803" t="str">
            <v>SIS</v>
          </cell>
          <cell r="B803" t="str">
            <v>199020</v>
          </cell>
          <cell r="C803">
            <v>1</v>
          </cell>
          <cell r="D803">
            <v>1</v>
          </cell>
          <cell r="E803">
            <v>0</v>
          </cell>
        </row>
        <row r="804">
          <cell r="A804" t="str">
            <v>SIS</v>
          </cell>
          <cell r="B804" t="str">
            <v>199320</v>
          </cell>
          <cell r="C804">
            <v>1</v>
          </cell>
          <cell r="D804">
            <v>1</v>
          </cell>
          <cell r="E804">
            <v>0</v>
          </cell>
        </row>
        <row r="805">
          <cell r="A805" t="str">
            <v>SIS</v>
          </cell>
          <cell r="B805" t="str">
            <v>199410</v>
          </cell>
          <cell r="C805">
            <v>1</v>
          </cell>
          <cell r="D805">
            <v>1</v>
          </cell>
          <cell r="E805">
            <v>0</v>
          </cell>
        </row>
        <row r="806">
          <cell r="A806" t="str">
            <v>SIS</v>
          </cell>
          <cell r="B806" t="str">
            <v>199420</v>
          </cell>
          <cell r="C806">
            <v>2</v>
          </cell>
          <cell r="D806">
            <v>2</v>
          </cell>
          <cell r="E806">
            <v>0</v>
          </cell>
        </row>
        <row r="807">
          <cell r="A807" t="str">
            <v>SIS</v>
          </cell>
          <cell r="B807" t="str">
            <v>199510</v>
          </cell>
          <cell r="C807">
            <v>2</v>
          </cell>
          <cell r="D807">
            <v>2</v>
          </cell>
          <cell r="E807">
            <v>0</v>
          </cell>
        </row>
        <row r="808">
          <cell r="A808" t="str">
            <v>SIS</v>
          </cell>
          <cell r="B808" t="str">
            <v>199520</v>
          </cell>
          <cell r="C808">
            <v>11</v>
          </cell>
          <cell r="D808">
            <v>2</v>
          </cell>
          <cell r="E808">
            <v>9</v>
          </cell>
        </row>
        <row r="809">
          <cell r="A809" t="str">
            <v>SIS</v>
          </cell>
          <cell r="B809" t="str">
            <v>199610</v>
          </cell>
          <cell r="C809">
            <v>1</v>
          </cell>
          <cell r="D809">
            <v>0</v>
          </cell>
          <cell r="E809">
            <v>1</v>
          </cell>
        </row>
        <row r="810">
          <cell r="A810" t="str">
            <v>SIS</v>
          </cell>
          <cell r="B810" t="str">
            <v>199620</v>
          </cell>
          <cell r="C810">
            <v>19</v>
          </cell>
          <cell r="D810">
            <v>11</v>
          </cell>
          <cell r="E810">
            <v>8</v>
          </cell>
        </row>
        <row r="811">
          <cell r="A811" t="str">
            <v>SIS</v>
          </cell>
          <cell r="B811" t="str">
            <v>199710</v>
          </cell>
          <cell r="C811">
            <v>6</v>
          </cell>
          <cell r="D811">
            <v>3</v>
          </cell>
          <cell r="E811">
            <v>3</v>
          </cell>
        </row>
        <row r="812">
          <cell r="A812" t="str">
            <v>SIS</v>
          </cell>
          <cell r="B812" t="str">
            <v>199720</v>
          </cell>
          <cell r="C812">
            <v>14</v>
          </cell>
          <cell r="D812">
            <v>8</v>
          </cell>
          <cell r="E812">
            <v>6</v>
          </cell>
        </row>
        <row r="813">
          <cell r="A813" t="str">
            <v>SIS</v>
          </cell>
          <cell r="B813" t="str">
            <v>199810</v>
          </cell>
          <cell r="C813">
            <v>12</v>
          </cell>
          <cell r="D813">
            <v>7</v>
          </cell>
          <cell r="E813">
            <v>5</v>
          </cell>
        </row>
        <row r="814">
          <cell r="A814" t="str">
            <v>SIS</v>
          </cell>
          <cell r="B814" t="str">
            <v>199820</v>
          </cell>
          <cell r="C814">
            <v>15</v>
          </cell>
          <cell r="D814">
            <v>8</v>
          </cell>
          <cell r="E814">
            <v>7</v>
          </cell>
        </row>
        <row r="815">
          <cell r="A815" t="str">
            <v>SIS</v>
          </cell>
          <cell r="B815" t="str">
            <v>199910</v>
          </cell>
          <cell r="C815">
            <v>11</v>
          </cell>
          <cell r="D815">
            <v>8</v>
          </cell>
          <cell r="E815">
            <v>3</v>
          </cell>
        </row>
        <row r="816">
          <cell r="A816" t="str">
            <v>SIS</v>
          </cell>
          <cell r="B816" t="str">
            <v>199920</v>
          </cell>
          <cell r="C816">
            <v>9</v>
          </cell>
          <cell r="D816">
            <v>5</v>
          </cell>
          <cell r="E816">
            <v>4</v>
          </cell>
        </row>
        <row r="817">
          <cell r="A817" t="str">
            <v>SIS</v>
          </cell>
          <cell r="B817" t="str">
            <v>200010</v>
          </cell>
          <cell r="C817">
            <v>6</v>
          </cell>
          <cell r="D817">
            <v>6</v>
          </cell>
          <cell r="E817">
            <v>0</v>
          </cell>
        </row>
        <row r="818">
          <cell r="A818" t="str">
            <v>SIS</v>
          </cell>
          <cell r="B818" t="str">
            <v>200020</v>
          </cell>
          <cell r="C818">
            <v>11</v>
          </cell>
          <cell r="D818">
            <v>9</v>
          </cell>
          <cell r="E818">
            <v>2</v>
          </cell>
        </row>
        <row r="819">
          <cell r="A819" t="str">
            <v>SIS</v>
          </cell>
          <cell r="B819" t="str">
            <v>200110</v>
          </cell>
          <cell r="C819">
            <v>2</v>
          </cell>
          <cell r="D819">
            <v>2</v>
          </cell>
          <cell r="E819">
            <v>0</v>
          </cell>
        </row>
        <row r="820">
          <cell r="A820" t="str">
            <v>SIS</v>
          </cell>
          <cell r="B820" t="str">
            <v>200120</v>
          </cell>
          <cell r="C820">
            <v>19</v>
          </cell>
          <cell r="D820">
            <v>11</v>
          </cell>
          <cell r="E820">
            <v>8</v>
          </cell>
        </row>
        <row r="821">
          <cell r="A821" t="str">
            <v>SIS</v>
          </cell>
          <cell r="B821" t="str">
            <v>200210</v>
          </cell>
          <cell r="C821">
            <v>9</v>
          </cell>
          <cell r="D821">
            <v>7</v>
          </cell>
          <cell r="E821">
            <v>2</v>
          </cell>
        </row>
        <row r="822">
          <cell r="A822" t="str">
            <v>SIS</v>
          </cell>
          <cell r="B822" t="str">
            <v>200220</v>
          </cell>
          <cell r="C822">
            <v>22</v>
          </cell>
          <cell r="D822">
            <v>14</v>
          </cell>
          <cell r="E822">
            <v>8</v>
          </cell>
        </row>
        <row r="823">
          <cell r="A823" t="str">
            <v>SIS</v>
          </cell>
          <cell r="B823" t="str">
            <v>200310</v>
          </cell>
          <cell r="C823">
            <v>5</v>
          </cell>
          <cell r="D823">
            <v>2</v>
          </cell>
          <cell r="E823">
            <v>3</v>
          </cell>
        </row>
        <row r="824">
          <cell r="A824" t="str">
            <v>SIS</v>
          </cell>
          <cell r="B824" t="str">
            <v>200320</v>
          </cell>
          <cell r="C824">
            <v>22</v>
          </cell>
          <cell r="D824">
            <v>14</v>
          </cell>
          <cell r="E824">
            <v>8</v>
          </cell>
        </row>
        <row r="825">
          <cell r="A825" t="str">
            <v>SIS</v>
          </cell>
          <cell r="B825" t="str">
            <v>200410</v>
          </cell>
          <cell r="C825">
            <v>6</v>
          </cell>
          <cell r="D825">
            <v>2</v>
          </cell>
          <cell r="E825">
            <v>4</v>
          </cell>
        </row>
        <row r="826">
          <cell r="A826" t="str">
            <v>SIS</v>
          </cell>
          <cell r="B826" t="str">
            <v>200420</v>
          </cell>
          <cell r="C826">
            <v>16</v>
          </cell>
          <cell r="D826">
            <v>10</v>
          </cell>
          <cell r="E826">
            <v>6</v>
          </cell>
        </row>
        <row r="827">
          <cell r="A827" t="str">
            <v>SIS</v>
          </cell>
          <cell r="B827" t="str">
            <v>200510</v>
          </cell>
          <cell r="C827">
            <v>6</v>
          </cell>
          <cell r="D827">
            <v>5</v>
          </cell>
          <cell r="E827">
            <v>1</v>
          </cell>
        </row>
        <row r="828">
          <cell r="A828" t="str">
            <v>SIS</v>
          </cell>
          <cell r="B828" t="str">
            <v>200520</v>
          </cell>
          <cell r="C828">
            <v>18</v>
          </cell>
          <cell r="D828">
            <v>11</v>
          </cell>
          <cell r="E828">
            <v>7</v>
          </cell>
        </row>
        <row r="829">
          <cell r="A829" t="str">
            <v>SIS</v>
          </cell>
          <cell r="B829" t="str">
            <v>200610</v>
          </cell>
          <cell r="C829">
            <v>4</v>
          </cell>
          <cell r="D829">
            <v>2</v>
          </cell>
          <cell r="E829">
            <v>2</v>
          </cell>
        </row>
        <row r="830">
          <cell r="A830" t="str">
            <v>SIS</v>
          </cell>
          <cell r="B830" t="str">
            <v>200620</v>
          </cell>
          <cell r="C830">
            <v>25</v>
          </cell>
          <cell r="D830">
            <v>14</v>
          </cell>
          <cell r="E830">
            <v>11</v>
          </cell>
        </row>
        <row r="831">
          <cell r="A831" t="str">
            <v>SIS</v>
          </cell>
          <cell r="B831" t="str">
            <v>200710</v>
          </cell>
          <cell r="C831">
            <v>16</v>
          </cell>
          <cell r="D831">
            <v>10</v>
          </cell>
          <cell r="E831">
            <v>6</v>
          </cell>
        </row>
        <row r="832">
          <cell r="A832" t="str">
            <v>SIS</v>
          </cell>
          <cell r="B832" t="str">
            <v>200720</v>
          </cell>
          <cell r="C832">
            <v>25</v>
          </cell>
          <cell r="D832">
            <v>16</v>
          </cell>
          <cell r="E832">
            <v>9</v>
          </cell>
        </row>
        <row r="833">
          <cell r="A833" t="str">
            <v>SIS</v>
          </cell>
          <cell r="B833" t="str">
            <v>200810</v>
          </cell>
          <cell r="C833">
            <v>13</v>
          </cell>
          <cell r="D833">
            <v>9</v>
          </cell>
          <cell r="E833">
            <v>4</v>
          </cell>
        </row>
        <row r="834">
          <cell r="A834" t="str">
            <v>SIS</v>
          </cell>
          <cell r="B834" t="str">
            <v>200820</v>
          </cell>
          <cell r="C834">
            <v>16</v>
          </cell>
          <cell r="D834">
            <v>6</v>
          </cell>
          <cell r="E834">
            <v>10</v>
          </cell>
        </row>
        <row r="835">
          <cell r="A835" t="str">
            <v>SIS</v>
          </cell>
          <cell r="B835" t="str">
            <v>200910</v>
          </cell>
          <cell r="C835">
            <v>9</v>
          </cell>
          <cell r="D835">
            <v>4</v>
          </cell>
          <cell r="E835">
            <v>5</v>
          </cell>
        </row>
        <row r="836">
          <cell r="A836" t="str">
            <v>SIS</v>
          </cell>
          <cell r="B836" t="str">
            <v>200920</v>
          </cell>
          <cell r="C836">
            <v>21</v>
          </cell>
          <cell r="D836">
            <v>12</v>
          </cell>
          <cell r="E836">
            <v>9</v>
          </cell>
        </row>
        <row r="837">
          <cell r="A837" t="str">
            <v>SIS</v>
          </cell>
          <cell r="B837" t="str">
            <v>201010</v>
          </cell>
          <cell r="C837">
            <v>11</v>
          </cell>
          <cell r="D837">
            <v>7</v>
          </cell>
          <cell r="E837">
            <v>4</v>
          </cell>
        </row>
        <row r="838">
          <cell r="A838" t="str">
            <v>SIS</v>
          </cell>
          <cell r="B838" t="str">
            <v>201020</v>
          </cell>
          <cell r="C838">
            <v>12</v>
          </cell>
          <cell r="D838">
            <v>6</v>
          </cell>
          <cell r="E838">
            <v>6</v>
          </cell>
        </row>
        <row r="839">
          <cell r="A839" t="str">
            <v>SIS</v>
          </cell>
          <cell r="B839" t="str">
            <v>201110</v>
          </cell>
          <cell r="C839">
            <v>11</v>
          </cell>
          <cell r="D839">
            <v>6</v>
          </cell>
          <cell r="E839">
            <v>5</v>
          </cell>
        </row>
        <row r="840">
          <cell r="A840" t="str">
            <v>SIS</v>
          </cell>
          <cell r="B840" t="str">
            <v>201120</v>
          </cell>
          <cell r="C840">
            <v>14</v>
          </cell>
          <cell r="D840">
            <v>9</v>
          </cell>
          <cell r="E840">
            <v>5</v>
          </cell>
        </row>
        <row r="841">
          <cell r="A841" t="str">
            <v>SIS</v>
          </cell>
          <cell r="B841" t="str">
            <v>201210</v>
          </cell>
          <cell r="C841">
            <v>16</v>
          </cell>
          <cell r="D841">
            <v>11</v>
          </cell>
          <cell r="E841">
            <v>5</v>
          </cell>
        </row>
        <row r="842">
          <cell r="A842" t="str">
            <v>SIS</v>
          </cell>
          <cell r="B842" t="str">
            <v>201220</v>
          </cell>
          <cell r="C842">
            <v>9</v>
          </cell>
          <cell r="D842">
            <v>5</v>
          </cell>
          <cell r="E842">
            <v>4</v>
          </cell>
        </row>
        <row r="843">
          <cell r="A843" t="str">
            <v>SIS</v>
          </cell>
          <cell r="B843" t="str">
            <v>201310</v>
          </cell>
          <cell r="C843">
            <v>15</v>
          </cell>
          <cell r="D843">
            <v>7</v>
          </cell>
          <cell r="E843">
            <v>8</v>
          </cell>
        </row>
        <row r="844">
          <cell r="A844" t="str">
            <v>SIS</v>
          </cell>
          <cell r="B844" t="str">
            <v>201320</v>
          </cell>
          <cell r="C844">
            <v>9</v>
          </cell>
          <cell r="D844">
            <v>4</v>
          </cell>
          <cell r="E844">
            <v>5</v>
          </cell>
        </row>
        <row r="845">
          <cell r="A845" t="str">
            <v>SIS</v>
          </cell>
          <cell r="B845" t="str">
            <v>201410</v>
          </cell>
          <cell r="C845">
            <v>16</v>
          </cell>
          <cell r="D845">
            <v>10</v>
          </cell>
          <cell r="E845">
            <v>6</v>
          </cell>
        </row>
        <row r="846">
          <cell r="A846" t="str">
            <v>SIS</v>
          </cell>
          <cell r="B846" t="str">
            <v>201420</v>
          </cell>
          <cell r="C846">
            <v>18</v>
          </cell>
          <cell r="D846">
            <v>12</v>
          </cell>
          <cell r="E846">
            <v>6</v>
          </cell>
        </row>
        <row r="847">
          <cell r="A847" t="str">
            <v>SIS</v>
          </cell>
          <cell r="B847" t="str">
            <v>201510</v>
          </cell>
          <cell r="C847">
            <v>35</v>
          </cell>
          <cell r="D847">
            <v>18</v>
          </cell>
          <cell r="E847">
            <v>17</v>
          </cell>
        </row>
        <row r="848">
          <cell r="A848" t="str">
            <v>SIS</v>
          </cell>
          <cell r="B848" t="str">
            <v>201520</v>
          </cell>
          <cell r="C848">
            <v>14</v>
          </cell>
          <cell r="D848">
            <v>4</v>
          </cell>
          <cell r="E848">
            <v>10</v>
          </cell>
        </row>
        <row r="849">
          <cell r="A849" t="str">
            <v>SIS</v>
          </cell>
          <cell r="B849" t="str">
            <v>201610</v>
          </cell>
          <cell r="C849">
            <v>53</v>
          </cell>
          <cell r="D849">
            <v>26</v>
          </cell>
          <cell r="E849">
            <v>26</v>
          </cell>
        </row>
        <row r="850">
          <cell r="A850" t="str">
            <v>SIS</v>
          </cell>
          <cell r="B850" t="str">
            <v>201620</v>
          </cell>
          <cell r="C850">
            <v>34</v>
          </cell>
          <cell r="D850">
            <v>20</v>
          </cell>
          <cell r="E850">
            <v>14</v>
          </cell>
        </row>
        <row r="851">
          <cell r="A851" t="str">
            <v>SIS</v>
          </cell>
          <cell r="B851" t="str">
            <v>201710</v>
          </cell>
          <cell r="C851">
            <v>67</v>
          </cell>
          <cell r="D851">
            <v>20</v>
          </cell>
          <cell r="E851">
            <v>45</v>
          </cell>
        </row>
        <row r="852">
          <cell r="A852" t="str">
            <v>SIS</v>
          </cell>
          <cell r="B852" t="str">
            <v>201720</v>
          </cell>
          <cell r="C852">
            <v>14</v>
          </cell>
          <cell r="D852">
            <v>4</v>
          </cell>
          <cell r="E852">
            <v>9</v>
          </cell>
        </row>
        <row r="853">
          <cell r="A853" t="str">
            <v>SIS</v>
          </cell>
          <cell r="B853" t="str">
            <v>201810</v>
          </cell>
          <cell r="C853">
            <v>33</v>
          </cell>
          <cell r="D853">
            <v>11</v>
          </cell>
          <cell r="E853">
            <v>17</v>
          </cell>
        </row>
        <row r="854">
          <cell r="A854" t="str">
            <v>SIS</v>
          </cell>
          <cell r="B854" t="str">
            <v>201820</v>
          </cell>
          <cell r="C854">
            <v>20</v>
          </cell>
          <cell r="D854">
            <v>6</v>
          </cell>
          <cell r="E854">
            <v>7</v>
          </cell>
        </row>
        <row r="855">
          <cell r="A855" t="str">
            <v>SIS</v>
          </cell>
          <cell r="B855" t="str">
            <v>201910</v>
          </cell>
          <cell r="C855">
            <v>20</v>
          </cell>
          <cell r="D855">
            <v>5</v>
          </cell>
          <cell r="E855">
            <v>1</v>
          </cell>
        </row>
        <row r="856">
          <cell r="A856" t="str">
            <v>SIS</v>
          </cell>
          <cell r="B856" t="str">
            <v>201920</v>
          </cell>
          <cell r="C856">
            <v>17</v>
          </cell>
          <cell r="D856">
            <v>7</v>
          </cell>
          <cell r="E856">
            <v>0</v>
          </cell>
        </row>
        <row r="857">
          <cell r="A857" t="str">
            <v>SIS</v>
          </cell>
          <cell r="B857" t="str">
            <v>202010</v>
          </cell>
          <cell r="C857">
            <v>40</v>
          </cell>
          <cell r="D857">
            <v>3</v>
          </cell>
          <cell r="E857">
            <v>0</v>
          </cell>
        </row>
        <row r="858">
          <cell r="A858" t="str">
            <v>SIS</v>
          </cell>
          <cell r="B858" t="str">
            <v>202020</v>
          </cell>
          <cell r="C858">
            <v>14</v>
          </cell>
          <cell r="D858">
            <v>2</v>
          </cell>
          <cell r="E858">
            <v>2</v>
          </cell>
        </row>
        <row r="859">
          <cell r="A859" t="str">
            <v>SIS</v>
          </cell>
          <cell r="B859" t="str">
            <v>202110</v>
          </cell>
          <cell r="C859">
            <v>26</v>
          </cell>
          <cell r="D859">
            <v>4</v>
          </cell>
          <cell r="E859">
            <v>0</v>
          </cell>
        </row>
        <row r="860">
          <cell r="A860" t="str">
            <v>SIS</v>
          </cell>
          <cell r="B860" t="str">
            <v>202120</v>
          </cell>
          <cell r="C860">
            <v>25</v>
          </cell>
          <cell r="D860">
            <v>5</v>
          </cell>
          <cell r="E860">
            <v>0</v>
          </cell>
        </row>
        <row r="861">
          <cell r="A861" t="str">
            <v>SIS</v>
          </cell>
          <cell r="B861" t="str">
            <v>202210</v>
          </cell>
          <cell r="C861">
            <v>58</v>
          </cell>
          <cell r="D861">
            <v>6</v>
          </cell>
          <cell r="E861">
            <v>0</v>
          </cell>
        </row>
        <row r="862">
          <cell r="A862" t="str">
            <v>SIS</v>
          </cell>
          <cell r="B862" t="str">
            <v>202220</v>
          </cell>
          <cell r="C862">
            <v>46</v>
          </cell>
          <cell r="D862">
            <v>3</v>
          </cell>
          <cell r="E862">
            <v>0</v>
          </cell>
        </row>
        <row r="863">
          <cell r="A863" t="str">
            <v>SIS</v>
          </cell>
          <cell r="B863" t="str">
            <v>202310</v>
          </cell>
          <cell r="C863">
            <v>60</v>
          </cell>
          <cell r="D863">
            <v>8</v>
          </cell>
          <cell r="E863">
            <v>0</v>
          </cell>
        </row>
        <row r="864">
          <cell r="A864" t="str">
            <v>SOC</v>
          </cell>
          <cell r="B864" t="str">
            <v>200620</v>
          </cell>
          <cell r="C864">
            <v>3</v>
          </cell>
          <cell r="D864">
            <v>3</v>
          </cell>
          <cell r="E864">
            <v>0</v>
          </cell>
        </row>
        <row r="865">
          <cell r="A865" t="str">
            <v>SOC</v>
          </cell>
          <cell r="B865" t="str">
            <v>200720</v>
          </cell>
          <cell r="C865">
            <v>2</v>
          </cell>
          <cell r="D865">
            <v>1</v>
          </cell>
          <cell r="E865">
            <v>1</v>
          </cell>
        </row>
        <row r="866">
          <cell r="A866" t="str">
            <v>SOC</v>
          </cell>
          <cell r="B866" t="str">
            <v>200810</v>
          </cell>
          <cell r="C866">
            <v>4</v>
          </cell>
          <cell r="D866">
            <v>3</v>
          </cell>
          <cell r="E866">
            <v>1</v>
          </cell>
        </row>
        <row r="867">
          <cell r="A867" t="str">
            <v>SOC</v>
          </cell>
          <cell r="B867" t="str">
            <v>200820</v>
          </cell>
          <cell r="C867">
            <v>8</v>
          </cell>
          <cell r="D867">
            <v>3</v>
          </cell>
          <cell r="E867">
            <v>5</v>
          </cell>
        </row>
        <row r="868">
          <cell r="A868" t="str">
            <v>SOC</v>
          </cell>
          <cell r="B868" t="str">
            <v>200910</v>
          </cell>
          <cell r="C868">
            <v>2</v>
          </cell>
          <cell r="D868">
            <v>1</v>
          </cell>
          <cell r="E868">
            <v>1</v>
          </cell>
        </row>
        <row r="869">
          <cell r="A869" t="str">
            <v>SOC</v>
          </cell>
          <cell r="B869" t="str">
            <v>200920</v>
          </cell>
          <cell r="C869">
            <v>3</v>
          </cell>
          <cell r="D869">
            <v>2</v>
          </cell>
          <cell r="E869">
            <v>1</v>
          </cell>
        </row>
        <row r="870">
          <cell r="A870" t="str">
            <v>SOC</v>
          </cell>
          <cell r="B870" t="str">
            <v>201010</v>
          </cell>
          <cell r="C870">
            <v>3</v>
          </cell>
          <cell r="D870">
            <v>1</v>
          </cell>
          <cell r="E870">
            <v>2</v>
          </cell>
        </row>
        <row r="871">
          <cell r="A871" t="str">
            <v>SOC</v>
          </cell>
          <cell r="B871" t="str">
            <v>201020</v>
          </cell>
          <cell r="C871">
            <v>1</v>
          </cell>
          <cell r="D871">
            <v>0</v>
          </cell>
          <cell r="E871">
            <v>1</v>
          </cell>
        </row>
        <row r="872">
          <cell r="A872" t="str">
            <v>SOC</v>
          </cell>
          <cell r="B872" t="str">
            <v>201120</v>
          </cell>
          <cell r="C872">
            <v>5</v>
          </cell>
          <cell r="D872">
            <v>2</v>
          </cell>
          <cell r="E872">
            <v>3</v>
          </cell>
        </row>
        <row r="873">
          <cell r="A873" t="str">
            <v>SOC</v>
          </cell>
          <cell r="B873" t="str">
            <v>201210</v>
          </cell>
          <cell r="C873">
            <v>2</v>
          </cell>
          <cell r="D873">
            <v>1</v>
          </cell>
          <cell r="E873">
            <v>1</v>
          </cell>
        </row>
        <row r="874">
          <cell r="A874" t="str">
            <v>SOC</v>
          </cell>
          <cell r="B874" t="str">
            <v>201220</v>
          </cell>
          <cell r="C874">
            <v>10</v>
          </cell>
          <cell r="D874">
            <v>2</v>
          </cell>
          <cell r="E874">
            <v>8</v>
          </cell>
        </row>
        <row r="875">
          <cell r="A875" t="str">
            <v>SOC</v>
          </cell>
          <cell r="B875" t="str">
            <v>201310</v>
          </cell>
          <cell r="C875">
            <v>5</v>
          </cell>
          <cell r="D875">
            <v>2</v>
          </cell>
          <cell r="E875">
            <v>3</v>
          </cell>
        </row>
        <row r="876">
          <cell r="A876" t="str">
            <v>SOC</v>
          </cell>
          <cell r="B876" t="str">
            <v>201320</v>
          </cell>
          <cell r="C876">
            <v>7</v>
          </cell>
          <cell r="D876">
            <v>0</v>
          </cell>
          <cell r="E876">
            <v>7</v>
          </cell>
        </row>
        <row r="877">
          <cell r="A877" t="str">
            <v>SOC</v>
          </cell>
          <cell r="B877" t="str">
            <v>201410</v>
          </cell>
          <cell r="C877">
            <v>6</v>
          </cell>
          <cell r="D877">
            <v>4</v>
          </cell>
          <cell r="E877">
            <v>2</v>
          </cell>
        </row>
        <row r="878">
          <cell r="A878" t="str">
            <v>SOC</v>
          </cell>
          <cell r="B878" t="str">
            <v>201420</v>
          </cell>
          <cell r="C878">
            <v>2</v>
          </cell>
          <cell r="D878">
            <v>0</v>
          </cell>
          <cell r="E878">
            <v>1</v>
          </cell>
        </row>
        <row r="879">
          <cell r="A879" t="str">
            <v>SOC</v>
          </cell>
          <cell r="B879" t="str">
            <v>201510</v>
          </cell>
          <cell r="C879">
            <v>12</v>
          </cell>
          <cell r="D879">
            <v>3</v>
          </cell>
          <cell r="E879">
            <v>8</v>
          </cell>
        </row>
        <row r="880">
          <cell r="A880" t="str">
            <v>SOC</v>
          </cell>
          <cell r="B880" t="str">
            <v>201520</v>
          </cell>
          <cell r="C880">
            <v>9</v>
          </cell>
          <cell r="D880">
            <v>4</v>
          </cell>
          <cell r="E880">
            <v>5</v>
          </cell>
        </row>
        <row r="881">
          <cell r="A881" t="str">
            <v>SOC</v>
          </cell>
          <cell r="B881" t="str">
            <v>201610</v>
          </cell>
          <cell r="C881">
            <v>6</v>
          </cell>
          <cell r="D881">
            <v>2</v>
          </cell>
          <cell r="E881">
            <v>4</v>
          </cell>
        </row>
        <row r="882">
          <cell r="A882" t="str">
            <v>SOC</v>
          </cell>
          <cell r="B882" t="str">
            <v>201620</v>
          </cell>
          <cell r="C882">
            <v>15</v>
          </cell>
          <cell r="D882">
            <v>6</v>
          </cell>
          <cell r="E882">
            <v>9</v>
          </cell>
        </row>
        <row r="883">
          <cell r="A883" t="str">
            <v>SOC</v>
          </cell>
          <cell r="B883" t="str">
            <v>201710</v>
          </cell>
          <cell r="C883">
            <v>12</v>
          </cell>
          <cell r="D883">
            <v>2</v>
          </cell>
          <cell r="E883">
            <v>10</v>
          </cell>
        </row>
        <row r="884">
          <cell r="A884" t="str">
            <v>SOC</v>
          </cell>
          <cell r="B884" t="str">
            <v>201720</v>
          </cell>
          <cell r="C884">
            <v>2</v>
          </cell>
          <cell r="D884">
            <v>1</v>
          </cell>
          <cell r="E884">
            <v>1</v>
          </cell>
        </row>
        <row r="885">
          <cell r="A885" t="str">
            <v>SOC</v>
          </cell>
          <cell r="B885" t="str">
            <v>201810</v>
          </cell>
          <cell r="C885">
            <v>3</v>
          </cell>
          <cell r="D885">
            <v>0</v>
          </cell>
          <cell r="E885">
            <v>3</v>
          </cell>
        </row>
        <row r="886">
          <cell r="A886" t="str">
            <v>SOC</v>
          </cell>
          <cell r="B886" t="str">
            <v>201820</v>
          </cell>
          <cell r="C886">
            <v>3</v>
          </cell>
          <cell r="D886">
            <v>2</v>
          </cell>
          <cell r="E886">
            <v>1</v>
          </cell>
        </row>
        <row r="887">
          <cell r="A887" t="str">
            <v>SOC</v>
          </cell>
          <cell r="B887" t="str">
            <v>201910</v>
          </cell>
          <cell r="C887">
            <v>2</v>
          </cell>
          <cell r="D887">
            <v>1</v>
          </cell>
          <cell r="E887">
            <v>1</v>
          </cell>
        </row>
        <row r="888">
          <cell r="A888" t="str">
            <v>SOC</v>
          </cell>
          <cell r="B888" t="str">
            <v>201920</v>
          </cell>
          <cell r="C888">
            <v>4</v>
          </cell>
          <cell r="D888">
            <v>1</v>
          </cell>
          <cell r="E888">
            <v>0</v>
          </cell>
        </row>
        <row r="889">
          <cell r="A889" t="str">
            <v>SOC</v>
          </cell>
          <cell r="B889" t="str">
            <v>202010</v>
          </cell>
          <cell r="C889">
            <v>1</v>
          </cell>
          <cell r="D889">
            <v>0</v>
          </cell>
          <cell r="E889">
            <v>0</v>
          </cell>
        </row>
        <row r="890">
          <cell r="A890" t="str">
            <v>SOC</v>
          </cell>
          <cell r="B890" t="str">
            <v>202020</v>
          </cell>
          <cell r="C890">
            <v>5</v>
          </cell>
          <cell r="D890">
            <v>0</v>
          </cell>
          <cell r="E890">
            <v>0</v>
          </cell>
        </row>
        <row r="891">
          <cell r="A891" t="str">
            <v>SOC</v>
          </cell>
          <cell r="B891" t="str">
            <v>202110</v>
          </cell>
          <cell r="C891">
            <v>1</v>
          </cell>
          <cell r="D891">
            <v>1</v>
          </cell>
          <cell r="E891">
            <v>0</v>
          </cell>
        </row>
        <row r="892">
          <cell r="A892" t="str">
            <v>SOC</v>
          </cell>
          <cell r="B892" t="str">
            <v>202120</v>
          </cell>
          <cell r="C892">
            <v>3</v>
          </cell>
          <cell r="D892">
            <v>0</v>
          </cell>
          <cell r="E892">
            <v>0</v>
          </cell>
        </row>
        <row r="893">
          <cell r="A893" t="str">
            <v>SOC</v>
          </cell>
          <cell r="B893" t="str">
            <v>202210</v>
          </cell>
          <cell r="C893">
            <v>6</v>
          </cell>
          <cell r="D893">
            <v>1</v>
          </cell>
          <cell r="E893">
            <v>0</v>
          </cell>
        </row>
        <row r="894">
          <cell r="A894" t="str">
            <v>SOC</v>
          </cell>
          <cell r="B894" t="str">
            <v>202310</v>
          </cell>
          <cell r="C894">
            <v>7</v>
          </cell>
          <cell r="D894">
            <v>0</v>
          </cell>
          <cell r="E894">
            <v>0</v>
          </cell>
        </row>
        <row r="895">
          <cell r="A895" t="str">
            <v>TEL</v>
          </cell>
          <cell r="B895" t="str">
            <v>199820</v>
          </cell>
          <cell r="C895">
            <v>15</v>
          </cell>
          <cell r="D895">
            <v>8</v>
          </cell>
          <cell r="E895">
            <v>7</v>
          </cell>
        </row>
        <row r="896">
          <cell r="A896" t="str">
            <v>TEL</v>
          </cell>
          <cell r="B896" t="str">
            <v>199910</v>
          </cell>
          <cell r="C896">
            <v>10</v>
          </cell>
          <cell r="D896">
            <v>6</v>
          </cell>
          <cell r="E896">
            <v>4</v>
          </cell>
        </row>
        <row r="897">
          <cell r="A897" t="str">
            <v>TEL</v>
          </cell>
          <cell r="B897" t="str">
            <v>199920</v>
          </cell>
          <cell r="C897">
            <v>21</v>
          </cell>
          <cell r="D897">
            <v>13</v>
          </cell>
          <cell r="E897">
            <v>8</v>
          </cell>
        </row>
        <row r="898">
          <cell r="A898" t="str">
            <v>TEL</v>
          </cell>
          <cell r="B898" t="str">
            <v>200010</v>
          </cell>
          <cell r="C898">
            <v>12</v>
          </cell>
          <cell r="D898">
            <v>7</v>
          </cell>
          <cell r="E898">
            <v>5</v>
          </cell>
        </row>
        <row r="899">
          <cell r="A899" t="str">
            <v>TEL</v>
          </cell>
          <cell r="B899" t="str">
            <v>200020</v>
          </cell>
          <cell r="C899">
            <v>20</v>
          </cell>
          <cell r="D899">
            <v>13</v>
          </cell>
          <cell r="E899">
            <v>7</v>
          </cell>
        </row>
        <row r="900">
          <cell r="A900" t="str">
            <v>TEL</v>
          </cell>
          <cell r="B900" t="str">
            <v>200110</v>
          </cell>
          <cell r="C900">
            <v>5</v>
          </cell>
          <cell r="D900">
            <v>3</v>
          </cell>
          <cell r="E900">
            <v>2</v>
          </cell>
        </row>
        <row r="901">
          <cell r="A901" t="str">
            <v>TEL</v>
          </cell>
          <cell r="B901" t="str">
            <v>200120</v>
          </cell>
          <cell r="C901">
            <v>14</v>
          </cell>
          <cell r="D901">
            <v>10</v>
          </cell>
          <cell r="E901">
            <v>4</v>
          </cell>
        </row>
        <row r="902">
          <cell r="A902" t="str">
            <v>TEL</v>
          </cell>
          <cell r="B902" t="str">
            <v>200210</v>
          </cell>
          <cell r="C902">
            <v>6</v>
          </cell>
          <cell r="D902">
            <v>4</v>
          </cell>
          <cell r="E902">
            <v>2</v>
          </cell>
        </row>
        <row r="903">
          <cell r="A903" t="str">
            <v>TEL</v>
          </cell>
          <cell r="B903" t="str">
            <v>200220</v>
          </cell>
          <cell r="C903">
            <v>15</v>
          </cell>
          <cell r="D903">
            <v>8</v>
          </cell>
          <cell r="E903">
            <v>7</v>
          </cell>
        </row>
        <row r="904">
          <cell r="A904" t="str">
            <v>TEL</v>
          </cell>
          <cell r="B904" t="str">
            <v>200310</v>
          </cell>
          <cell r="C904">
            <v>6</v>
          </cell>
          <cell r="D904">
            <v>3</v>
          </cell>
          <cell r="E904">
            <v>3</v>
          </cell>
        </row>
        <row r="905">
          <cell r="A905" t="str">
            <v>TEL</v>
          </cell>
          <cell r="B905" t="str">
            <v>200320</v>
          </cell>
          <cell r="C905">
            <v>17</v>
          </cell>
          <cell r="D905">
            <v>12</v>
          </cell>
          <cell r="E905">
            <v>5</v>
          </cell>
        </row>
        <row r="906">
          <cell r="A906" t="str">
            <v>TEL</v>
          </cell>
          <cell r="B906" t="str">
            <v>200410</v>
          </cell>
          <cell r="C906">
            <v>9</v>
          </cell>
          <cell r="D906">
            <v>6</v>
          </cell>
          <cell r="E906">
            <v>3</v>
          </cell>
        </row>
        <row r="907">
          <cell r="A907" t="str">
            <v>TEL</v>
          </cell>
          <cell r="B907" t="str">
            <v>200420</v>
          </cell>
          <cell r="C907">
            <v>14</v>
          </cell>
          <cell r="D907">
            <v>9</v>
          </cell>
          <cell r="E907">
            <v>5</v>
          </cell>
        </row>
        <row r="908">
          <cell r="A908" t="str">
            <v>TEL</v>
          </cell>
          <cell r="B908" t="str">
            <v>200510</v>
          </cell>
          <cell r="C908">
            <v>9</v>
          </cell>
          <cell r="D908">
            <v>6</v>
          </cell>
          <cell r="E908">
            <v>3</v>
          </cell>
        </row>
        <row r="909">
          <cell r="A909" t="str">
            <v>TEL</v>
          </cell>
          <cell r="B909" t="str">
            <v>200520</v>
          </cell>
          <cell r="C909">
            <v>12</v>
          </cell>
          <cell r="D909">
            <v>10</v>
          </cell>
          <cell r="E909">
            <v>2</v>
          </cell>
        </row>
        <row r="910">
          <cell r="A910" t="str">
            <v>TEL</v>
          </cell>
          <cell r="B910" t="str">
            <v>200610</v>
          </cell>
          <cell r="C910">
            <v>11</v>
          </cell>
          <cell r="D910">
            <v>5</v>
          </cell>
          <cell r="E910">
            <v>6</v>
          </cell>
        </row>
        <row r="911">
          <cell r="A911" t="str">
            <v>TEL</v>
          </cell>
          <cell r="B911" t="str">
            <v>200620</v>
          </cell>
          <cell r="C911">
            <v>16</v>
          </cell>
          <cell r="D911">
            <v>12</v>
          </cell>
          <cell r="E911">
            <v>4</v>
          </cell>
        </row>
        <row r="912">
          <cell r="A912" t="str">
            <v>TEL</v>
          </cell>
          <cell r="B912" t="str">
            <v>200710</v>
          </cell>
          <cell r="C912">
            <v>6</v>
          </cell>
          <cell r="D912">
            <v>4</v>
          </cell>
          <cell r="E912">
            <v>2</v>
          </cell>
        </row>
        <row r="913">
          <cell r="A913" t="str">
            <v>TEL</v>
          </cell>
          <cell r="B913" t="str">
            <v>200720</v>
          </cell>
          <cell r="C913">
            <v>18</v>
          </cell>
          <cell r="D913">
            <v>8</v>
          </cell>
          <cell r="E913">
            <v>10</v>
          </cell>
        </row>
        <row r="914">
          <cell r="A914" t="str">
            <v>TEL</v>
          </cell>
          <cell r="B914" t="str">
            <v>200810</v>
          </cell>
          <cell r="C914">
            <v>4</v>
          </cell>
          <cell r="D914">
            <v>2</v>
          </cell>
          <cell r="E914">
            <v>2</v>
          </cell>
        </row>
        <row r="915">
          <cell r="A915" t="str">
            <v>TEL</v>
          </cell>
          <cell r="B915" t="str">
            <v>200820</v>
          </cell>
          <cell r="C915">
            <v>18</v>
          </cell>
          <cell r="D915">
            <v>11</v>
          </cell>
          <cell r="E915">
            <v>7</v>
          </cell>
        </row>
        <row r="916">
          <cell r="A916" t="str">
            <v>TEL</v>
          </cell>
          <cell r="B916" t="str">
            <v>200910</v>
          </cell>
          <cell r="C916">
            <v>6</v>
          </cell>
          <cell r="D916">
            <v>5</v>
          </cell>
          <cell r="E916">
            <v>1</v>
          </cell>
        </row>
        <row r="917">
          <cell r="A917" t="str">
            <v>TEL</v>
          </cell>
          <cell r="B917" t="str">
            <v>200920</v>
          </cell>
          <cell r="C917">
            <v>9</v>
          </cell>
          <cell r="D917">
            <v>6</v>
          </cell>
          <cell r="E917">
            <v>3</v>
          </cell>
        </row>
        <row r="918">
          <cell r="A918" t="str">
            <v>TEL</v>
          </cell>
          <cell r="B918" t="str">
            <v>201010</v>
          </cell>
          <cell r="C918">
            <v>8</v>
          </cell>
          <cell r="D918">
            <v>4</v>
          </cell>
          <cell r="E918">
            <v>4</v>
          </cell>
        </row>
        <row r="919">
          <cell r="A919" t="str">
            <v>TEL</v>
          </cell>
          <cell r="B919" t="str">
            <v>201020</v>
          </cell>
          <cell r="C919">
            <v>8</v>
          </cell>
          <cell r="D919">
            <v>3</v>
          </cell>
          <cell r="E919">
            <v>5</v>
          </cell>
        </row>
        <row r="920">
          <cell r="A920" t="str">
            <v>TEL</v>
          </cell>
          <cell r="B920" t="str">
            <v>201110</v>
          </cell>
          <cell r="C920">
            <v>7</v>
          </cell>
          <cell r="D920">
            <v>3</v>
          </cell>
          <cell r="E920">
            <v>4</v>
          </cell>
        </row>
        <row r="921">
          <cell r="A921" t="str">
            <v>TEL</v>
          </cell>
          <cell r="B921" t="str">
            <v>201120</v>
          </cell>
          <cell r="C921">
            <v>11</v>
          </cell>
          <cell r="D921">
            <v>7</v>
          </cell>
          <cell r="E921">
            <v>4</v>
          </cell>
        </row>
        <row r="922">
          <cell r="A922" t="str">
            <v>TEL</v>
          </cell>
          <cell r="B922" t="str">
            <v>201210</v>
          </cell>
          <cell r="C922">
            <v>11</v>
          </cell>
          <cell r="D922">
            <v>5</v>
          </cell>
          <cell r="E922">
            <v>6</v>
          </cell>
        </row>
        <row r="923">
          <cell r="A923" t="str">
            <v>TEL</v>
          </cell>
          <cell r="B923" t="str">
            <v>201220</v>
          </cell>
          <cell r="C923">
            <v>6</v>
          </cell>
          <cell r="D923">
            <v>1</v>
          </cell>
          <cell r="E923">
            <v>5</v>
          </cell>
        </row>
        <row r="924">
          <cell r="A924" t="str">
            <v>TEL</v>
          </cell>
          <cell r="B924" t="str">
            <v>201310</v>
          </cell>
          <cell r="C924">
            <v>11</v>
          </cell>
          <cell r="D924">
            <v>8</v>
          </cell>
          <cell r="E924">
            <v>3</v>
          </cell>
        </row>
        <row r="925">
          <cell r="A925" t="str">
            <v>TEL</v>
          </cell>
          <cell r="B925" t="str">
            <v>201320</v>
          </cell>
          <cell r="C925">
            <v>8</v>
          </cell>
          <cell r="D925">
            <v>5</v>
          </cell>
          <cell r="E925">
            <v>3</v>
          </cell>
        </row>
        <row r="926">
          <cell r="A926" t="str">
            <v>TEL</v>
          </cell>
          <cell r="B926" t="str">
            <v>201410</v>
          </cell>
          <cell r="C926">
            <v>10</v>
          </cell>
          <cell r="D926">
            <v>5</v>
          </cell>
          <cell r="E926">
            <v>5</v>
          </cell>
        </row>
        <row r="927">
          <cell r="A927" t="str">
            <v>TEL</v>
          </cell>
          <cell r="B927" t="str">
            <v>201420</v>
          </cell>
          <cell r="C927">
            <v>10</v>
          </cell>
          <cell r="D927">
            <v>4</v>
          </cell>
          <cell r="E927">
            <v>6</v>
          </cell>
        </row>
        <row r="928">
          <cell r="A928" t="str">
            <v>TEL</v>
          </cell>
          <cell r="B928" t="str">
            <v>201510</v>
          </cell>
          <cell r="C928">
            <v>15</v>
          </cell>
          <cell r="D928">
            <v>6</v>
          </cell>
          <cell r="E928">
            <v>9</v>
          </cell>
        </row>
        <row r="929">
          <cell r="A929" t="str">
            <v>TEL</v>
          </cell>
          <cell r="B929" t="str">
            <v>201520</v>
          </cell>
          <cell r="C929">
            <v>7</v>
          </cell>
          <cell r="D929">
            <v>2</v>
          </cell>
          <cell r="E929">
            <v>5</v>
          </cell>
        </row>
        <row r="930">
          <cell r="A930" t="str">
            <v>TEL</v>
          </cell>
          <cell r="B930" t="str">
            <v>201610</v>
          </cell>
          <cell r="C930">
            <v>21</v>
          </cell>
          <cell r="D930">
            <v>7</v>
          </cell>
          <cell r="E930">
            <v>13</v>
          </cell>
        </row>
        <row r="931">
          <cell r="A931" t="str">
            <v>TEL</v>
          </cell>
          <cell r="B931" t="str">
            <v>201620</v>
          </cell>
          <cell r="C931">
            <v>5</v>
          </cell>
          <cell r="D931">
            <v>2</v>
          </cell>
          <cell r="E931">
            <v>3</v>
          </cell>
        </row>
        <row r="932">
          <cell r="A932" t="str">
            <v>TEL</v>
          </cell>
          <cell r="B932" t="str">
            <v>201710</v>
          </cell>
          <cell r="C932">
            <v>25</v>
          </cell>
          <cell r="D932">
            <v>12</v>
          </cell>
          <cell r="E932">
            <v>12</v>
          </cell>
        </row>
        <row r="933">
          <cell r="A933" t="str">
            <v>TEL</v>
          </cell>
          <cell r="B933" t="str">
            <v>201720</v>
          </cell>
          <cell r="C933">
            <v>4</v>
          </cell>
          <cell r="D933">
            <v>2</v>
          </cell>
          <cell r="E933">
            <v>0</v>
          </cell>
        </row>
        <row r="934">
          <cell r="A934" t="str">
            <v>TEL</v>
          </cell>
          <cell r="B934" t="str">
            <v>201810</v>
          </cell>
          <cell r="C934">
            <v>8</v>
          </cell>
          <cell r="D934">
            <v>4</v>
          </cell>
          <cell r="E934">
            <v>3</v>
          </cell>
        </row>
        <row r="935">
          <cell r="A935" t="str">
            <v>TEL</v>
          </cell>
          <cell r="B935" t="str">
            <v>201820</v>
          </cell>
          <cell r="C935">
            <v>8</v>
          </cell>
          <cell r="D935">
            <v>4</v>
          </cell>
          <cell r="E935">
            <v>3</v>
          </cell>
        </row>
        <row r="936">
          <cell r="A936" t="str">
            <v>TEL</v>
          </cell>
          <cell r="B936" t="str">
            <v>201910</v>
          </cell>
          <cell r="C936">
            <v>10</v>
          </cell>
          <cell r="D936">
            <v>2</v>
          </cell>
          <cell r="E936">
            <v>2</v>
          </cell>
        </row>
        <row r="937">
          <cell r="A937" t="str">
            <v>TEL</v>
          </cell>
          <cell r="B937" t="str">
            <v>201920</v>
          </cell>
          <cell r="C937">
            <v>6</v>
          </cell>
          <cell r="D937">
            <v>2</v>
          </cell>
          <cell r="E937">
            <v>1</v>
          </cell>
        </row>
        <row r="938">
          <cell r="A938" t="str">
            <v>TEL</v>
          </cell>
          <cell r="B938" t="str">
            <v>202010</v>
          </cell>
          <cell r="C938">
            <v>17</v>
          </cell>
          <cell r="D938">
            <v>2</v>
          </cell>
          <cell r="E938">
            <v>0</v>
          </cell>
        </row>
        <row r="939">
          <cell r="A939" t="str">
            <v>TEL</v>
          </cell>
          <cell r="B939" t="str">
            <v>202020</v>
          </cell>
          <cell r="C939">
            <v>4</v>
          </cell>
          <cell r="D939">
            <v>0</v>
          </cell>
          <cell r="E939">
            <v>1</v>
          </cell>
        </row>
        <row r="940">
          <cell r="A940" t="str">
            <v>TEL</v>
          </cell>
          <cell r="B940" t="str">
            <v>202110</v>
          </cell>
          <cell r="C940">
            <v>5</v>
          </cell>
          <cell r="D940">
            <v>0</v>
          </cell>
          <cell r="E940">
            <v>0</v>
          </cell>
        </row>
        <row r="941">
          <cell r="A941" t="str">
            <v>TEL</v>
          </cell>
          <cell r="B941" t="str">
            <v>202120</v>
          </cell>
          <cell r="C941">
            <v>3</v>
          </cell>
          <cell r="D941">
            <v>0</v>
          </cell>
          <cell r="E941">
            <v>0</v>
          </cell>
        </row>
        <row r="942">
          <cell r="A942" t="str">
            <v>TEL</v>
          </cell>
          <cell r="B942" t="str">
            <v>202210</v>
          </cell>
          <cell r="C942">
            <v>11</v>
          </cell>
          <cell r="D942">
            <v>2</v>
          </cell>
          <cell r="E942">
            <v>0</v>
          </cell>
        </row>
        <row r="943">
          <cell r="A943" t="str">
            <v>TEL</v>
          </cell>
          <cell r="B943" t="str">
            <v>202220</v>
          </cell>
          <cell r="C943">
            <v>7</v>
          </cell>
          <cell r="D943">
            <v>2</v>
          </cell>
          <cell r="E943">
            <v>0</v>
          </cell>
        </row>
        <row r="944">
          <cell r="A944" t="str">
            <v>TEL</v>
          </cell>
          <cell r="B944" t="str">
            <v>202310</v>
          </cell>
          <cell r="C944">
            <v>17</v>
          </cell>
          <cell r="D944">
            <v>1</v>
          </cell>
          <cell r="E944">
            <v>0</v>
          </cell>
        </row>
      </sheetData>
      <sheetData sheetId="10">
        <row r="1">
          <cell r="B1" t="str">
            <v>Actualizado con consulta Noviembre de 2023</v>
          </cell>
          <cell r="C1" t="str">
            <v>FCAE</v>
          </cell>
          <cell r="D1"/>
          <cell r="F1"/>
        </row>
        <row r="2">
          <cell r="C2"/>
          <cell r="D2"/>
          <cell r="F2"/>
        </row>
        <row r="4">
          <cell r="B4" t="str">
            <v>Cohortes períodos</v>
          </cell>
          <cell r="C4" t="str">
            <v>Número estudiantes</v>
          </cell>
          <cell r="D4" t="str">
            <v>retirados</v>
          </cell>
          <cell r="F4" t="str">
            <v>Graduados</v>
          </cell>
        </row>
        <row r="5">
          <cell r="B5">
            <v>200010</v>
          </cell>
          <cell r="C5">
            <v>97</v>
          </cell>
          <cell r="D5">
            <v>44</v>
          </cell>
          <cell r="F5">
            <v>53</v>
          </cell>
        </row>
        <row r="6">
          <cell r="B6">
            <v>200110</v>
          </cell>
          <cell r="C6">
            <v>120</v>
          </cell>
          <cell r="D6">
            <v>67</v>
          </cell>
          <cell r="F6">
            <v>53</v>
          </cell>
        </row>
        <row r="7">
          <cell r="B7">
            <v>200210</v>
          </cell>
          <cell r="C7">
            <v>136</v>
          </cell>
          <cell r="D7">
            <v>79</v>
          </cell>
          <cell r="F7">
            <v>57</v>
          </cell>
        </row>
        <row r="8">
          <cell r="B8">
            <v>200310</v>
          </cell>
          <cell r="C8">
            <v>159</v>
          </cell>
          <cell r="D8">
            <v>104</v>
          </cell>
          <cell r="F8">
            <v>54</v>
          </cell>
        </row>
        <row r="9">
          <cell r="B9">
            <v>200410</v>
          </cell>
          <cell r="C9">
            <v>159</v>
          </cell>
          <cell r="D9">
            <v>89</v>
          </cell>
          <cell r="F9">
            <v>70</v>
          </cell>
        </row>
        <row r="10">
          <cell r="B10">
            <v>200510</v>
          </cell>
          <cell r="C10">
            <v>152</v>
          </cell>
          <cell r="D10">
            <v>94</v>
          </cell>
          <cell r="F10">
            <v>58</v>
          </cell>
        </row>
        <row r="11">
          <cell r="B11">
            <v>200610</v>
          </cell>
          <cell r="C11">
            <v>211</v>
          </cell>
          <cell r="D11">
            <v>122</v>
          </cell>
          <cell r="F11">
            <v>89</v>
          </cell>
        </row>
        <row r="12">
          <cell r="B12">
            <v>200710</v>
          </cell>
          <cell r="C12">
            <v>241</v>
          </cell>
          <cell r="D12">
            <v>123</v>
          </cell>
          <cell r="F12">
            <v>118</v>
          </cell>
        </row>
        <row r="13">
          <cell r="B13">
            <v>200810</v>
          </cell>
          <cell r="C13">
            <v>263</v>
          </cell>
          <cell r="D13">
            <v>138</v>
          </cell>
          <cell r="F13">
            <v>125</v>
          </cell>
        </row>
        <row r="14">
          <cell r="B14">
            <v>200910</v>
          </cell>
          <cell r="C14">
            <v>234</v>
          </cell>
          <cell r="D14">
            <v>112</v>
          </cell>
          <cell r="F14">
            <v>121</v>
          </cell>
        </row>
        <row r="15">
          <cell r="B15">
            <v>201010</v>
          </cell>
          <cell r="C15">
            <v>200</v>
          </cell>
          <cell r="D15">
            <v>92</v>
          </cell>
          <cell r="F15">
            <v>108</v>
          </cell>
        </row>
        <row r="16">
          <cell r="B16">
            <v>201110</v>
          </cell>
          <cell r="C16">
            <v>249</v>
          </cell>
          <cell r="D16">
            <v>109</v>
          </cell>
          <cell r="F16">
            <v>140</v>
          </cell>
        </row>
        <row r="17">
          <cell r="B17">
            <v>201210</v>
          </cell>
          <cell r="C17">
            <v>241</v>
          </cell>
          <cell r="D17">
            <v>92</v>
          </cell>
          <cell r="F17">
            <v>149</v>
          </cell>
        </row>
        <row r="18">
          <cell r="B18">
            <v>201310</v>
          </cell>
          <cell r="C18">
            <v>250</v>
          </cell>
          <cell r="D18">
            <v>103</v>
          </cell>
          <cell r="F18">
            <v>147</v>
          </cell>
        </row>
        <row r="19">
          <cell r="B19">
            <v>201410</v>
          </cell>
          <cell r="C19">
            <v>231</v>
          </cell>
          <cell r="D19">
            <v>93</v>
          </cell>
          <cell r="F19">
            <v>138</v>
          </cell>
        </row>
        <row r="20">
          <cell r="B20">
            <v>201510</v>
          </cell>
          <cell r="C20">
            <v>292</v>
          </cell>
          <cell r="D20">
            <v>95</v>
          </cell>
          <cell r="F20">
            <v>195</v>
          </cell>
        </row>
        <row r="21">
          <cell r="B21">
            <v>201610</v>
          </cell>
          <cell r="C21">
            <v>352</v>
          </cell>
          <cell r="D21">
            <v>127</v>
          </cell>
          <cell r="F21">
            <v>221</v>
          </cell>
        </row>
        <row r="22">
          <cell r="B22">
            <v>201710</v>
          </cell>
          <cell r="C22">
            <v>237</v>
          </cell>
          <cell r="D22">
            <v>70</v>
          </cell>
          <cell r="F22">
            <v>163</v>
          </cell>
        </row>
        <row r="23">
          <cell r="B23">
            <v>201810</v>
          </cell>
          <cell r="C23">
            <v>204</v>
          </cell>
          <cell r="D23">
            <v>57</v>
          </cell>
          <cell r="F23">
            <v>113</v>
          </cell>
        </row>
        <row r="24">
          <cell r="B24">
            <v>201910</v>
          </cell>
          <cell r="C24">
            <v>171</v>
          </cell>
          <cell r="D24">
            <v>50</v>
          </cell>
          <cell r="F24">
            <v>22</v>
          </cell>
        </row>
        <row r="25">
          <cell r="B25">
            <v>202010</v>
          </cell>
          <cell r="C25">
            <v>180</v>
          </cell>
          <cell r="D25">
            <v>43</v>
          </cell>
          <cell r="F25">
            <v>10</v>
          </cell>
        </row>
        <row r="26">
          <cell r="B26">
            <v>202110</v>
          </cell>
          <cell r="C26">
            <v>162</v>
          </cell>
          <cell r="D26">
            <v>25</v>
          </cell>
          <cell r="F26">
            <v>2</v>
          </cell>
        </row>
        <row r="27">
          <cell r="B27">
            <v>202210</v>
          </cell>
          <cell r="C27">
            <v>294</v>
          </cell>
          <cell r="D27">
            <v>49</v>
          </cell>
          <cell r="F27">
            <v>0</v>
          </cell>
        </row>
        <row r="28">
          <cell r="B28">
            <v>202310</v>
          </cell>
          <cell r="C28">
            <v>179</v>
          </cell>
          <cell r="D28">
            <v>9</v>
          </cell>
          <cell r="F28">
            <v>0</v>
          </cell>
        </row>
      </sheetData>
      <sheetData sheetId="11">
        <row r="1">
          <cell r="B1" t="str">
            <v>Actualizado con consulta Noviembre de 2023</v>
          </cell>
          <cell r="C1" t="str">
            <v>FIDCA</v>
          </cell>
          <cell r="D1"/>
          <cell r="F1"/>
        </row>
        <row r="4">
          <cell r="B4" t="str">
            <v>Cohortes períodos</v>
          </cell>
          <cell r="C4" t="str">
            <v>Número estudiantes</v>
          </cell>
          <cell r="D4" t="str">
            <v>retirados</v>
          </cell>
          <cell r="F4" t="str">
            <v>Graduados</v>
          </cell>
        </row>
        <row r="5">
          <cell r="B5">
            <v>200010</v>
          </cell>
          <cell r="C5">
            <v>77</v>
          </cell>
          <cell r="D5">
            <v>47</v>
          </cell>
          <cell r="F5">
            <v>30</v>
          </cell>
        </row>
        <row r="6">
          <cell r="B6">
            <v>200110</v>
          </cell>
          <cell r="C6">
            <v>61</v>
          </cell>
          <cell r="D6">
            <v>36</v>
          </cell>
          <cell r="F6">
            <v>25</v>
          </cell>
        </row>
        <row r="7">
          <cell r="B7">
            <v>200210</v>
          </cell>
          <cell r="C7">
            <v>77</v>
          </cell>
          <cell r="D7">
            <v>47</v>
          </cell>
          <cell r="F7">
            <v>30</v>
          </cell>
        </row>
        <row r="8">
          <cell r="B8">
            <v>200310</v>
          </cell>
          <cell r="C8">
            <v>67</v>
          </cell>
          <cell r="D8">
            <v>35</v>
          </cell>
          <cell r="F8">
            <v>32</v>
          </cell>
        </row>
        <row r="9">
          <cell r="B9">
            <v>200410</v>
          </cell>
          <cell r="C9">
            <v>61</v>
          </cell>
          <cell r="D9">
            <v>26</v>
          </cell>
          <cell r="F9">
            <v>35</v>
          </cell>
        </row>
        <row r="10">
          <cell r="B10">
            <v>200510</v>
          </cell>
          <cell r="C10">
            <v>71</v>
          </cell>
          <cell r="D10">
            <v>45</v>
          </cell>
          <cell r="F10">
            <v>26</v>
          </cell>
        </row>
        <row r="11">
          <cell r="B11">
            <v>200610</v>
          </cell>
          <cell r="C11">
            <v>91</v>
          </cell>
          <cell r="D11">
            <v>37</v>
          </cell>
          <cell r="F11">
            <v>54</v>
          </cell>
        </row>
        <row r="12">
          <cell r="B12">
            <v>200710</v>
          </cell>
          <cell r="C12">
            <v>105</v>
          </cell>
          <cell r="D12">
            <v>55</v>
          </cell>
          <cell r="F12">
            <v>50</v>
          </cell>
        </row>
        <row r="13">
          <cell r="B13">
            <v>200810</v>
          </cell>
          <cell r="C13">
            <v>123</v>
          </cell>
          <cell r="D13">
            <v>57</v>
          </cell>
          <cell r="F13">
            <v>66</v>
          </cell>
        </row>
        <row r="14">
          <cell r="B14">
            <v>200910</v>
          </cell>
          <cell r="C14">
            <v>175</v>
          </cell>
          <cell r="D14">
            <v>74</v>
          </cell>
          <cell r="F14">
            <v>100</v>
          </cell>
        </row>
        <row r="15">
          <cell r="B15">
            <v>201010</v>
          </cell>
          <cell r="C15">
            <v>144</v>
          </cell>
          <cell r="D15">
            <v>63</v>
          </cell>
          <cell r="F15">
            <v>81</v>
          </cell>
        </row>
        <row r="16">
          <cell r="B16">
            <v>201110</v>
          </cell>
          <cell r="C16">
            <v>164</v>
          </cell>
          <cell r="D16">
            <v>87</v>
          </cell>
          <cell r="F16">
            <v>77</v>
          </cell>
        </row>
        <row r="17">
          <cell r="B17">
            <v>201210</v>
          </cell>
          <cell r="C17">
            <v>197</v>
          </cell>
          <cell r="D17">
            <v>95</v>
          </cell>
          <cell r="F17">
            <v>102</v>
          </cell>
        </row>
        <row r="18">
          <cell r="B18">
            <v>201310</v>
          </cell>
          <cell r="C18">
            <v>198</v>
          </cell>
          <cell r="D18">
            <v>103</v>
          </cell>
          <cell r="F18">
            <v>95</v>
          </cell>
        </row>
        <row r="19">
          <cell r="B19">
            <v>201410</v>
          </cell>
          <cell r="C19">
            <v>197</v>
          </cell>
          <cell r="D19">
            <v>103</v>
          </cell>
          <cell r="F19">
            <v>94</v>
          </cell>
        </row>
        <row r="20">
          <cell r="B20">
            <v>201510</v>
          </cell>
          <cell r="C20">
            <v>344</v>
          </cell>
          <cell r="D20">
            <v>121</v>
          </cell>
          <cell r="F20">
            <v>221</v>
          </cell>
        </row>
        <row r="21">
          <cell r="B21">
            <v>201610</v>
          </cell>
          <cell r="C21">
            <v>438</v>
          </cell>
          <cell r="D21">
            <v>160</v>
          </cell>
          <cell r="F21">
            <v>272</v>
          </cell>
        </row>
        <row r="22">
          <cell r="B22">
            <v>201710</v>
          </cell>
          <cell r="C22">
            <v>403</v>
          </cell>
          <cell r="D22">
            <v>120</v>
          </cell>
          <cell r="F22">
            <v>268</v>
          </cell>
        </row>
        <row r="23">
          <cell r="B23">
            <v>201810</v>
          </cell>
          <cell r="C23">
            <v>281</v>
          </cell>
          <cell r="D23">
            <v>89</v>
          </cell>
          <cell r="F23">
            <v>153</v>
          </cell>
        </row>
        <row r="24">
          <cell r="B24">
            <v>201910</v>
          </cell>
          <cell r="C24">
            <v>172</v>
          </cell>
          <cell r="D24">
            <v>41</v>
          </cell>
          <cell r="F24">
            <v>14</v>
          </cell>
        </row>
        <row r="25">
          <cell r="B25">
            <v>202010</v>
          </cell>
          <cell r="C25">
            <v>242</v>
          </cell>
          <cell r="D25">
            <v>46</v>
          </cell>
          <cell r="F25">
            <v>1</v>
          </cell>
        </row>
        <row r="26">
          <cell r="B26">
            <v>202110</v>
          </cell>
          <cell r="C26">
            <v>193</v>
          </cell>
          <cell r="D26">
            <v>34</v>
          </cell>
          <cell r="F26">
            <v>0</v>
          </cell>
        </row>
        <row r="27">
          <cell r="B27">
            <v>202210</v>
          </cell>
          <cell r="C27">
            <v>306</v>
          </cell>
          <cell r="D27">
            <v>56</v>
          </cell>
          <cell r="F27">
            <v>0</v>
          </cell>
        </row>
        <row r="28">
          <cell r="B28">
            <v>202310</v>
          </cell>
          <cell r="C28">
            <v>268</v>
          </cell>
          <cell r="D28">
            <v>19</v>
          </cell>
          <cell r="F28">
            <v>0</v>
          </cell>
        </row>
      </sheetData>
      <sheetData sheetId="12">
        <row r="1">
          <cell r="B1" t="str">
            <v>Actualizado con consulta Noviembre de 2023</v>
          </cell>
          <cell r="C1" t="str">
            <v>FDCS</v>
          </cell>
          <cell r="D1"/>
          <cell r="F1"/>
        </row>
        <row r="4">
          <cell r="B4" t="str">
            <v>Cohortes períodos</v>
          </cell>
          <cell r="C4" t="str">
            <v>Número estudiantes</v>
          </cell>
          <cell r="D4" t="str">
            <v>retirados</v>
          </cell>
          <cell r="F4" t="str">
            <v>Graduados</v>
          </cell>
        </row>
        <row r="5">
          <cell r="B5">
            <v>200010</v>
          </cell>
          <cell r="C5">
            <v>1</v>
          </cell>
          <cell r="D5">
            <v>0</v>
          </cell>
          <cell r="F5">
            <v>1</v>
          </cell>
        </row>
        <row r="6">
          <cell r="B6">
            <v>200110</v>
          </cell>
          <cell r="C6">
            <v>8</v>
          </cell>
          <cell r="D6">
            <v>2</v>
          </cell>
          <cell r="F6">
            <v>6</v>
          </cell>
        </row>
        <row r="7">
          <cell r="B7">
            <v>200210</v>
          </cell>
          <cell r="C7">
            <v>8</v>
          </cell>
          <cell r="D7">
            <v>1</v>
          </cell>
          <cell r="F7">
            <v>7</v>
          </cell>
        </row>
        <row r="8">
          <cell r="B8">
            <v>200310</v>
          </cell>
          <cell r="C8">
            <v>19</v>
          </cell>
          <cell r="D8">
            <v>5</v>
          </cell>
          <cell r="F8">
            <v>14</v>
          </cell>
        </row>
        <row r="9">
          <cell r="B9">
            <v>200410</v>
          </cell>
          <cell r="C9">
            <v>17</v>
          </cell>
          <cell r="D9">
            <v>4</v>
          </cell>
          <cell r="F9">
            <v>13</v>
          </cell>
        </row>
        <row r="10">
          <cell r="B10">
            <v>200510</v>
          </cell>
          <cell r="C10">
            <v>7</v>
          </cell>
          <cell r="D10">
            <v>3</v>
          </cell>
          <cell r="F10">
            <v>4</v>
          </cell>
        </row>
        <row r="11">
          <cell r="B11">
            <v>200610</v>
          </cell>
          <cell r="C11">
            <v>18</v>
          </cell>
          <cell r="D11">
            <v>10</v>
          </cell>
          <cell r="F11">
            <v>8</v>
          </cell>
        </row>
        <row r="12">
          <cell r="B12">
            <v>200710</v>
          </cell>
          <cell r="C12">
            <v>35</v>
          </cell>
          <cell r="D12">
            <v>15</v>
          </cell>
          <cell r="F12">
            <v>20</v>
          </cell>
        </row>
        <row r="13">
          <cell r="B13">
            <v>200810</v>
          </cell>
          <cell r="C13">
            <v>59</v>
          </cell>
          <cell r="D13">
            <v>24</v>
          </cell>
          <cell r="F13">
            <v>35</v>
          </cell>
        </row>
        <row r="14">
          <cell r="B14">
            <v>200910</v>
          </cell>
          <cell r="C14">
            <v>46</v>
          </cell>
          <cell r="D14">
            <v>26</v>
          </cell>
          <cell r="F14">
            <v>19</v>
          </cell>
        </row>
        <row r="15">
          <cell r="B15">
            <v>201010</v>
          </cell>
          <cell r="C15">
            <v>45</v>
          </cell>
          <cell r="D15">
            <v>19</v>
          </cell>
          <cell r="F15">
            <v>26</v>
          </cell>
        </row>
        <row r="16">
          <cell r="B16">
            <v>201110</v>
          </cell>
          <cell r="C16">
            <v>63</v>
          </cell>
          <cell r="D16">
            <v>28</v>
          </cell>
          <cell r="F16">
            <v>34</v>
          </cell>
        </row>
        <row r="17">
          <cell r="B17">
            <v>201210</v>
          </cell>
          <cell r="C17">
            <v>77</v>
          </cell>
          <cell r="D17">
            <v>37</v>
          </cell>
          <cell r="F17">
            <v>39</v>
          </cell>
        </row>
        <row r="18">
          <cell r="B18">
            <v>201310</v>
          </cell>
          <cell r="C18">
            <v>85</v>
          </cell>
          <cell r="D18">
            <v>34</v>
          </cell>
          <cell r="F18">
            <v>49</v>
          </cell>
        </row>
        <row r="19">
          <cell r="B19">
            <v>201410</v>
          </cell>
          <cell r="C19">
            <v>106</v>
          </cell>
          <cell r="D19">
            <v>46</v>
          </cell>
          <cell r="F19">
            <v>60</v>
          </cell>
        </row>
        <row r="20">
          <cell r="B20">
            <v>201510</v>
          </cell>
          <cell r="C20">
            <v>231</v>
          </cell>
          <cell r="D20">
            <v>71</v>
          </cell>
          <cell r="F20">
            <v>154</v>
          </cell>
        </row>
        <row r="21">
          <cell r="B21">
            <v>201610</v>
          </cell>
          <cell r="C21">
            <v>230</v>
          </cell>
          <cell r="D21">
            <v>73</v>
          </cell>
          <cell r="F21">
            <v>151</v>
          </cell>
        </row>
        <row r="22">
          <cell r="B22">
            <v>201710</v>
          </cell>
          <cell r="C22">
            <v>239</v>
          </cell>
          <cell r="D22">
            <v>81</v>
          </cell>
          <cell r="F22">
            <v>144</v>
          </cell>
        </row>
        <row r="23">
          <cell r="B23">
            <v>201810</v>
          </cell>
          <cell r="C23">
            <v>178</v>
          </cell>
          <cell r="D23">
            <v>45</v>
          </cell>
          <cell r="F23">
            <v>95</v>
          </cell>
        </row>
        <row r="24">
          <cell r="B24">
            <v>201910</v>
          </cell>
          <cell r="C24">
            <v>145</v>
          </cell>
          <cell r="D24">
            <v>41</v>
          </cell>
          <cell r="F24">
            <v>13</v>
          </cell>
        </row>
        <row r="25">
          <cell r="B25">
            <v>202010</v>
          </cell>
          <cell r="C25">
            <v>201</v>
          </cell>
          <cell r="D25">
            <v>49</v>
          </cell>
          <cell r="F25">
            <v>0</v>
          </cell>
        </row>
        <row r="26">
          <cell r="B26">
            <v>202110</v>
          </cell>
          <cell r="C26">
            <v>144</v>
          </cell>
          <cell r="D26">
            <v>44</v>
          </cell>
          <cell r="F26">
            <v>0</v>
          </cell>
        </row>
        <row r="27">
          <cell r="B27">
            <v>202210</v>
          </cell>
          <cell r="C27">
            <v>276</v>
          </cell>
          <cell r="D27">
            <v>34</v>
          </cell>
          <cell r="F27">
            <v>0</v>
          </cell>
        </row>
        <row r="28">
          <cell r="B28">
            <v>202310</v>
          </cell>
          <cell r="C28">
            <v>235</v>
          </cell>
          <cell r="D28">
            <v>18</v>
          </cell>
          <cell r="F28">
            <v>0</v>
          </cell>
        </row>
      </sheetData>
      <sheetData sheetId="13"/>
      <sheetData sheetId="14">
        <row r="1">
          <cell r="B1" t="str">
            <v>Actualizado con consulta Noviembre de 2023</v>
          </cell>
          <cell r="C1" t="str">
            <v>FCAE</v>
          </cell>
          <cell r="D1"/>
          <cell r="F1"/>
        </row>
        <row r="2">
          <cell r="C2"/>
          <cell r="D2"/>
          <cell r="F2"/>
        </row>
        <row r="4">
          <cell r="B4" t="str">
            <v>Cohortes períodos</v>
          </cell>
          <cell r="C4" t="str">
            <v>Número estudiantes</v>
          </cell>
          <cell r="D4" t="str">
            <v>retirados</v>
          </cell>
          <cell r="F4" t="str">
            <v>Graduados</v>
          </cell>
        </row>
        <row r="5">
          <cell r="B5">
            <v>200010</v>
          </cell>
          <cell r="C5">
            <v>21</v>
          </cell>
          <cell r="D5">
            <v>9</v>
          </cell>
          <cell r="F5">
            <v>12</v>
          </cell>
        </row>
        <row r="6">
          <cell r="B6">
            <v>200110</v>
          </cell>
          <cell r="C6">
            <v>20</v>
          </cell>
          <cell r="D6">
            <v>9</v>
          </cell>
          <cell r="F6">
            <v>11</v>
          </cell>
        </row>
        <row r="7">
          <cell r="B7">
            <v>200210</v>
          </cell>
          <cell r="C7">
            <v>50</v>
          </cell>
          <cell r="D7">
            <v>26</v>
          </cell>
          <cell r="F7">
            <v>24</v>
          </cell>
        </row>
        <row r="8">
          <cell r="B8">
            <v>200310</v>
          </cell>
          <cell r="C8">
            <v>52</v>
          </cell>
          <cell r="D8">
            <v>33</v>
          </cell>
          <cell r="F8">
            <v>19</v>
          </cell>
        </row>
        <row r="9">
          <cell r="B9">
            <v>200410</v>
          </cell>
          <cell r="C9">
            <v>55</v>
          </cell>
          <cell r="D9">
            <v>26</v>
          </cell>
          <cell r="F9">
            <v>29</v>
          </cell>
        </row>
        <row r="10">
          <cell r="B10">
            <v>200510</v>
          </cell>
          <cell r="C10">
            <v>40</v>
          </cell>
          <cell r="D10">
            <v>28</v>
          </cell>
          <cell r="F10">
            <v>12</v>
          </cell>
        </row>
        <row r="11">
          <cell r="B11">
            <v>200610</v>
          </cell>
          <cell r="C11">
            <v>77</v>
          </cell>
          <cell r="D11">
            <v>46</v>
          </cell>
          <cell r="F11">
            <v>31</v>
          </cell>
        </row>
        <row r="12">
          <cell r="B12">
            <v>200710</v>
          </cell>
          <cell r="C12">
            <v>83</v>
          </cell>
          <cell r="D12">
            <v>46</v>
          </cell>
          <cell r="F12">
            <v>37</v>
          </cell>
        </row>
        <row r="13">
          <cell r="B13">
            <v>200810</v>
          </cell>
          <cell r="C13">
            <v>103</v>
          </cell>
          <cell r="D13">
            <v>54</v>
          </cell>
          <cell r="F13">
            <v>49</v>
          </cell>
        </row>
        <row r="14">
          <cell r="B14">
            <v>200910</v>
          </cell>
          <cell r="C14">
            <v>94</v>
          </cell>
          <cell r="D14">
            <v>53</v>
          </cell>
          <cell r="F14">
            <v>40</v>
          </cell>
        </row>
        <row r="15">
          <cell r="B15">
            <v>201010</v>
          </cell>
          <cell r="C15">
            <v>69</v>
          </cell>
          <cell r="D15">
            <v>35</v>
          </cell>
          <cell r="F15">
            <v>34</v>
          </cell>
        </row>
        <row r="16">
          <cell r="B16">
            <v>201110</v>
          </cell>
          <cell r="C16">
            <v>114</v>
          </cell>
          <cell r="D16">
            <v>49</v>
          </cell>
          <cell r="F16">
            <v>65</v>
          </cell>
        </row>
        <row r="17">
          <cell r="B17">
            <v>201210</v>
          </cell>
          <cell r="C17">
            <v>122</v>
          </cell>
          <cell r="D17">
            <v>54</v>
          </cell>
          <cell r="F17">
            <v>68</v>
          </cell>
        </row>
        <row r="18">
          <cell r="B18">
            <v>201310</v>
          </cell>
          <cell r="C18">
            <v>143</v>
          </cell>
          <cell r="D18">
            <v>58</v>
          </cell>
          <cell r="F18">
            <v>85</v>
          </cell>
        </row>
        <row r="19">
          <cell r="B19">
            <v>201410</v>
          </cell>
          <cell r="C19">
            <v>124</v>
          </cell>
          <cell r="D19">
            <v>48</v>
          </cell>
          <cell r="F19">
            <v>76</v>
          </cell>
        </row>
        <row r="20">
          <cell r="B20">
            <v>201510</v>
          </cell>
          <cell r="C20">
            <v>188</v>
          </cell>
          <cell r="D20">
            <v>65</v>
          </cell>
          <cell r="F20">
            <v>121</v>
          </cell>
        </row>
        <row r="21">
          <cell r="B21">
            <v>201610</v>
          </cell>
          <cell r="C21">
            <v>229</v>
          </cell>
          <cell r="D21">
            <v>87</v>
          </cell>
          <cell r="F21">
            <v>141</v>
          </cell>
        </row>
        <row r="22">
          <cell r="B22">
            <v>201710</v>
          </cell>
          <cell r="C22">
            <v>156</v>
          </cell>
          <cell r="D22">
            <v>44</v>
          </cell>
          <cell r="F22">
            <v>109</v>
          </cell>
        </row>
        <row r="23">
          <cell r="B23">
            <v>201810</v>
          </cell>
          <cell r="C23">
            <v>101</v>
          </cell>
          <cell r="D23">
            <v>31</v>
          </cell>
          <cell r="F23">
            <v>55</v>
          </cell>
        </row>
        <row r="24">
          <cell r="B24">
            <v>201910</v>
          </cell>
          <cell r="C24">
            <v>81</v>
          </cell>
          <cell r="D24">
            <v>19</v>
          </cell>
          <cell r="F24">
            <v>7</v>
          </cell>
        </row>
        <row r="25">
          <cell r="B25">
            <v>202010</v>
          </cell>
          <cell r="C25">
            <v>81</v>
          </cell>
          <cell r="D25">
            <v>22</v>
          </cell>
          <cell r="F25">
            <v>3</v>
          </cell>
        </row>
        <row r="26">
          <cell r="B26">
            <v>202110</v>
          </cell>
          <cell r="C26">
            <v>78</v>
          </cell>
          <cell r="D26">
            <v>10</v>
          </cell>
          <cell r="F26">
            <v>0</v>
          </cell>
        </row>
        <row r="27">
          <cell r="B27">
            <v>202210</v>
          </cell>
          <cell r="C27">
            <v>159</v>
          </cell>
          <cell r="D27">
            <v>24</v>
          </cell>
          <cell r="F27">
            <v>0</v>
          </cell>
        </row>
        <row r="28">
          <cell r="B28">
            <v>202310</v>
          </cell>
          <cell r="C28">
            <v>104</v>
          </cell>
          <cell r="D28">
            <v>7</v>
          </cell>
          <cell r="F28">
            <v>0</v>
          </cell>
        </row>
      </sheetData>
      <sheetData sheetId="15"/>
      <sheetData sheetId="16">
        <row r="1">
          <cell r="B1" t="str">
            <v>Actualizado con consulta Noviembre de 2023</v>
          </cell>
          <cell r="C1" t="str">
            <v>FDCS</v>
          </cell>
          <cell r="D1"/>
          <cell r="F1"/>
        </row>
        <row r="4">
          <cell r="B4" t="str">
            <v>Cohortes períodos</v>
          </cell>
          <cell r="C4" t="str">
            <v>Número estudiantes</v>
          </cell>
          <cell r="D4" t="str">
            <v>retirados</v>
          </cell>
          <cell r="F4" t="str">
            <v>Graduados</v>
          </cell>
        </row>
        <row r="5">
          <cell r="B5">
            <v>200110</v>
          </cell>
          <cell r="C5">
            <v>1</v>
          </cell>
          <cell r="D5">
            <v>0</v>
          </cell>
          <cell r="F5">
            <v>1</v>
          </cell>
        </row>
        <row r="6">
          <cell r="B6">
            <v>200210</v>
          </cell>
          <cell r="C6">
            <v>5</v>
          </cell>
          <cell r="D6">
            <v>0</v>
          </cell>
          <cell r="F6">
            <v>5</v>
          </cell>
        </row>
        <row r="7">
          <cell r="B7">
            <v>200310</v>
          </cell>
          <cell r="C7">
            <v>8</v>
          </cell>
          <cell r="D7">
            <v>3</v>
          </cell>
          <cell r="F7">
            <v>5</v>
          </cell>
        </row>
        <row r="8">
          <cell r="B8">
            <v>200410</v>
          </cell>
          <cell r="C8">
            <v>3</v>
          </cell>
          <cell r="D8">
            <v>0</v>
          </cell>
          <cell r="F8">
            <v>3</v>
          </cell>
        </row>
        <row r="9">
          <cell r="B9">
            <v>200510</v>
          </cell>
          <cell r="C9">
            <v>2</v>
          </cell>
          <cell r="D9">
            <v>0</v>
          </cell>
          <cell r="F9">
            <v>2</v>
          </cell>
        </row>
        <row r="10">
          <cell r="B10">
            <v>200610</v>
          </cell>
          <cell r="C10">
            <v>6</v>
          </cell>
          <cell r="D10">
            <v>4</v>
          </cell>
          <cell r="F10">
            <v>2</v>
          </cell>
        </row>
        <row r="11">
          <cell r="B11">
            <v>200710</v>
          </cell>
          <cell r="C11">
            <v>13</v>
          </cell>
          <cell r="D11">
            <v>5</v>
          </cell>
          <cell r="F11">
            <v>8</v>
          </cell>
        </row>
        <row r="12">
          <cell r="B12">
            <v>200810</v>
          </cell>
          <cell r="C12">
            <v>27</v>
          </cell>
          <cell r="D12">
            <v>11</v>
          </cell>
          <cell r="F12">
            <v>16</v>
          </cell>
        </row>
        <row r="13">
          <cell r="B13">
            <v>200910</v>
          </cell>
          <cell r="C13">
            <v>22</v>
          </cell>
          <cell r="D13">
            <v>10</v>
          </cell>
          <cell r="F13">
            <v>11</v>
          </cell>
        </row>
        <row r="14">
          <cell r="B14">
            <v>201010</v>
          </cell>
          <cell r="C14">
            <v>19</v>
          </cell>
          <cell r="D14">
            <v>7</v>
          </cell>
          <cell r="F14">
            <v>12</v>
          </cell>
        </row>
        <row r="15">
          <cell r="B15">
            <v>201110</v>
          </cell>
          <cell r="C15">
            <v>34</v>
          </cell>
          <cell r="D15">
            <v>15</v>
          </cell>
          <cell r="F15">
            <v>18</v>
          </cell>
        </row>
        <row r="16">
          <cell r="B16">
            <v>201210</v>
          </cell>
          <cell r="C16">
            <v>55</v>
          </cell>
          <cell r="D16">
            <v>25</v>
          </cell>
          <cell r="F16">
            <v>29</v>
          </cell>
        </row>
        <row r="17">
          <cell r="B17">
            <v>201310</v>
          </cell>
          <cell r="C17">
            <v>63</v>
          </cell>
          <cell r="D17">
            <v>22</v>
          </cell>
          <cell r="F17">
            <v>39</v>
          </cell>
        </row>
        <row r="18">
          <cell r="B18">
            <v>201410</v>
          </cell>
          <cell r="C18">
            <v>75</v>
          </cell>
          <cell r="D18">
            <v>36</v>
          </cell>
          <cell r="F18">
            <v>39</v>
          </cell>
        </row>
        <row r="19">
          <cell r="B19">
            <v>201510</v>
          </cell>
          <cell r="C19">
            <v>187</v>
          </cell>
          <cell r="D19">
            <v>57</v>
          </cell>
          <cell r="F19">
            <v>125</v>
          </cell>
        </row>
        <row r="20">
          <cell r="B20">
            <v>201610</v>
          </cell>
          <cell r="C20">
            <v>191</v>
          </cell>
          <cell r="D20">
            <v>62</v>
          </cell>
          <cell r="F20">
            <v>126</v>
          </cell>
        </row>
        <row r="21">
          <cell r="B21">
            <v>201710</v>
          </cell>
          <cell r="C21">
            <v>171</v>
          </cell>
          <cell r="D21">
            <v>56</v>
          </cell>
          <cell r="F21">
            <v>107</v>
          </cell>
        </row>
        <row r="22">
          <cell r="B22">
            <v>201810</v>
          </cell>
          <cell r="C22">
            <v>114</v>
          </cell>
          <cell r="D22">
            <v>27</v>
          </cell>
          <cell r="F22">
            <v>65</v>
          </cell>
        </row>
        <row r="23">
          <cell r="B23">
            <v>201910</v>
          </cell>
          <cell r="C23">
            <v>81</v>
          </cell>
          <cell r="D23">
            <v>17</v>
          </cell>
          <cell r="F23">
            <v>7</v>
          </cell>
        </row>
        <row r="24">
          <cell r="B24">
            <v>202010</v>
          </cell>
          <cell r="C24">
            <v>129</v>
          </cell>
          <cell r="D24">
            <v>29</v>
          </cell>
          <cell r="F24">
            <v>0</v>
          </cell>
        </row>
        <row r="25">
          <cell r="B25">
            <v>202110</v>
          </cell>
          <cell r="C25">
            <v>81</v>
          </cell>
          <cell r="D25">
            <v>23</v>
          </cell>
          <cell r="F25">
            <v>0</v>
          </cell>
        </row>
        <row r="26">
          <cell r="B26">
            <v>202210</v>
          </cell>
          <cell r="C26">
            <v>180</v>
          </cell>
          <cell r="D26">
            <v>20</v>
          </cell>
          <cell r="F26">
            <v>0</v>
          </cell>
        </row>
        <row r="27">
          <cell r="B27">
            <v>202310</v>
          </cell>
          <cell r="C27">
            <v>151</v>
          </cell>
          <cell r="D27">
            <v>12</v>
          </cell>
          <cell r="F27">
            <v>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ESI"/>
      <sheetName val="ICESI 123"/>
      <sheetName val="ICESI SIN ADN"/>
      <sheetName val="ICESI SIN ADN 123"/>
      <sheetName val="ICESI SIN ADN NI MED"/>
      <sheetName val="ICESI SIN ADN NI MED 123"/>
      <sheetName val="MED"/>
      <sheetName val="MED 123"/>
      <sheetName val="PROGRAMA"/>
      <sheetName val="PROGRAMA 123"/>
      <sheetName val="FCAE"/>
      <sheetName val="FIDCA"/>
      <sheetName val="FCH"/>
      <sheetName val="FCS"/>
      <sheetName val="FCAE 123"/>
      <sheetName val="FIDCA 123"/>
      <sheetName val="FCH 123"/>
      <sheetName val="FCS 123"/>
    </sheetNames>
    <sheetDataSet>
      <sheetData sheetId="0"/>
      <sheetData sheetId="1"/>
      <sheetData sheetId="2"/>
      <sheetData sheetId="3">
        <row r="1">
          <cell r="A1" t="str">
            <v>Periodo de ingreso  - Estudiante</v>
          </cell>
          <cell r="B1" t="str">
            <v>No. Estudiantes</v>
          </cell>
          <cell r="C1" t="str">
            <v>No. Retirados Universidad</v>
          </cell>
          <cell r="D1" t="str">
            <v>No. Graduados Universidad</v>
          </cell>
        </row>
        <row r="2">
          <cell r="A2" t="str">
            <v>198610</v>
          </cell>
          <cell r="B2">
            <v>1</v>
          </cell>
          <cell r="C2">
            <v>1</v>
          </cell>
          <cell r="D2">
            <v>0</v>
          </cell>
        </row>
        <row r="3">
          <cell r="A3" t="str">
            <v>199020</v>
          </cell>
          <cell r="B3">
            <v>1</v>
          </cell>
          <cell r="C3">
            <v>1</v>
          </cell>
          <cell r="D3">
            <v>0</v>
          </cell>
        </row>
        <row r="4">
          <cell r="A4" t="str">
            <v>199310</v>
          </cell>
          <cell r="B4">
            <v>1</v>
          </cell>
          <cell r="C4">
            <v>0</v>
          </cell>
          <cell r="D4">
            <v>1</v>
          </cell>
        </row>
        <row r="5">
          <cell r="A5" t="str">
            <v>199320</v>
          </cell>
          <cell r="B5">
            <v>1</v>
          </cell>
          <cell r="C5">
            <v>0</v>
          </cell>
          <cell r="D5">
            <v>1</v>
          </cell>
        </row>
        <row r="6">
          <cell r="A6" t="str">
            <v>199410</v>
          </cell>
          <cell r="B6">
            <v>3</v>
          </cell>
          <cell r="C6">
            <v>2</v>
          </cell>
          <cell r="D6">
            <v>1</v>
          </cell>
        </row>
        <row r="7">
          <cell r="A7" t="str">
            <v>199420</v>
          </cell>
          <cell r="B7">
            <v>2</v>
          </cell>
          <cell r="C7">
            <v>2</v>
          </cell>
          <cell r="D7">
            <v>0</v>
          </cell>
        </row>
        <row r="8">
          <cell r="A8" t="str">
            <v>199510</v>
          </cell>
          <cell r="B8">
            <v>4</v>
          </cell>
          <cell r="C8">
            <v>1</v>
          </cell>
          <cell r="D8">
            <v>3</v>
          </cell>
        </row>
        <row r="9">
          <cell r="A9" t="str">
            <v>199520</v>
          </cell>
          <cell r="B9">
            <v>13</v>
          </cell>
          <cell r="C9">
            <v>1</v>
          </cell>
          <cell r="D9">
            <v>12</v>
          </cell>
        </row>
        <row r="10">
          <cell r="A10" t="str">
            <v>199610</v>
          </cell>
          <cell r="B10">
            <v>1</v>
          </cell>
          <cell r="C10">
            <v>0</v>
          </cell>
          <cell r="D10">
            <v>1</v>
          </cell>
        </row>
        <row r="11">
          <cell r="A11" t="str">
            <v>199620</v>
          </cell>
          <cell r="B11">
            <v>32</v>
          </cell>
          <cell r="C11">
            <v>14</v>
          </cell>
          <cell r="D11">
            <v>18</v>
          </cell>
        </row>
        <row r="12">
          <cell r="A12" t="str">
            <v>199710</v>
          </cell>
          <cell r="B12">
            <v>9</v>
          </cell>
          <cell r="C12">
            <v>4</v>
          </cell>
          <cell r="D12">
            <v>5</v>
          </cell>
        </row>
        <row r="13">
          <cell r="A13" t="str">
            <v>199720</v>
          </cell>
          <cell r="B13">
            <v>31</v>
          </cell>
          <cell r="C13">
            <v>12</v>
          </cell>
          <cell r="D13">
            <v>19</v>
          </cell>
        </row>
        <row r="14">
          <cell r="A14" t="str">
            <v>199810</v>
          </cell>
          <cell r="B14">
            <v>22</v>
          </cell>
          <cell r="C14">
            <v>9</v>
          </cell>
          <cell r="D14">
            <v>13</v>
          </cell>
        </row>
        <row r="15">
          <cell r="A15" t="str">
            <v>199820</v>
          </cell>
          <cell r="B15">
            <v>60</v>
          </cell>
          <cell r="C15">
            <v>28</v>
          </cell>
          <cell r="D15">
            <v>32</v>
          </cell>
        </row>
        <row r="16">
          <cell r="A16" t="str">
            <v>199910</v>
          </cell>
          <cell r="B16">
            <v>38</v>
          </cell>
          <cell r="C16">
            <v>21</v>
          </cell>
          <cell r="D16">
            <v>17</v>
          </cell>
        </row>
        <row r="17">
          <cell r="A17" t="str">
            <v>199920</v>
          </cell>
          <cell r="B17">
            <v>68</v>
          </cell>
          <cell r="C17">
            <v>29</v>
          </cell>
          <cell r="D17">
            <v>39</v>
          </cell>
        </row>
        <row r="18">
          <cell r="A18" t="str">
            <v>200010</v>
          </cell>
          <cell r="B18">
            <v>31</v>
          </cell>
          <cell r="C18">
            <v>14</v>
          </cell>
          <cell r="D18">
            <v>17</v>
          </cell>
        </row>
        <row r="19">
          <cell r="A19" t="str">
            <v>200020</v>
          </cell>
          <cell r="B19">
            <v>95</v>
          </cell>
          <cell r="C19">
            <v>53</v>
          </cell>
          <cell r="D19">
            <v>42</v>
          </cell>
        </row>
        <row r="20">
          <cell r="A20" t="str">
            <v>200110</v>
          </cell>
          <cell r="B20">
            <v>17</v>
          </cell>
          <cell r="C20">
            <v>5</v>
          </cell>
          <cell r="D20">
            <v>12</v>
          </cell>
        </row>
        <row r="21">
          <cell r="A21" t="str">
            <v>200120</v>
          </cell>
          <cell r="B21">
            <v>68</v>
          </cell>
          <cell r="C21">
            <v>32</v>
          </cell>
          <cell r="D21">
            <v>36</v>
          </cell>
        </row>
        <row r="22">
          <cell r="A22" t="str">
            <v>200210</v>
          </cell>
          <cell r="B22">
            <v>42</v>
          </cell>
          <cell r="C22">
            <v>26</v>
          </cell>
          <cell r="D22">
            <v>16</v>
          </cell>
        </row>
        <row r="23">
          <cell r="A23" t="str">
            <v>200220</v>
          </cell>
          <cell r="B23">
            <v>74</v>
          </cell>
          <cell r="C23">
            <v>42</v>
          </cell>
          <cell r="D23">
            <v>32</v>
          </cell>
        </row>
        <row r="24">
          <cell r="A24" t="str">
            <v>200310</v>
          </cell>
          <cell r="B24">
            <v>43</v>
          </cell>
          <cell r="C24">
            <v>22</v>
          </cell>
          <cell r="D24">
            <v>21</v>
          </cell>
        </row>
        <row r="25">
          <cell r="A25" t="str">
            <v>200320</v>
          </cell>
          <cell r="B25">
            <v>122</v>
          </cell>
          <cell r="C25">
            <v>60</v>
          </cell>
          <cell r="D25">
            <v>62</v>
          </cell>
        </row>
        <row r="26">
          <cell r="A26" t="str">
            <v>200410</v>
          </cell>
          <cell r="B26">
            <v>45</v>
          </cell>
          <cell r="C26">
            <v>18</v>
          </cell>
          <cell r="D26">
            <v>27</v>
          </cell>
        </row>
        <row r="27">
          <cell r="A27" t="str">
            <v>200420</v>
          </cell>
          <cell r="B27">
            <v>116</v>
          </cell>
          <cell r="C27">
            <v>53</v>
          </cell>
          <cell r="D27">
            <v>63</v>
          </cell>
        </row>
        <row r="28">
          <cell r="A28" t="str">
            <v>200510</v>
          </cell>
          <cell r="B28">
            <v>44</v>
          </cell>
          <cell r="C28">
            <v>23</v>
          </cell>
          <cell r="D28">
            <v>21</v>
          </cell>
        </row>
        <row r="29">
          <cell r="A29" t="str">
            <v>200520</v>
          </cell>
          <cell r="B29">
            <v>143</v>
          </cell>
          <cell r="C29">
            <v>69</v>
          </cell>
          <cell r="D29">
            <v>74</v>
          </cell>
        </row>
        <row r="30">
          <cell r="A30" t="str">
            <v>200610</v>
          </cell>
          <cell r="B30">
            <v>75</v>
          </cell>
          <cell r="C30">
            <v>29</v>
          </cell>
          <cell r="D30">
            <v>46</v>
          </cell>
        </row>
        <row r="31">
          <cell r="A31" t="str">
            <v>200620</v>
          </cell>
          <cell r="B31">
            <v>239</v>
          </cell>
          <cell r="C31">
            <v>92</v>
          </cell>
          <cell r="D31">
            <v>147</v>
          </cell>
        </row>
        <row r="32">
          <cell r="A32" t="str">
            <v>200710</v>
          </cell>
          <cell r="B32">
            <v>108</v>
          </cell>
          <cell r="C32">
            <v>50</v>
          </cell>
          <cell r="D32">
            <v>58</v>
          </cell>
        </row>
        <row r="33">
          <cell r="A33" t="str">
            <v>200720</v>
          </cell>
          <cell r="B33">
            <v>237</v>
          </cell>
          <cell r="C33">
            <v>95</v>
          </cell>
          <cell r="D33">
            <v>142</v>
          </cell>
        </row>
        <row r="34">
          <cell r="A34" t="str">
            <v>200810</v>
          </cell>
          <cell r="B34">
            <v>133</v>
          </cell>
          <cell r="C34">
            <v>57</v>
          </cell>
          <cell r="D34">
            <v>76</v>
          </cell>
        </row>
        <row r="35">
          <cell r="A35" t="str">
            <v>200820</v>
          </cell>
          <cell r="B35">
            <v>288</v>
          </cell>
          <cell r="C35">
            <v>96</v>
          </cell>
          <cell r="D35">
            <v>192</v>
          </cell>
        </row>
        <row r="36">
          <cell r="A36" t="str">
            <v>200910</v>
          </cell>
          <cell r="B36">
            <v>153</v>
          </cell>
          <cell r="C36">
            <v>63</v>
          </cell>
          <cell r="D36">
            <v>89</v>
          </cell>
        </row>
        <row r="37">
          <cell r="A37" t="str">
            <v>200920</v>
          </cell>
          <cell r="B37">
            <v>244</v>
          </cell>
          <cell r="C37">
            <v>85</v>
          </cell>
          <cell r="D37">
            <v>159</v>
          </cell>
        </row>
        <row r="38">
          <cell r="A38" t="str">
            <v>201010</v>
          </cell>
          <cell r="B38">
            <v>140</v>
          </cell>
          <cell r="C38">
            <v>61</v>
          </cell>
          <cell r="D38">
            <v>79</v>
          </cell>
        </row>
        <row r="39">
          <cell r="A39" t="str">
            <v>201020</v>
          </cell>
          <cell r="B39">
            <v>206</v>
          </cell>
          <cell r="C39">
            <v>68</v>
          </cell>
          <cell r="D39">
            <v>137</v>
          </cell>
        </row>
        <row r="40">
          <cell r="A40" t="str">
            <v>201110</v>
          </cell>
          <cell r="B40">
            <v>218</v>
          </cell>
          <cell r="C40">
            <v>88</v>
          </cell>
          <cell r="D40">
            <v>129</v>
          </cell>
        </row>
        <row r="41">
          <cell r="A41" t="str">
            <v>201120</v>
          </cell>
          <cell r="B41">
            <v>299</v>
          </cell>
          <cell r="C41">
            <v>96</v>
          </cell>
          <cell r="D41">
            <v>202</v>
          </cell>
        </row>
        <row r="42">
          <cell r="A42" t="str">
            <v>201210</v>
          </cell>
          <cell r="B42">
            <v>286</v>
          </cell>
          <cell r="C42">
            <v>120</v>
          </cell>
          <cell r="D42">
            <v>164</v>
          </cell>
        </row>
        <row r="43">
          <cell r="A43" t="str">
            <v>201220</v>
          </cell>
          <cell r="B43">
            <v>273</v>
          </cell>
          <cell r="C43">
            <v>109</v>
          </cell>
          <cell r="D43">
            <v>163</v>
          </cell>
        </row>
        <row r="44">
          <cell r="A44" t="str">
            <v>201310</v>
          </cell>
          <cell r="B44">
            <v>326</v>
          </cell>
          <cell r="C44">
            <v>118</v>
          </cell>
          <cell r="D44">
            <v>207</v>
          </cell>
        </row>
        <row r="45">
          <cell r="A45" t="str">
            <v>201320</v>
          </cell>
          <cell r="B45">
            <v>274</v>
          </cell>
          <cell r="C45">
            <v>87</v>
          </cell>
          <cell r="D45">
            <v>184</v>
          </cell>
        </row>
        <row r="46">
          <cell r="A46" t="str">
            <v>201410</v>
          </cell>
          <cell r="B46">
            <v>314</v>
          </cell>
          <cell r="C46">
            <v>105</v>
          </cell>
          <cell r="D46">
            <v>209</v>
          </cell>
        </row>
        <row r="47">
          <cell r="A47" t="str">
            <v>201420</v>
          </cell>
          <cell r="B47">
            <v>334</v>
          </cell>
          <cell r="C47">
            <v>117</v>
          </cell>
          <cell r="D47">
            <v>213</v>
          </cell>
        </row>
        <row r="48">
          <cell r="A48" t="str">
            <v>201510</v>
          </cell>
          <cell r="B48">
            <v>662</v>
          </cell>
          <cell r="C48">
            <v>164</v>
          </cell>
          <cell r="D48">
            <v>489</v>
          </cell>
        </row>
        <row r="49">
          <cell r="A49" t="str">
            <v>201520</v>
          </cell>
          <cell r="B49">
            <v>261</v>
          </cell>
          <cell r="C49">
            <v>83</v>
          </cell>
          <cell r="D49">
            <v>173</v>
          </cell>
        </row>
        <row r="50">
          <cell r="A50" t="str">
            <v>201610</v>
          </cell>
          <cell r="B50">
            <v>791</v>
          </cell>
          <cell r="C50">
            <v>232</v>
          </cell>
          <cell r="D50">
            <v>551</v>
          </cell>
        </row>
        <row r="51">
          <cell r="A51" t="str">
            <v>201620</v>
          </cell>
          <cell r="B51">
            <v>280</v>
          </cell>
          <cell r="C51">
            <v>95</v>
          </cell>
          <cell r="D51">
            <v>182</v>
          </cell>
        </row>
        <row r="52">
          <cell r="A52" t="str">
            <v>201710</v>
          </cell>
          <cell r="B52">
            <v>629</v>
          </cell>
          <cell r="C52">
            <v>156</v>
          </cell>
          <cell r="D52">
            <v>452</v>
          </cell>
        </row>
        <row r="53">
          <cell r="A53" t="str">
            <v>201720</v>
          </cell>
          <cell r="B53">
            <v>244</v>
          </cell>
          <cell r="C53">
            <v>57</v>
          </cell>
          <cell r="D53">
            <v>165</v>
          </cell>
        </row>
        <row r="54">
          <cell r="A54" t="str">
            <v>201810</v>
          </cell>
          <cell r="B54">
            <v>438</v>
          </cell>
          <cell r="C54">
            <v>92</v>
          </cell>
          <cell r="D54">
            <v>281</v>
          </cell>
        </row>
        <row r="55">
          <cell r="A55" t="str">
            <v>201820</v>
          </cell>
          <cell r="B55">
            <v>219</v>
          </cell>
          <cell r="C55">
            <v>63</v>
          </cell>
          <cell r="D55">
            <v>101</v>
          </cell>
        </row>
        <row r="56">
          <cell r="A56" t="str">
            <v>201910</v>
          </cell>
          <cell r="B56">
            <v>307</v>
          </cell>
          <cell r="C56">
            <v>52</v>
          </cell>
          <cell r="D56">
            <v>126</v>
          </cell>
        </row>
        <row r="57">
          <cell r="A57" t="str">
            <v>201920</v>
          </cell>
          <cell r="B57">
            <v>193</v>
          </cell>
          <cell r="C57">
            <v>37</v>
          </cell>
          <cell r="D57">
            <v>4</v>
          </cell>
        </row>
        <row r="58">
          <cell r="A58" t="str">
            <v>202010</v>
          </cell>
          <cell r="B58">
            <v>417</v>
          </cell>
          <cell r="C58">
            <v>55</v>
          </cell>
          <cell r="D58">
            <v>0</v>
          </cell>
        </row>
        <row r="59">
          <cell r="A59" t="str">
            <v>202020</v>
          </cell>
          <cell r="B59">
            <v>168</v>
          </cell>
          <cell r="C59">
            <v>26</v>
          </cell>
          <cell r="D59">
            <v>0</v>
          </cell>
        </row>
        <row r="60">
          <cell r="A60" t="str">
            <v>202110</v>
          </cell>
          <cell r="B60">
            <v>276</v>
          </cell>
          <cell r="C60">
            <v>35</v>
          </cell>
          <cell r="D60">
            <v>1</v>
          </cell>
        </row>
        <row r="61">
          <cell r="A61" t="str">
            <v>202120</v>
          </cell>
          <cell r="B61">
            <v>250</v>
          </cell>
          <cell r="C61">
            <v>31</v>
          </cell>
          <cell r="D61">
            <v>0</v>
          </cell>
        </row>
        <row r="62">
          <cell r="A62" t="str">
            <v>202210</v>
          </cell>
          <cell r="B62">
            <v>421</v>
          </cell>
          <cell r="C62">
            <v>41</v>
          </cell>
          <cell r="D62">
            <v>0</v>
          </cell>
        </row>
        <row r="63">
          <cell r="A63" t="str">
            <v>202220</v>
          </cell>
          <cell r="B63">
            <v>357</v>
          </cell>
          <cell r="C63">
            <v>52</v>
          </cell>
          <cell r="D63">
            <v>0</v>
          </cell>
        </row>
        <row r="64">
          <cell r="A64" t="str">
            <v>202310</v>
          </cell>
          <cell r="B64">
            <v>393</v>
          </cell>
          <cell r="C64">
            <v>43</v>
          </cell>
          <cell r="D64">
            <v>0</v>
          </cell>
        </row>
        <row r="65">
          <cell r="A65" t="str">
            <v>202320</v>
          </cell>
          <cell r="B65">
            <v>347</v>
          </cell>
          <cell r="C65">
            <v>18</v>
          </cell>
          <cell r="D65">
            <v>0</v>
          </cell>
        </row>
      </sheetData>
      <sheetData sheetId="4"/>
      <sheetData sheetId="5"/>
      <sheetData sheetId="6"/>
      <sheetData sheetId="7"/>
      <sheetData sheetId="8">
        <row r="1">
          <cell r="A1" t="str">
            <v>Programa</v>
          </cell>
          <cell r="B1" t="str">
            <v>Periodo de ingreso - programa</v>
          </cell>
          <cell r="C1" t="str">
            <v>No. Estudiantes</v>
          </cell>
          <cell r="D1" t="str">
            <v>No. Retirados Programa</v>
          </cell>
          <cell r="E1" t="str">
            <v>No. Graduados Programa</v>
          </cell>
        </row>
        <row r="2">
          <cell r="A2" t="str">
            <v>ADD</v>
          </cell>
          <cell r="B2" t="str">
            <v>197920</v>
          </cell>
          <cell r="C2">
            <v>40</v>
          </cell>
          <cell r="D2">
            <v>28</v>
          </cell>
          <cell r="E2">
            <v>12</v>
          </cell>
        </row>
        <row r="3">
          <cell r="A3" t="str">
            <v>ADD</v>
          </cell>
          <cell r="B3" t="str">
            <v>198010</v>
          </cell>
          <cell r="C3">
            <v>5</v>
          </cell>
          <cell r="D3">
            <v>1</v>
          </cell>
          <cell r="E3">
            <v>4</v>
          </cell>
        </row>
        <row r="4">
          <cell r="A4" t="str">
            <v>ADD</v>
          </cell>
          <cell r="B4" t="str">
            <v>198020</v>
          </cell>
          <cell r="C4">
            <v>37</v>
          </cell>
          <cell r="D4">
            <v>15</v>
          </cell>
          <cell r="E4">
            <v>22</v>
          </cell>
        </row>
        <row r="5">
          <cell r="A5" t="str">
            <v>ADD</v>
          </cell>
          <cell r="B5" t="str">
            <v>198110</v>
          </cell>
          <cell r="C5">
            <v>4</v>
          </cell>
          <cell r="D5">
            <v>1</v>
          </cell>
          <cell r="E5">
            <v>3</v>
          </cell>
        </row>
        <row r="6">
          <cell r="A6" t="str">
            <v>ADD</v>
          </cell>
          <cell r="B6" t="str">
            <v>198120</v>
          </cell>
          <cell r="C6">
            <v>42</v>
          </cell>
          <cell r="D6">
            <v>13</v>
          </cell>
          <cell r="E6">
            <v>29</v>
          </cell>
        </row>
        <row r="7">
          <cell r="A7" t="str">
            <v>ADD</v>
          </cell>
          <cell r="B7" t="str">
            <v>198210</v>
          </cell>
          <cell r="C7">
            <v>40</v>
          </cell>
          <cell r="D7">
            <v>25</v>
          </cell>
          <cell r="E7">
            <v>15</v>
          </cell>
        </row>
        <row r="8">
          <cell r="A8" t="str">
            <v>ADD</v>
          </cell>
          <cell r="B8" t="str">
            <v>198220</v>
          </cell>
          <cell r="C8">
            <v>52</v>
          </cell>
          <cell r="D8">
            <v>33</v>
          </cell>
          <cell r="E8">
            <v>19</v>
          </cell>
        </row>
        <row r="9">
          <cell r="A9" t="str">
            <v>ADD</v>
          </cell>
          <cell r="B9" t="str">
            <v>198310</v>
          </cell>
          <cell r="C9">
            <v>43</v>
          </cell>
          <cell r="D9">
            <v>24</v>
          </cell>
          <cell r="E9">
            <v>19</v>
          </cell>
        </row>
        <row r="10">
          <cell r="A10" t="str">
            <v>ADD</v>
          </cell>
          <cell r="B10" t="str">
            <v>198320</v>
          </cell>
          <cell r="C10">
            <v>60</v>
          </cell>
          <cell r="D10">
            <v>29</v>
          </cell>
          <cell r="E10">
            <v>31</v>
          </cell>
        </row>
        <row r="11">
          <cell r="A11" t="str">
            <v>ADD</v>
          </cell>
          <cell r="B11" t="str">
            <v>198410</v>
          </cell>
          <cell r="C11">
            <v>58</v>
          </cell>
          <cell r="D11">
            <v>36</v>
          </cell>
          <cell r="E11">
            <v>22</v>
          </cell>
        </row>
        <row r="12">
          <cell r="A12" t="str">
            <v>ADD</v>
          </cell>
          <cell r="B12" t="str">
            <v>198420</v>
          </cell>
          <cell r="C12">
            <v>52</v>
          </cell>
          <cell r="D12">
            <v>27</v>
          </cell>
          <cell r="E12">
            <v>25</v>
          </cell>
        </row>
        <row r="13">
          <cell r="A13" t="str">
            <v>ADD</v>
          </cell>
          <cell r="B13" t="str">
            <v>198510</v>
          </cell>
          <cell r="C13">
            <v>42</v>
          </cell>
          <cell r="D13">
            <v>29</v>
          </cell>
          <cell r="E13">
            <v>13</v>
          </cell>
        </row>
        <row r="14">
          <cell r="A14" t="str">
            <v>ADD</v>
          </cell>
          <cell r="B14" t="str">
            <v>198520</v>
          </cell>
          <cell r="C14">
            <v>61</v>
          </cell>
          <cell r="D14">
            <v>40</v>
          </cell>
          <cell r="E14">
            <v>21</v>
          </cell>
        </row>
        <row r="15">
          <cell r="A15" t="str">
            <v>ADD</v>
          </cell>
          <cell r="B15" t="str">
            <v>198610</v>
          </cell>
          <cell r="C15">
            <v>47</v>
          </cell>
          <cell r="D15">
            <v>26</v>
          </cell>
          <cell r="E15">
            <v>21</v>
          </cell>
        </row>
        <row r="16">
          <cell r="A16" t="str">
            <v>ADD</v>
          </cell>
          <cell r="B16" t="str">
            <v>198620</v>
          </cell>
          <cell r="C16">
            <v>82</v>
          </cell>
          <cell r="D16">
            <v>43</v>
          </cell>
          <cell r="E16">
            <v>39</v>
          </cell>
        </row>
        <row r="17">
          <cell r="A17" t="str">
            <v>ADD</v>
          </cell>
          <cell r="B17" t="str">
            <v>198710</v>
          </cell>
          <cell r="C17">
            <v>64</v>
          </cell>
          <cell r="D17">
            <v>45</v>
          </cell>
          <cell r="E17">
            <v>19</v>
          </cell>
        </row>
        <row r="18">
          <cell r="A18" t="str">
            <v>ADD</v>
          </cell>
          <cell r="B18" t="str">
            <v>198720</v>
          </cell>
          <cell r="C18">
            <v>107</v>
          </cell>
          <cell r="D18">
            <v>63</v>
          </cell>
          <cell r="E18">
            <v>44</v>
          </cell>
        </row>
        <row r="19">
          <cell r="A19" t="str">
            <v>ADD</v>
          </cell>
          <cell r="B19" t="str">
            <v>198810</v>
          </cell>
          <cell r="C19">
            <v>54</v>
          </cell>
          <cell r="D19">
            <v>35</v>
          </cell>
          <cell r="E19">
            <v>19</v>
          </cell>
        </row>
        <row r="20">
          <cell r="A20" t="str">
            <v>ADD</v>
          </cell>
          <cell r="B20" t="str">
            <v>198820</v>
          </cell>
          <cell r="C20">
            <v>95</v>
          </cell>
          <cell r="D20">
            <v>49</v>
          </cell>
          <cell r="E20">
            <v>46</v>
          </cell>
        </row>
        <row r="21">
          <cell r="A21" t="str">
            <v>ADD</v>
          </cell>
          <cell r="B21" t="str">
            <v>198910</v>
          </cell>
          <cell r="C21">
            <v>53</v>
          </cell>
          <cell r="D21">
            <v>32</v>
          </cell>
          <cell r="E21">
            <v>21</v>
          </cell>
        </row>
        <row r="22">
          <cell r="A22" t="str">
            <v>ADD</v>
          </cell>
          <cell r="B22" t="str">
            <v>198920</v>
          </cell>
          <cell r="C22">
            <v>117</v>
          </cell>
          <cell r="D22">
            <v>66</v>
          </cell>
          <cell r="E22">
            <v>51</v>
          </cell>
        </row>
        <row r="23">
          <cell r="A23" t="str">
            <v>ADD</v>
          </cell>
          <cell r="B23" t="str">
            <v>199010</v>
          </cell>
          <cell r="C23">
            <v>69</v>
          </cell>
          <cell r="D23">
            <v>35</v>
          </cell>
          <cell r="E23">
            <v>34</v>
          </cell>
        </row>
        <row r="24">
          <cell r="A24" t="str">
            <v>ADD</v>
          </cell>
          <cell r="B24" t="str">
            <v>199020</v>
          </cell>
          <cell r="C24">
            <v>102</v>
          </cell>
          <cell r="D24">
            <v>60</v>
          </cell>
          <cell r="E24">
            <v>42</v>
          </cell>
        </row>
        <row r="25">
          <cell r="A25" t="str">
            <v>ADD</v>
          </cell>
          <cell r="B25" t="str">
            <v>199110</v>
          </cell>
          <cell r="C25">
            <v>83</v>
          </cell>
          <cell r="D25">
            <v>44</v>
          </cell>
          <cell r="E25">
            <v>39</v>
          </cell>
        </row>
        <row r="26">
          <cell r="A26" t="str">
            <v>ADD</v>
          </cell>
          <cell r="B26" t="str">
            <v>199120</v>
          </cell>
          <cell r="C26">
            <v>92</v>
          </cell>
          <cell r="D26">
            <v>38</v>
          </cell>
          <cell r="E26">
            <v>54</v>
          </cell>
        </row>
        <row r="27">
          <cell r="A27" t="str">
            <v>ADD</v>
          </cell>
          <cell r="B27" t="str">
            <v>199210</v>
          </cell>
          <cell r="C27">
            <v>83</v>
          </cell>
          <cell r="D27">
            <v>42</v>
          </cell>
          <cell r="E27">
            <v>41</v>
          </cell>
        </row>
        <row r="28">
          <cell r="A28" t="str">
            <v>ADD</v>
          </cell>
          <cell r="B28" t="str">
            <v>199220</v>
          </cell>
          <cell r="C28">
            <v>126</v>
          </cell>
          <cell r="D28">
            <v>54</v>
          </cell>
          <cell r="E28">
            <v>72</v>
          </cell>
        </row>
        <row r="29">
          <cell r="A29" t="str">
            <v>ADD</v>
          </cell>
          <cell r="B29" t="str">
            <v>199310</v>
          </cell>
          <cell r="C29">
            <v>74</v>
          </cell>
          <cell r="D29">
            <v>38</v>
          </cell>
          <cell r="E29">
            <v>36</v>
          </cell>
        </row>
        <row r="30">
          <cell r="A30" t="str">
            <v>ADD</v>
          </cell>
          <cell r="B30" t="str">
            <v>199320</v>
          </cell>
          <cell r="C30">
            <v>109</v>
          </cell>
          <cell r="D30">
            <v>44</v>
          </cell>
          <cell r="E30">
            <v>65</v>
          </cell>
        </row>
        <row r="31">
          <cell r="A31" t="str">
            <v>ADD</v>
          </cell>
          <cell r="B31" t="str">
            <v>199410</v>
          </cell>
          <cell r="C31">
            <v>75</v>
          </cell>
          <cell r="D31">
            <v>40</v>
          </cell>
          <cell r="E31">
            <v>35</v>
          </cell>
        </row>
        <row r="32">
          <cell r="A32" t="str">
            <v>ADD</v>
          </cell>
          <cell r="B32" t="str">
            <v>199420</v>
          </cell>
          <cell r="C32">
            <v>124</v>
          </cell>
          <cell r="D32">
            <v>51</v>
          </cell>
          <cell r="E32">
            <v>73</v>
          </cell>
        </row>
        <row r="33">
          <cell r="A33" t="str">
            <v>ADD</v>
          </cell>
          <cell r="B33" t="str">
            <v>199510</v>
          </cell>
          <cell r="C33">
            <v>92</v>
          </cell>
          <cell r="D33">
            <v>49</v>
          </cell>
          <cell r="E33">
            <v>43</v>
          </cell>
        </row>
        <row r="34">
          <cell r="A34" t="str">
            <v>ADD</v>
          </cell>
          <cell r="B34" t="str">
            <v>199520</v>
          </cell>
          <cell r="C34">
            <v>135</v>
          </cell>
          <cell r="D34">
            <v>63</v>
          </cell>
          <cell r="E34">
            <v>72</v>
          </cell>
        </row>
        <row r="35">
          <cell r="A35" t="str">
            <v>ADD</v>
          </cell>
          <cell r="B35" t="str">
            <v>199610</v>
          </cell>
          <cell r="C35">
            <v>80</v>
          </cell>
          <cell r="D35">
            <v>37</v>
          </cell>
          <cell r="E35">
            <v>43</v>
          </cell>
        </row>
        <row r="36">
          <cell r="A36" t="str">
            <v>ADD</v>
          </cell>
          <cell r="B36" t="str">
            <v>199620</v>
          </cell>
          <cell r="C36">
            <v>118</v>
          </cell>
          <cell r="D36">
            <v>59</v>
          </cell>
          <cell r="E36">
            <v>59</v>
          </cell>
        </row>
        <row r="37">
          <cell r="A37" t="str">
            <v>ADD</v>
          </cell>
          <cell r="B37" t="str">
            <v>199710</v>
          </cell>
          <cell r="C37">
            <v>48</v>
          </cell>
          <cell r="D37">
            <v>32</v>
          </cell>
          <cell r="E37">
            <v>16</v>
          </cell>
        </row>
        <row r="38">
          <cell r="A38" t="str">
            <v>ADD</v>
          </cell>
          <cell r="B38" t="str">
            <v>199720</v>
          </cell>
          <cell r="C38">
            <v>90</v>
          </cell>
          <cell r="D38">
            <v>42</v>
          </cell>
          <cell r="E38">
            <v>48</v>
          </cell>
        </row>
        <row r="39">
          <cell r="A39" t="str">
            <v>ADD</v>
          </cell>
          <cell r="B39" t="str">
            <v>199810</v>
          </cell>
          <cell r="C39">
            <v>53</v>
          </cell>
          <cell r="D39">
            <v>33</v>
          </cell>
          <cell r="E39">
            <v>20</v>
          </cell>
        </row>
        <row r="40">
          <cell r="A40" t="str">
            <v>ADD</v>
          </cell>
          <cell r="B40" t="str">
            <v>199820</v>
          </cell>
          <cell r="C40">
            <v>45</v>
          </cell>
          <cell r="D40">
            <v>25</v>
          </cell>
          <cell r="E40">
            <v>20</v>
          </cell>
        </row>
        <row r="41">
          <cell r="A41" t="str">
            <v>ADD</v>
          </cell>
          <cell r="B41" t="str">
            <v>199910</v>
          </cell>
          <cell r="C41">
            <v>30</v>
          </cell>
          <cell r="D41">
            <v>13</v>
          </cell>
          <cell r="E41">
            <v>17</v>
          </cell>
        </row>
        <row r="42">
          <cell r="A42" t="str">
            <v>ADD</v>
          </cell>
          <cell r="B42" t="str">
            <v>199920</v>
          </cell>
          <cell r="C42">
            <v>45</v>
          </cell>
          <cell r="D42">
            <v>25</v>
          </cell>
          <cell r="E42">
            <v>20</v>
          </cell>
        </row>
        <row r="43">
          <cell r="A43" t="str">
            <v>ADD</v>
          </cell>
          <cell r="B43" t="str">
            <v>200010</v>
          </cell>
          <cell r="C43">
            <v>23</v>
          </cell>
          <cell r="D43">
            <v>14</v>
          </cell>
          <cell r="E43">
            <v>9</v>
          </cell>
        </row>
        <row r="44">
          <cell r="A44" t="str">
            <v>ADD</v>
          </cell>
          <cell r="B44" t="str">
            <v>200020</v>
          </cell>
          <cell r="C44">
            <v>44</v>
          </cell>
          <cell r="D44">
            <v>21</v>
          </cell>
          <cell r="E44">
            <v>23</v>
          </cell>
        </row>
        <row r="45">
          <cell r="A45" t="str">
            <v>ADD</v>
          </cell>
          <cell r="B45" t="str">
            <v>200110</v>
          </cell>
          <cell r="C45">
            <v>15</v>
          </cell>
          <cell r="D45">
            <v>6</v>
          </cell>
          <cell r="E45">
            <v>9</v>
          </cell>
        </row>
        <row r="46">
          <cell r="A46" t="str">
            <v>ADD</v>
          </cell>
          <cell r="B46" t="str">
            <v>200120</v>
          </cell>
          <cell r="C46">
            <v>40</v>
          </cell>
          <cell r="D46">
            <v>18</v>
          </cell>
          <cell r="E46">
            <v>21</v>
          </cell>
        </row>
        <row r="47">
          <cell r="A47" t="str">
            <v>ADD</v>
          </cell>
          <cell r="B47" t="str">
            <v>200210</v>
          </cell>
          <cell r="C47">
            <v>26</v>
          </cell>
          <cell r="D47">
            <v>12</v>
          </cell>
          <cell r="E47">
            <v>14</v>
          </cell>
        </row>
        <row r="48">
          <cell r="A48" t="str">
            <v>ADD</v>
          </cell>
          <cell r="B48" t="str">
            <v>200220</v>
          </cell>
          <cell r="C48">
            <v>53</v>
          </cell>
          <cell r="D48">
            <v>26</v>
          </cell>
          <cell r="E48">
            <v>27</v>
          </cell>
        </row>
        <row r="49">
          <cell r="A49" t="str">
            <v>ADD</v>
          </cell>
          <cell r="B49" t="str">
            <v>200310</v>
          </cell>
          <cell r="C49">
            <v>35</v>
          </cell>
          <cell r="D49">
            <v>22</v>
          </cell>
          <cell r="E49">
            <v>13</v>
          </cell>
        </row>
        <row r="50">
          <cell r="A50" t="str">
            <v>ADD</v>
          </cell>
          <cell r="B50" t="str">
            <v>200320</v>
          </cell>
          <cell r="C50">
            <v>72</v>
          </cell>
          <cell r="D50">
            <v>40</v>
          </cell>
          <cell r="E50">
            <v>32</v>
          </cell>
        </row>
        <row r="51">
          <cell r="A51" t="str">
            <v>ADD</v>
          </cell>
          <cell r="B51" t="str">
            <v>200410</v>
          </cell>
          <cell r="C51">
            <v>44</v>
          </cell>
          <cell r="D51">
            <v>21</v>
          </cell>
          <cell r="E51">
            <v>23</v>
          </cell>
        </row>
        <row r="52">
          <cell r="A52" t="str">
            <v>ADD</v>
          </cell>
          <cell r="B52" t="str">
            <v>200420</v>
          </cell>
          <cell r="C52">
            <v>95</v>
          </cell>
          <cell r="D52">
            <v>61</v>
          </cell>
          <cell r="E52">
            <v>34</v>
          </cell>
        </row>
        <row r="53">
          <cell r="A53" t="str">
            <v>ADD</v>
          </cell>
          <cell r="B53" t="str">
            <v>200510</v>
          </cell>
          <cell r="C53">
            <v>33</v>
          </cell>
          <cell r="D53">
            <v>17</v>
          </cell>
          <cell r="E53">
            <v>16</v>
          </cell>
        </row>
        <row r="54">
          <cell r="A54" t="str">
            <v>ADD</v>
          </cell>
          <cell r="B54" t="str">
            <v>200520</v>
          </cell>
          <cell r="C54">
            <v>97</v>
          </cell>
          <cell r="D54">
            <v>39</v>
          </cell>
          <cell r="E54">
            <v>58</v>
          </cell>
        </row>
        <row r="55">
          <cell r="A55" t="str">
            <v>ADD</v>
          </cell>
          <cell r="B55" t="str">
            <v>200610</v>
          </cell>
          <cell r="C55">
            <v>55</v>
          </cell>
          <cell r="D55">
            <v>30</v>
          </cell>
          <cell r="E55">
            <v>25</v>
          </cell>
        </row>
        <row r="56">
          <cell r="A56" t="str">
            <v>ADD</v>
          </cell>
          <cell r="B56" t="str">
            <v>200620</v>
          </cell>
          <cell r="C56">
            <v>94</v>
          </cell>
          <cell r="D56">
            <v>44</v>
          </cell>
          <cell r="E56">
            <v>50</v>
          </cell>
        </row>
        <row r="57">
          <cell r="A57" t="str">
            <v>ADD</v>
          </cell>
          <cell r="B57" t="str">
            <v>200710</v>
          </cell>
          <cell r="C57">
            <v>48</v>
          </cell>
          <cell r="D57">
            <v>26</v>
          </cell>
          <cell r="E57">
            <v>22</v>
          </cell>
        </row>
        <row r="58">
          <cell r="A58" t="str">
            <v>ADD</v>
          </cell>
          <cell r="B58" t="str">
            <v>200720</v>
          </cell>
          <cell r="C58">
            <v>105</v>
          </cell>
          <cell r="D58">
            <v>39</v>
          </cell>
          <cell r="E58">
            <v>66</v>
          </cell>
        </row>
        <row r="59">
          <cell r="A59" t="str">
            <v>ADD</v>
          </cell>
          <cell r="B59" t="str">
            <v>200810</v>
          </cell>
          <cell r="C59">
            <v>53</v>
          </cell>
          <cell r="D59">
            <v>25</v>
          </cell>
          <cell r="E59">
            <v>28</v>
          </cell>
        </row>
        <row r="60">
          <cell r="A60" t="str">
            <v>ADD</v>
          </cell>
          <cell r="B60" t="str">
            <v>200820</v>
          </cell>
          <cell r="C60">
            <v>100</v>
          </cell>
          <cell r="D60">
            <v>43</v>
          </cell>
          <cell r="E60">
            <v>56</v>
          </cell>
        </row>
        <row r="61">
          <cell r="A61" t="str">
            <v>ADD</v>
          </cell>
          <cell r="B61" t="str">
            <v>200910</v>
          </cell>
          <cell r="C61">
            <v>57</v>
          </cell>
          <cell r="D61">
            <v>26</v>
          </cell>
          <cell r="E61">
            <v>31</v>
          </cell>
        </row>
        <row r="62">
          <cell r="A62" t="str">
            <v>ADD</v>
          </cell>
          <cell r="B62" t="str">
            <v>200920</v>
          </cell>
          <cell r="C62">
            <v>80</v>
          </cell>
          <cell r="D62">
            <v>37</v>
          </cell>
          <cell r="E62">
            <v>43</v>
          </cell>
        </row>
        <row r="63">
          <cell r="A63" t="str">
            <v>ADD</v>
          </cell>
          <cell r="B63" t="str">
            <v>201010</v>
          </cell>
          <cell r="C63">
            <v>59</v>
          </cell>
          <cell r="D63">
            <v>26</v>
          </cell>
          <cell r="E63">
            <v>33</v>
          </cell>
        </row>
        <row r="64">
          <cell r="A64" t="str">
            <v>ADD</v>
          </cell>
          <cell r="B64" t="str">
            <v>201020</v>
          </cell>
          <cell r="C64">
            <v>82</v>
          </cell>
          <cell r="D64">
            <v>34</v>
          </cell>
          <cell r="E64">
            <v>48</v>
          </cell>
        </row>
        <row r="65">
          <cell r="A65" t="str">
            <v>ADD</v>
          </cell>
          <cell r="B65" t="str">
            <v>201110</v>
          </cell>
          <cell r="C65">
            <v>60</v>
          </cell>
          <cell r="D65">
            <v>29</v>
          </cell>
          <cell r="E65">
            <v>31</v>
          </cell>
        </row>
        <row r="66">
          <cell r="A66" t="str">
            <v>ADD</v>
          </cell>
          <cell r="B66" t="str">
            <v>201120</v>
          </cell>
          <cell r="C66">
            <v>83</v>
          </cell>
          <cell r="D66">
            <v>24</v>
          </cell>
          <cell r="E66">
            <v>59</v>
          </cell>
        </row>
        <row r="67">
          <cell r="A67" t="str">
            <v>ADD</v>
          </cell>
          <cell r="B67" t="str">
            <v>201210</v>
          </cell>
          <cell r="C67">
            <v>51</v>
          </cell>
          <cell r="D67">
            <v>10</v>
          </cell>
          <cell r="E67">
            <v>41</v>
          </cell>
        </row>
        <row r="68">
          <cell r="A68" t="str">
            <v>ADD</v>
          </cell>
          <cell r="B68" t="str">
            <v>201220</v>
          </cell>
          <cell r="C68">
            <v>68</v>
          </cell>
          <cell r="D68">
            <v>21</v>
          </cell>
          <cell r="E68">
            <v>47</v>
          </cell>
        </row>
        <row r="69">
          <cell r="A69" t="str">
            <v>ADD</v>
          </cell>
          <cell r="B69" t="str">
            <v>201310</v>
          </cell>
          <cell r="C69">
            <v>72</v>
          </cell>
          <cell r="D69">
            <v>24</v>
          </cell>
          <cell r="E69">
            <v>48</v>
          </cell>
        </row>
        <row r="70">
          <cell r="A70" t="str">
            <v>ADD</v>
          </cell>
          <cell r="B70" t="str">
            <v>201320</v>
          </cell>
          <cell r="C70">
            <v>65</v>
          </cell>
          <cell r="D70">
            <v>25</v>
          </cell>
          <cell r="E70">
            <v>40</v>
          </cell>
        </row>
        <row r="71">
          <cell r="A71" t="str">
            <v>ADD</v>
          </cell>
          <cell r="B71" t="str">
            <v>201410</v>
          </cell>
          <cell r="C71">
            <v>71</v>
          </cell>
          <cell r="D71">
            <v>29</v>
          </cell>
          <cell r="E71">
            <v>42</v>
          </cell>
        </row>
        <row r="72">
          <cell r="A72" t="str">
            <v>ADD</v>
          </cell>
          <cell r="B72" t="str">
            <v>201420</v>
          </cell>
          <cell r="C72">
            <v>92</v>
          </cell>
          <cell r="D72">
            <v>32</v>
          </cell>
          <cell r="E72">
            <v>60</v>
          </cell>
        </row>
        <row r="73">
          <cell r="A73" t="str">
            <v>ADD</v>
          </cell>
          <cell r="B73" t="str">
            <v>201510</v>
          </cell>
          <cell r="C73">
            <v>60</v>
          </cell>
          <cell r="D73">
            <v>21</v>
          </cell>
          <cell r="E73">
            <v>39</v>
          </cell>
        </row>
        <row r="74">
          <cell r="A74" t="str">
            <v>ADD</v>
          </cell>
          <cell r="B74" t="str">
            <v>201520</v>
          </cell>
          <cell r="C74">
            <v>93</v>
          </cell>
          <cell r="D74">
            <v>30</v>
          </cell>
          <cell r="E74">
            <v>62</v>
          </cell>
        </row>
        <row r="75">
          <cell r="A75" t="str">
            <v>ADD</v>
          </cell>
          <cell r="B75" t="str">
            <v>201610</v>
          </cell>
          <cell r="C75">
            <v>88</v>
          </cell>
          <cell r="D75">
            <v>38</v>
          </cell>
          <cell r="E75">
            <v>49</v>
          </cell>
        </row>
        <row r="76">
          <cell r="A76" t="str">
            <v>ADD</v>
          </cell>
          <cell r="B76" t="str">
            <v>201620</v>
          </cell>
          <cell r="C76">
            <v>107</v>
          </cell>
          <cell r="D76">
            <v>39</v>
          </cell>
          <cell r="E76">
            <v>65</v>
          </cell>
        </row>
        <row r="77">
          <cell r="A77" t="str">
            <v>ADD</v>
          </cell>
          <cell r="B77" t="str">
            <v>201710</v>
          </cell>
          <cell r="C77">
            <v>63</v>
          </cell>
          <cell r="D77">
            <v>15</v>
          </cell>
          <cell r="E77">
            <v>48</v>
          </cell>
        </row>
        <row r="78">
          <cell r="A78" t="str">
            <v>ADD</v>
          </cell>
          <cell r="B78" t="str">
            <v>201720</v>
          </cell>
          <cell r="C78">
            <v>93</v>
          </cell>
          <cell r="D78">
            <v>30</v>
          </cell>
          <cell r="E78">
            <v>57</v>
          </cell>
        </row>
        <row r="79">
          <cell r="A79" t="str">
            <v>ADD</v>
          </cell>
          <cell r="B79" t="str">
            <v>201810</v>
          </cell>
          <cell r="C79">
            <v>72</v>
          </cell>
          <cell r="D79">
            <v>25</v>
          </cell>
          <cell r="E79">
            <v>41</v>
          </cell>
        </row>
        <row r="80">
          <cell r="A80" t="str">
            <v>ADD</v>
          </cell>
          <cell r="B80" t="str">
            <v>201820</v>
          </cell>
          <cell r="C80">
            <v>74</v>
          </cell>
          <cell r="D80">
            <v>21</v>
          </cell>
          <cell r="E80">
            <v>35</v>
          </cell>
        </row>
        <row r="81">
          <cell r="A81" t="str">
            <v>ADD</v>
          </cell>
          <cell r="B81" t="str">
            <v>201910</v>
          </cell>
          <cell r="C81">
            <v>44</v>
          </cell>
          <cell r="D81">
            <v>13</v>
          </cell>
          <cell r="E81">
            <v>14</v>
          </cell>
        </row>
        <row r="82">
          <cell r="A82" t="str">
            <v>ADD</v>
          </cell>
          <cell r="B82" t="str">
            <v>201920</v>
          </cell>
          <cell r="C82">
            <v>50</v>
          </cell>
          <cell r="D82">
            <v>13</v>
          </cell>
          <cell r="E82">
            <v>2</v>
          </cell>
        </row>
        <row r="83">
          <cell r="A83" t="str">
            <v>ADD</v>
          </cell>
          <cell r="B83" t="str">
            <v>202010</v>
          </cell>
          <cell r="C83">
            <v>47</v>
          </cell>
          <cell r="D83">
            <v>5</v>
          </cell>
          <cell r="E83">
            <v>7</v>
          </cell>
        </row>
        <row r="84">
          <cell r="A84" t="str">
            <v>ADD</v>
          </cell>
          <cell r="B84" t="str">
            <v>202020</v>
          </cell>
          <cell r="C84">
            <v>54</v>
          </cell>
          <cell r="D84">
            <v>12</v>
          </cell>
          <cell r="E84">
            <v>5</v>
          </cell>
        </row>
        <row r="85">
          <cell r="A85" t="str">
            <v>ADD</v>
          </cell>
          <cell r="B85" t="str">
            <v>202110</v>
          </cell>
          <cell r="C85">
            <v>43</v>
          </cell>
          <cell r="D85">
            <v>7</v>
          </cell>
          <cell r="E85">
            <v>1</v>
          </cell>
        </row>
        <row r="86">
          <cell r="A86" t="str">
            <v>ADD</v>
          </cell>
          <cell r="B86" t="str">
            <v>202120</v>
          </cell>
          <cell r="C86">
            <v>38</v>
          </cell>
          <cell r="D86">
            <v>12</v>
          </cell>
          <cell r="E86">
            <v>0</v>
          </cell>
        </row>
        <row r="87">
          <cell r="A87" t="str">
            <v>ADD</v>
          </cell>
          <cell r="B87" t="str">
            <v>202210</v>
          </cell>
          <cell r="C87">
            <v>64</v>
          </cell>
          <cell r="D87">
            <v>19</v>
          </cell>
          <cell r="E87">
            <v>0</v>
          </cell>
        </row>
        <row r="88">
          <cell r="A88" t="str">
            <v>ADD</v>
          </cell>
          <cell r="B88" t="str">
            <v>202220</v>
          </cell>
          <cell r="C88">
            <v>40</v>
          </cell>
          <cell r="D88">
            <v>11</v>
          </cell>
          <cell r="E88">
            <v>0</v>
          </cell>
        </row>
        <row r="89">
          <cell r="A89" t="str">
            <v>ADD</v>
          </cell>
          <cell r="B89" t="str">
            <v>202310</v>
          </cell>
          <cell r="C89">
            <v>41</v>
          </cell>
          <cell r="D89">
            <v>7</v>
          </cell>
          <cell r="E89">
            <v>0</v>
          </cell>
        </row>
        <row r="90">
          <cell r="A90" t="str">
            <v>ADD</v>
          </cell>
          <cell r="B90" t="str">
            <v>202320</v>
          </cell>
          <cell r="C90">
            <v>51</v>
          </cell>
          <cell r="D90">
            <v>3</v>
          </cell>
          <cell r="E90">
            <v>0</v>
          </cell>
        </row>
        <row r="91">
          <cell r="A91" t="str">
            <v>ADN</v>
          </cell>
          <cell r="B91" t="str">
            <v>198010</v>
          </cell>
          <cell r="C91">
            <v>31</v>
          </cell>
          <cell r="D91">
            <v>19</v>
          </cell>
          <cell r="E91">
            <v>12</v>
          </cell>
        </row>
        <row r="92">
          <cell r="A92" t="str">
            <v>ADN</v>
          </cell>
          <cell r="B92" t="str">
            <v>198020</v>
          </cell>
          <cell r="C92">
            <v>2</v>
          </cell>
          <cell r="D92">
            <v>2</v>
          </cell>
          <cell r="E92">
            <v>0</v>
          </cell>
        </row>
        <row r="93">
          <cell r="A93" t="str">
            <v>ADN</v>
          </cell>
          <cell r="B93" t="str">
            <v>198110</v>
          </cell>
          <cell r="C93">
            <v>49</v>
          </cell>
          <cell r="D93">
            <v>30</v>
          </cell>
          <cell r="E93">
            <v>19</v>
          </cell>
        </row>
        <row r="94">
          <cell r="A94" t="str">
            <v>ADN</v>
          </cell>
          <cell r="B94" t="str">
            <v>198120</v>
          </cell>
          <cell r="C94">
            <v>10</v>
          </cell>
          <cell r="D94">
            <v>8</v>
          </cell>
          <cell r="E94">
            <v>2</v>
          </cell>
        </row>
        <row r="95">
          <cell r="A95" t="str">
            <v>ADN</v>
          </cell>
          <cell r="B95" t="str">
            <v>198210</v>
          </cell>
          <cell r="C95">
            <v>45</v>
          </cell>
          <cell r="D95">
            <v>31</v>
          </cell>
          <cell r="E95">
            <v>14</v>
          </cell>
        </row>
        <row r="96">
          <cell r="A96" t="str">
            <v>ADN</v>
          </cell>
          <cell r="B96" t="str">
            <v>198220</v>
          </cell>
          <cell r="C96">
            <v>56</v>
          </cell>
          <cell r="D96">
            <v>44</v>
          </cell>
          <cell r="E96">
            <v>12</v>
          </cell>
        </row>
        <row r="97">
          <cell r="A97" t="str">
            <v>ADN</v>
          </cell>
          <cell r="B97" t="str">
            <v>198310</v>
          </cell>
          <cell r="C97">
            <v>58</v>
          </cell>
          <cell r="D97">
            <v>43</v>
          </cell>
          <cell r="E97">
            <v>15</v>
          </cell>
        </row>
        <row r="98">
          <cell r="A98" t="str">
            <v>ADN</v>
          </cell>
          <cell r="B98" t="str">
            <v>198320</v>
          </cell>
          <cell r="C98">
            <v>57</v>
          </cell>
          <cell r="D98">
            <v>36</v>
          </cell>
          <cell r="E98">
            <v>21</v>
          </cell>
        </row>
        <row r="99">
          <cell r="A99" t="str">
            <v>ADN</v>
          </cell>
          <cell r="B99" t="str">
            <v>198410</v>
          </cell>
          <cell r="C99">
            <v>64</v>
          </cell>
          <cell r="D99">
            <v>39</v>
          </cell>
          <cell r="E99">
            <v>25</v>
          </cell>
        </row>
        <row r="100">
          <cell r="A100" t="str">
            <v>ADN</v>
          </cell>
          <cell r="B100" t="str">
            <v>198420</v>
          </cell>
          <cell r="C100">
            <v>67</v>
          </cell>
          <cell r="D100">
            <v>39</v>
          </cell>
          <cell r="E100">
            <v>28</v>
          </cell>
        </row>
        <row r="101">
          <cell r="A101" t="str">
            <v>ADN</v>
          </cell>
          <cell r="B101" t="str">
            <v>198510</v>
          </cell>
          <cell r="C101">
            <v>69</v>
          </cell>
          <cell r="D101">
            <v>43</v>
          </cell>
          <cell r="E101">
            <v>26</v>
          </cell>
        </row>
        <row r="102">
          <cell r="A102" t="str">
            <v>ADN</v>
          </cell>
          <cell r="B102" t="str">
            <v>198520</v>
          </cell>
          <cell r="C102">
            <v>82</v>
          </cell>
          <cell r="D102">
            <v>48</v>
          </cell>
          <cell r="E102">
            <v>34</v>
          </cell>
        </row>
        <row r="103">
          <cell r="A103" t="str">
            <v>ADN</v>
          </cell>
          <cell r="B103" t="str">
            <v>198610</v>
          </cell>
          <cell r="C103">
            <v>63</v>
          </cell>
          <cell r="D103">
            <v>36</v>
          </cell>
          <cell r="E103">
            <v>27</v>
          </cell>
        </row>
        <row r="104">
          <cell r="A104" t="str">
            <v>ADN</v>
          </cell>
          <cell r="B104" t="str">
            <v>198620</v>
          </cell>
          <cell r="C104">
            <v>63</v>
          </cell>
          <cell r="D104">
            <v>30</v>
          </cell>
          <cell r="E104">
            <v>33</v>
          </cell>
        </row>
        <row r="105">
          <cell r="A105" t="str">
            <v>ADN</v>
          </cell>
          <cell r="B105" t="str">
            <v>198710</v>
          </cell>
          <cell r="C105">
            <v>76</v>
          </cell>
          <cell r="D105">
            <v>40</v>
          </cell>
          <cell r="E105">
            <v>36</v>
          </cell>
        </row>
        <row r="106">
          <cell r="A106" t="str">
            <v>ADN</v>
          </cell>
          <cell r="B106" t="str">
            <v>198720</v>
          </cell>
          <cell r="C106">
            <v>89</v>
          </cell>
          <cell r="D106">
            <v>54</v>
          </cell>
          <cell r="E106">
            <v>35</v>
          </cell>
        </row>
        <row r="107">
          <cell r="A107" t="str">
            <v>ADN</v>
          </cell>
          <cell r="B107" t="str">
            <v>198810</v>
          </cell>
          <cell r="C107">
            <v>108</v>
          </cell>
          <cell r="D107">
            <v>61</v>
          </cell>
          <cell r="E107">
            <v>47</v>
          </cell>
        </row>
        <row r="108">
          <cell r="A108" t="str">
            <v>ADN</v>
          </cell>
          <cell r="B108" t="str">
            <v>198820</v>
          </cell>
          <cell r="C108">
            <v>121</v>
          </cell>
          <cell r="D108">
            <v>67</v>
          </cell>
          <cell r="E108">
            <v>54</v>
          </cell>
        </row>
        <row r="109">
          <cell r="A109" t="str">
            <v>ADN</v>
          </cell>
          <cell r="B109" t="str">
            <v>198910</v>
          </cell>
          <cell r="C109">
            <v>115</v>
          </cell>
          <cell r="D109">
            <v>70</v>
          </cell>
          <cell r="E109">
            <v>45</v>
          </cell>
        </row>
        <row r="110">
          <cell r="A110" t="str">
            <v>ADN</v>
          </cell>
          <cell r="B110" t="str">
            <v>198920</v>
          </cell>
          <cell r="C110">
            <v>126</v>
          </cell>
          <cell r="D110">
            <v>65</v>
          </cell>
          <cell r="E110">
            <v>61</v>
          </cell>
        </row>
        <row r="111">
          <cell r="A111" t="str">
            <v>ADN</v>
          </cell>
          <cell r="B111" t="str">
            <v>199010</v>
          </cell>
          <cell r="C111">
            <v>137</v>
          </cell>
          <cell r="D111">
            <v>73</v>
          </cell>
          <cell r="E111">
            <v>64</v>
          </cell>
        </row>
        <row r="112">
          <cell r="A112" t="str">
            <v>ADN</v>
          </cell>
          <cell r="B112" t="str">
            <v>199020</v>
          </cell>
          <cell r="C112">
            <v>109</v>
          </cell>
          <cell r="D112">
            <v>53</v>
          </cell>
          <cell r="E112">
            <v>56</v>
          </cell>
        </row>
        <row r="113">
          <cell r="A113" t="str">
            <v>ADN</v>
          </cell>
          <cell r="B113" t="str">
            <v>199110</v>
          </cell>
          <cell r="C113">
            <v>115</v>
          </cell>
          <cell r="D113">
            <v>56</v>
          </cell>
          <cell r="E113">
            <v>59</v>
          </cell>
        </row>
        <row r="114">
          <cell r="A114" t="str">
            <v>ADN</v>
          </cell>
          <cell r="B114" t="str">
            <v>199120</v>
          </cell>
          <cell r="C114">
            <v>110</v>
          </cell>
          <cell r="D114">
            <v>40</v>
          </cell>
          <cell r="E114">
            <v>70</v>
          </cell>
        </row>
        <row r="115">
          <cell r="A115" t="str">
            <v>ADN</v>
          </cell>
          <cell r="B115" t="str">
            <v>199210</v>
          </cell>
          <cell r="C115">
            <v>111</v>
          </cell>
          <cell r="D115">
            <v>53</v>
          </cell>
          <cell r="E115">
            <v>58</v>
          </cell>
        </row>
        <row r="116">
          <cell r="A116" t="str">
            <v>ADN</v>
          </cell>
          <cell r="B116" t="str">
            <v>199220</v>
          </cell>
          <cell r="C116">
            <v>112</v>
          </cell>
          <cell r="D116">
            <v>62</v>
          </cell>
          <cell r="E116">
            <v>50</v>
          </cell>
        </row>
        <row r="117">
          <cell r="A117" t="str">
            <v>ADN</v>
          </cell>
          <cell r="B117" t="str">
            <v>199310</v>
          </cell>
          <cell r="C117">
            <v>108</v>
          </cell>
          <cell r="D117">
            <v>59</v>
          </cell>
          <cell r="E117">
            <v>49</v>
          </cell>
        </row>
        <row r="118">
          <cell r="A118" t="str">
            <v>ADN</v>
          </cell>
          <cell r="B118" t="str">
            <v>199320</v>
          </cell>
          <cell r="C118">
            <v>98</v>
          </cell>
          <cell r="D118">
            <v>51</v>
          </cell>
          <cell r="E118">
            <v>47</v>
          </cell>
        </row>
        <row r="119">
          <cell r="A119" t="str">
            <v>ADN</v>
          </cell>
          <cell r="B119" t="str">
            <v>199410</v>
          </cell>
          <cell r="C119">
            <v>111</v>
          </cell>
          <cell r="D119">
            <v>53</v>
          </cell>
          <cell r="E119">
            <v>58</v>
          </cell>
        </row>
        <row r="120">
          <cell r="A120" t="str">
            <v>ADN</v>
          </cell>
          <cell r="B120" t="str">
            <v>199420</v>
          </cell>
          <cell r="C120">
            <v>118</v>
          </cell>
          <cell r="D120">
            <v>47</v>
          </cell>
          <cell r="E120">
            <v>71</v>
          </cell>
        </row>
        <row r="121">
          <cell r="A121" t="str">
            <v>ADN</v>
          </cell>
          <cell r="B121" t="str">
            <v>199510</v>
          </cell>
          <cell r="C121">
            <v>127</v>
          </cell>
          <cell r="D121">
            <v>62</v>
          </cell>
          <cell r="E121">
            <v>65</v>
          </cell>
        </row>
        <row r="122">
          <cell r="A122" t="str">
            <v>ADN</v>
          </cell>
          <cell r="B122" t="str">
            <v>199520</v>
          </cell>
          <cell r="C122">
            <v>99</v>
          </cell>
          <cell r="D122">
            <v>53</v>
          </cell>
          <cell r="E122">
            <v>46</v>
          </cell>
        </row>
        <row r="123">
          <cell r="A123" t="str">
            <v>ADN</v>
          </cell>
          <cell r="B123" t="str">
            <v>199610</v>
          </cell>
          <cell r="C123">
            <v>75</v>
          </cell>
          <cell r="D123">
            <v>31</v>
          </cell>
          <cell r="E123">
            <v>44</v>
          </cell>
        </row>
        <row r="124">
          <cell r="A124" t="str">
            <v>ADN</v>
          </cell>
          <cell r="B124" t="str">
            <v>199620</v>
          </cell>
          <cell r="C124">
            <v>75</v>
          </cell>
          <cell r="D124">
            <v>41</v>
          </cell>
          <cell r="E124">
            <v>34</v>
          </cell>
        </row>
        <row r="125">
          <cell r="A125" t="str">
            <v>ADN</v>
          </cell>
          <cell r="B125" t="str">
            <v>199710</v>
          </cell>
          <cell r="C125">
            <v>52</v>
          </cell>
          <cell r="D125">
            <v>19</v>
          </cell>
          <cell r="E125">
            <v>33</v>
          </cell>
        </row>
        <row r="126">
          <cell r="A126" t="str">
            <v>ADN</v>
          </cell>
          <cell r="B126" t="str">
            <v>199720</v>
          </cell>
          <cell r="C126">
            <v>70</v>
          </cell>
          <cell r="D126">
            <v>37</v>
          </cell>
          <cell r="E126">
            <v>33</v>
          </cell>
        </row>
        <row r="127">
          <cell r="A127" t="str">
            <v>ADN</v>
          </cell>
          <cell r="B127" t="str">
            <v>199810</v>
          </cell>
          <cell r="C127">
            <v>57</v>
          </cell>
          <cell r="D127">
            <v>30</v>
          </cell>
          <cell r="E127">
            <v>27</v>
          </cell>
        </row>
        <row r="128">
          <cell r="A128" t="str">
            <v>ADN</v>
          </cell>
          <cell r="B128" t="str">
            <v>199820</v>
          </cell>
          <cell r="C128">
            <v>56</v>
          </cell>
          <cell r="D128">
            <v>29</v>
          </cell>
          <cell r="E128">
            <v>27</v>
          </cell>
        </row>
        <row r="129">
          <cell r="A129" t="str">
            <v>ADN</v>
          </cell>
          <cell r="B129" t="str">
            <v>199910</v>
          </cell>
          <cell r="C129">
            <v>39</v>
          </cell>
          <cell r="D129">
            <v>22</v>
          </cell>
          <cell r="E129">
            <v>17</v>
          </cell>
        </row>
        <row r="130">
          <cell r="A130" t="str">
            <v>ADN</v>
          </cell>
          <cell r="B130" t="str">
            <v>199920</v>
          </cell>
          <cell r="C130">
            <v>42</v>
          </cell>
          <cell r="D130">
            <v>20</v>
          </cell>
          <cell r="E130">
            <v>22</v>
          </cell>
        </row>
        <row r="131">
          <cell r="A131" t="str">
            <v>ADN</v>
          </cell>
          <cell r="B131" t="str">
            <v>200010</v>
          </cell>
          <cell r="C131">
            <v>17</v>
          </cell>
          <cell r="D131">
            <v>6</v>
          </cell>
          <cell r="E131">
            <v>11</v>
          </cell>
        </row>
        <row r="132">
          <cell r="A132" t="str">
            <v>ADN</v>
          </cell>
          <cell r="B132" t="str">
            <v>200020</v>
          </cell>
          <cell r="C132">
            <v>49</v>
          </cell>
          <cell r="D132">
            <v>30</v>
          </cell>
          <cell r="E132">
            <v>19</v>
          </cell>
        </row>
        <row r="133">
          <cell r="A133" t="str">
            <v>ADN</v>
          </cell>
          <cell r="B133" t="str">
            <v>200110</v>
          </cell>
          <cell r="C133">
            <v>41</v>
          </cell>
          <cell r="D133">
            <v>25</v>
          </cell>
          <cell r="E133">
            <v>16</v>
          </cell>
        </row>
        <row r="134">
          <cell r="A134" t="str">
            <v>ADN</v>
          </cell>
          <cell r="B134" t="str">
            <v>200120</v>
          </cell>
          <cell r="C134">
            <v>58</v>
          </cell>
          <cell r="D134">
            <v>34</v>
          </cell>
          <cell r="E134">
            <v>24</v>
          </cell>
        </row>
        <row r="135">
          <cell r="A135" t="str">
            <v>ADN</v>
          </cell>
          <cell r="B135" t="str">
            <v>200210</v>
          </cell>
          <cell r="C135">
            <v>59</v>
          </cell>
          <cell r="D135">
            <v>35</v>
          </cell>
          <cell r="E135">
            <v>24</v>
          </cell>
        </row>
        <row r="136">
          <cell r="A136" t="str">
            <v>ADN</v>
          </cell>
          <cell r="B136" t="str">
            <v>200220</v>
          </cell>
          <cell r="C136">
            <v>58</v>
          </cell>
          <cell r="D136">
            <v>36</v>
          </cell>
          <cell r="E136">
            <v>22</v>
          </cell>
        </row>
        <row r="137">
          <cell r="A137" t="str">
            <v>ADN</v>
          </cell>
          <cell r="B137" t="str">
            <v>200310</v>
          </cell>
          <cell r="C137">
            <v>66</v>
          </cell>
          <cell r="D137">
            <v>49</v>
          </cell>
          <cell r="E137">
            <v>16</v>
          </cell>
        </row>
        <row r="138">
          <cell r="A138" t="str">
            <v>ADN</v>
          </cell>
          <cell r="B138" t="str">
            <v>200320</v>
          </cell>
          <cell r="C138">
            <v>78</v>
          </cell>
          <cell r="D138">
            <v>54</v>
          </cell>
          <cell r="E138">
            <v>24</v>
          </cell>
        </row>
        <row r="139">
          <cell r="A139" t="str">
            <v>ADN</v>
          </cell>
          <cell r="B139" t="str">
            <v>200410</v>
          </cell>
          <cell r="C139">
            <v>50</v>
          </cell>
          <cell r="D139">
            <v>27</v>
          </cell>
          <cell r="E139">
            <v>23</v>
          </cell>
        </row>
        <row r="140">
          <cell r="A140" t="str">
            <v>ADN</v>
          </cell>
          <cell r="B140" t="str">
            <v>200420</v>
          </cell>
          <cell r="C140">
            <v>76</v>
          </cell>
          <cell r="D140">
            <v>51</v>
          </cell>
          <cell r="E140">
            <v>25</v>
          </cell>
        </row>
        <row r="141">
          <cell r="A141" t="str">
            <v>ADN</v>
          </cell>
          <cell r="B141" t="str">
            <v>200510</v>
          </cell>
          <cell r="C141">
            <v>60</v>
          </cell>
          <cell r="D141">
            <v>49</v>
          </cell>
          <cell r="E141">
            <v>11</v>
          </cell>
        </row>
        <row r="142">
          <cell r="A142" t="str">
            <v>ADN</v>
          </cell>
          <cell r="B142" t="str">
            <v>200520</v>
          </cell>
          <cell r="C142">
            <v>97</v>
          </cell>
          <cell r="D142">
            <v>72</v>
          </cell>
          <cell r="E142">
            <v>25</v>
          </cell>
        </row>
        <row r="143">
          <cell r="A143" t="str">
            <v>ADN</v>
          </cell>
          <cell r="B143" t="str">
            <v>200610</v>
          </cell>
          <cell r="C143">
            <v>64</v>
          </cell>
          <cell r="D143">
            <v>43</v>
          </cell>
          <cell r="E143">
            <v>21</v>
          </cell>
        </row>
        <row r="144">
          <cell r="A144" t="str">
            <v>ADN</v>
          </cell>
          <cell r="B144" t="str">
            <v>200620</v>
          </cell>
          <cell r="C144">
            <v>87</v>
          </cell>
          <cell r="D144">
            <v>57</v>
          </cell>
          <cell r="E144">
            <v>30</v>
          </cell>
        </row>
        <row r="145">
          <cell r="A145" t="str">
            <v>ADN</v>
          </cell>
          <cell r="B145" t="str">
            <v>200710</v>
          </cell>
          <cell r="C145">
            <v>61</v>
          </cell>
          <cell r="D145">
            <v>36</v>
          </cell>
          <cell r="E145">
            <v>25</v>
          </cell>
        </row>
        <row r="146">
          <cell r="A146" t="str">
            <v>ADN</v>
          </cell>
          <cell r="B146" t="str">
            <v>200720</v>
          </cell>
          <cell r="C146">
            <v>65</v>
          </cell>
          <cell r="D146">
            <v>51</v>
          </cell>
          <cell r="E146">
            <v>14</v>
          </cell>
        </row>
        <row r="147">
          <cell r="A147" t="str">
            <v>ADN</v>
          </cell>
          <cell r="B147" t="str">
            <v>200810</v>
          </cell>
          <cell r="C147">
            <v>47</v>
          </cell>
          <cell r="D147">
            <v>31</v>
          </cell>
          <cell r="E147">
            <v>16</v>
          </cell>
        </row>
        <row r="148">
          <cell r="A148" t="str">
            <v>ADN</v>
          </cell>
          <cell r="B148" t="str">
            <v>200820</v>
          </cell>
          <cell r="C148">
            <v>49</v>
          </cell>
          <cell r="D148">
            <v>37</v>
          </cell>
          <cell r="E148">
            <v>12</v>
          </cell>
        </row>
        <row r="149">
          <cell r="A149" t="str">
            <v>ADN</v>
          </cell>
          <cell r="B149" t="str">
            <v>200910</v>
          </cell>
          <cell r="C149">
            <v>42</v>
          </cell>
          <cell r="D149">
            <v>26</v>
          </cell>
          <cell r="E149">
            <v>16</v>
          </cell>
        </row>
        <row r="150">
          <cell r="A150" t="str">
            <v>ADN</v>
          </cell>
          <cell r="B150" t="str">
            <v>200920</v>
          </cell>
          <cell r="C150">
            <v>35</v>
          </cell>
          <cell r="D150">
            <v>25</v>
          </cell>
          <cell r="E150">
            <v>10</v>
          </cell>
        </row>
        <row r="151">
          <cell r="A151" t="str">
            <v>ADN</v>
          </cell>
          <cell r="B151" t="str">
            <v>201010</v>
          </cell>
          <cell r="C151">
            <v>28</v>
          </cell>
          <cell r="D151">
            <v>15</v>
          </cell>
          <cell r="E151">
            <v>13</v>
          </cell>
        </row>
        <row r="152">
          <cell r="A152" t="str">
            <v>ADN</v>
          </cell>
          <cell r="B152" t="str">
            <v>201020</v>
          </cell>
          <cell r="C152">
            <v>24</v>
          </cell>
          <cell r="D152">
            <v>17</v>
          </cell>
          <cell r="E152">
            <v>7</v>
          </cell>
        </row>
        <row r="153">
          <cell r="A153" t="str">
            <v>ADN</v>
          </cell>
          <cell r="B153" t="str">
            <v>201110</v>
          </cell>
          <cell r="C153">
            <v>38</v>
          </cell>
          <cell r="D153">
            <v>21</v>
          </cell>
          <cell r="E153">
            <v>17</v>
          </cell>
        </row>
        <row r="154">
          <cell r="A154" t="str">
            <v>ADN</v>
          </cell>
          <cell r="B154" t="str">
            <v>201120</v>
          </cell>
          <cell r="C154">
            <v>32</v>
          </cell>
          <cell r="D154">
            <v>20</v>
          </cell>
          <cell r="E154">
            <v>12</v>
          </cell>
        </row>
        <row r="155">
          <cell r="A155" t="str">
            <v>ADN</v>
          </cell>
          <cell r="B155" t="str">
            <v>201210</v>
          </cell>
          <cell r="C155">
            <v>24</v>
          </cell>
          <cell r="D155">
            <v>12</v>
          </cell>
          <cell r="E155">
            <v>12</v>
          </cell>
        </row>
        <row r="156">
          <cell r="A156" t="str">
            <v>ADN</v>
          </cell>
          <cell r="B156" t="str">
            <v>201220</v>
          </cell>
          <cell r="C156">
            <v>30</v>
          </cell>
          <cell r="D156">
            <v>19</v>
          </cell>
          <cell r="E156">
            <v>11</v>
          </cell>
        </row>
        <row r="157">
          <cell r="A157" t="str">
            <v>ADN</v>
          </cell>
          <cell r="B157" t="str">
            <v>201310</v>
          </cell>
          <cell r="C157">
            <v>9</v>
          </cell>
          <cell r="D157">
            <v>6</v>
          </cell>
          <cell r="E157">
            <v>3</v>
          </cell>
        </row>
        <row r="158">
          <cell r="A158" t="str">
            <v>ADN</v>
          </cell>
          <cell r="B158" t="str">
            <v>201320</v>
          </cell>
          <cell r="C158">
            <v>12</v>
          </cell>
          <cell r="D158">
            <v>6</v>
          </cell>
          <cell r="E158">
            <v>6</v>
          </cell>
        </row>
        <row r="159">
          <cell r="A159" t="str">
            <v>ADN</v>
          </cell>
          <cell r="B159" t="str">
            <v>201410</v>
          </cell>
          <cell r="C159">
            <v>12</v>
          </cell>
          <cell r="D159">
            <v>4</v>
          </cell>
          <cell r="E159">
            <v>8</v>
          </cell>
        </row>
        <row r="160">
          <cell r="A160" t="str">
            <v>ADN</v>
          </cell>
          <cell r="B160" t="str">
            <v>201420</v>
          </cell>
          <cell r="C160">
            <v>1</v>
          </cell>
          <cell r="D160">
            <v>0</v>
          </cell>
          <cell r="E160">
            <v>1</v>
          </cell>
        </row>
        <row r="161">
          <cell r="A161" t="str">
            <v>ADN</v>
          </cell>
          <cell r="B161" t="str">
            <v>201510</v>
          </cell>
          <cell r="C161">
            <v>4</v>
          </cell>
          <cell r="D161">
            <v>2</v>
          </cell>
          <cell r="E161">
            <v>2</v>
          </cell>
        </row>
        <row r="162">
          <cell r="A162" t="str">
            <v>ADN</v>
          </cell>
          <cell r="B162" t="str">
            <v>201520</v>
          </cell>
          <cell r="C162">
            <v>1</v>
          </cell>
          <cell r="D162">
            <v>0</v>
          </cell>
          <cell r="E162">
            <v>1</v>
          </cell>
        </row>
        <row r="163">
          <cell r="A163" t="str">
            <v>ANT</v>
          </cell>
          <cell r="B163" t="str">
            <v>200620</v>
          </cell>
          <cell r="C163">
            <v>17</v>
          </cell>
          <cell r="D163">
            <v>11</v>
          </cell>
          <cell r="E163">
            <v>6</v>
          </cell>
        </row>
        <row r="164">
          <cell r="A164" t="str">
            <v>ANT</v>
          </cell>
          <cell r="B164" t="str">
            <v>200710</v>
          </cell>
          <cell r="C164">
            <v>3</v>
          </cell>
          <cell r="D164">
            <v>1</v>
          </cell>
          <cell r="E164">
            <v>2</v>
          </cell>
        </row>
        <row r="165">
          <cell r="A165" t="str">
            <v>ANT</v>
          </cell>
          <cell r="B165" t="str">
            <v>200720</v>
          </cell>
          <cell r="C165">
            <v>7</v>
          </cell>
          <cell r="D165">
            <v>2</v>
          </cell>
          <cell r="E165">
            <v>5</v>
          </cell>
        </row>
        <row r="166">
          <cell r="A166" t="str">
            <v>ANT</v>
          </cell>
          <cell r="B166" t="str">
            <v>200810</v>
          </cell>
          <cell r="C166">
            <v>5</v>
          </cell>
          <cell r="D166">
            <v>2</v>
          </cell>
          <cell r="E166">
            <v>3</v>
          </cell>
        </row>
        <row r="167">
          <cell r="A167" t="str">
            <v>ANT</v>
          </cell>
          <cell r="B167" t="str">
            <v>200820</v>
          </cell>
          <cell r="C167">
            <v>6</v>
          </cell>
          <cell r="D167">
            <v>4</v>
          </cell>
          <cell r="E167">
            <v>2</v>
          </cell>
        </row>
        <row r="168">
          <cell r="A168" t="str">
            <v>ANT</v>
          </cell>
          <cell r="B168" t="str">
            <v>200910</v>
          </cell>
          <cell r="C168">
            <v>4</v>
          </cell>
          <cell r="D168">
            <v>2</v>
          </cell>
          <cell r="E168">
            <v>2</v>
          </cell>
        </row>
        <row r="169">
          <cell r="A169" t="str">
            <v>ANT</v>
          </cell>
          <cell r="B169" t="str">
            <v>200920</v>
          </cell>
          <cell r="C169">
            <v>11</v>
          </cell>
          <cell r="D169">
            <v>3</v>
          </cell>
          <cell r="E169">
            <v>8</v>
          </cell>
        </row>
        <row r="170">
          <cell r="A170" t="str">
            <v>ANT</v>
          </cell>
          <cell r="B170" t="str">
            <v>201010</v>
          </cell>
          <cell r="C170">
            <v>8</v>
          </cell>
          <cell r="D170">
            <v>0</v>
          </cell>
          <cell r="E170">
            <v>8</v>
          </cell>
        </row>
        <row r="171">
          <cell r="A171" t="str">
            <v>ANT</v>
          </cell>
          <cell r="B171" t="str">
            <v>201020</v>
          </cell>
          <cell r="C171">
            <v>5</v>
          </cell>
          <cell r="D171">
            <v>3</v>
          </cell>
          <cell r="E171">
            <v>2</v>
          </cell>
        </row>
        <row r="172">
          <cell r="A172" t="str">
            <v>ANT</v>
          </cell>
          <cell r="B172" t="str">
            <v>201110</v>
          </cell>
          <cell r="C172">
            <v>5</v>
          </cell>
          <cell r="D172">
            <v>3</v>
          </cell>
          <cell r="E172">
            <v>2</v>
          </cell>
        </row>
        <row r="173">
          <cell r="A173" t="str">
            <v>ANT</v>
          </cell>
          <cell r="B173" t="str">
            <v>201120</v>
          </cell>
          <cell r="C173">
            <v>14</v>
          </cell>
          <cell r="D173">
            <v>6</v>
          </cell>
          <cell r="E173">
            <v>8</v>
          </cell>
        </row>
        <row r="174">
          <cell r="A174" t="str">
            <v>ANT</v>
          </cell>
          <cell r="B174" t="str">
            <v>201210</v>
          </cell>
          <cell r="C174">
            <v>4</v>
          </cell>
          <cell r="D174">
            <v>1</v>
          </cell>
          <cell r="E174">
            <v>3</v>
          </cell>
        </row>
        <row r="175">
          <cell r="A175" t="str">
            <v>ANT</v>
          </cell>
          <cell r="B175" t="str">
            <v>201220</v>
          </cell>
          <cell r="C175">
            <v>10</v>
          </cell>
          <cell r="D175">
            <v>5</v>
          </cell>
          <cell r="E175">
            <v>5</v>
          </cell>
        </row>
        <row r="176">
          <cell r="A176" t="str">
            <v>ANT</v>
          </cell>
          <cell r="B176" t="str">
            <v>201310</v>
          </cell>
          <cell r="C176">
            <v>10</v>
          </cell>
          <cell r="D176">
            <v>3</v>
          </cell>
          <cell r="E176">
            <v>7</v>
          </cell>
        </row>
        <row r="177">
          <cell r="A177" t="str">
            <v>ANT</v>
          </cell>
          <cell r="B177" t="str">
            <v>201320</v>
          </cell>
          <cell r="C177">
            <v>17</v>
          </cell>
          <cell r="D177">
            <v>3</v>
          </cell>
          <cell r="E177">
            <v>13</v>
          </cell>
        </row>
        <row r="178">
          <cell r="A178" t="str">
            <v>ANT</v>
          </cell>
          <cell r="B178" t="str">
            <v>201410</v>
          </cell>
          <cell r="C178">
            <v>10</v>
          </cell>
          <cell r="D178">
            <v>1</v>
          </cell>
          <cell r="E178">
            <v>9</v>
          </cell>
        </row>
        <row r="179">
          <cell r="A179" t="str">
            <v>ANT</v>
          </cell>
          <cell r="B179" t="str">
            <v>201420</v>
          </cell>
          <cell r="C179">
            <v>12</v>
          </cell>
          <cell r="D179">
            <v>6</v>
          </cell>
          <cell r="E179">
            <v>6</v>
          </cell>
        </row>
        <row r="180">
          <cell r="A180" t="str">
            <v>ANT</v>
          </cell>
          <cell r="B180" t="str">
            <v>201510</v>
          </cell>
          <cell r="C180">
            <v>7</v>
          </cell>
          <cell r="D180">
            <v>3</v>
          </cell>
          <cell r="E180">
            <v>4</v>
          </cell>
        </row>
        <row r="181">
          <cell r="A181" t="str">
            <v>ANT</v>
          </cell>
          <cell r="B181" t="str">
            <v>201520</v>
          </cell>
          <cell r="C181">
            <v>7</v>
          </cell>
          <cell r="D181">
            <v>3</v>
          </cell>
          <cell r="E181">
            <v>4</v>
          </cell>
        </row>
        <row r="182">
          <cell r="A182" t="str">
            <v>ANT</v>
          </cell>
          <cell r="B182" t="str">
            <v>201610</v>
          </cell>
          <cell r="C182">
            <v>6</v>
          </cell>
          <cell r="D182">
            <v>2</v>
          </cell>
          <cell r="E182">
            <v>4</v>
          </cell>
        </row>
        <row r="183">
          <cell r="A183" t="str">
            <v>ANT</v>
          </cell>
          <cell r="B183" t="str">
            <v>201620</v>
          </cell>
          <cell r="C183">
            <v>5</v>
          </cell>
          <cell r="D183">
            <v>2</v>
          </cell>
          <cell r="E183">
            <v>3</v>
          </cell>
        </row>
        <row r="184">
          <cell r="A184" t="str">
            <v>ANT</v>
          </cell>
          <cell r="B184" t="str">
            <v>201710</v>
          </cell>
          <cell r="C184">
            <v>15</v>
          </cell>
          <cell r="D184">
            <v>6</v>
          </cell>
          <cell r="E184">
            <v>9</v>
          </cell>
        </row>
        <row r="185">
          <cell r="A185" t="str">
            <v>ANT</v>
          </cell>
          <cell r="B185" t="str">
            <v>201720</v>
          </cell>
          <cell r="C185">
            <v>11</v>
          </cell>
          <cell r="D185">
            <v>3</v>
          </cell>
          <cell r="E185">
            <v>8</v>
          </cell>
        </row>
        <row r="186">
          <cell r="A186" t="str">
            <v>ANT</v>
          </cell>
          <cell r="B186" t="str">
            <v>201810</v>
          </cell>
          <cell r="C186">
            <v>9</v>
          </cell>
          <cell r="D186">
            <v>6</v>
          </cell>
          <cell r="E186">
            <v>3</v>
          </cell>
        </row>
        <row r="187">
          <cell r="A187" t="str">
            <v>ANT</v>
          </cell>
          <cell r="B187" t="str">
            <v>201820</v>
          </cell>
          <cell r="C187">
            <v>8</v>
          </cell>
          <cell r="D187">
            <v>3</v>
          </cell>
          <cell r="E187">
            <v>2</v>
          </cell>
        </row>
        <row r="188">
          <cell r="A188" t="str">
            <v>ANT</v>
          </cell>
          <cell r="B188" t="str">
            <v>201910</v>
          </cell>
          <cell r="C188">
            <v>9</v>
          </cell>
          <cell r="D188">
            <v>3</v>
          </cell>
          <cell r="E188">
            <v>1</v>
          </cell>
        </row>
        <row r="189">
          <cell r="A189" t="str">
            <v>ANT</v>
          </cell>
          <cell r="B189" t="str">
            <v>201920</v>
          </cell>
          <cell r="C189">
            <v>2</v>
          </cell>
          <cell r="D189">
            <v>1</v>
          </cell>
          <cell r="E189">
            <v>0</v>
          </cell>
        </row>
        <row r="190">
          <cell r="A190" t="str">
            <v>ANT</v>
          </cell>
          <cell r="B190" t="str">
            <v>202010</v>
          </cell>
          <cell r="C190">
            <v>5</v>
          </cell>
          <cell r="D190">
            <v>1</v>
          </cell>
          <cell r="E190">
            <v>0</v>
          </cell>
        </row>
        <row r="191">
          <cell r="A191" t="str">
            <v>ANT</v>
          </cell>
          <cell r="B191" t="str">
            <v>202020</v>
          </cell>
          <cell r="C191">
            <v>23</v>
          </cell>
          <cell r="D191">
            <v>1</v>
          </cell>
          <cell r="E191">
            <v>1</v>
          </cell>
        </row>
        <row r="192">
          <cell r="A192" t="str">
            <v>ANT</v>
          </cell>
          <cell r="B192" t="str">
            <v>202110</v>
          </cell>
          <cell r="C192">
            <v>7</v>
          </cell>
          <cell r="D192">
            <v>2</v>
          </cell>
          <cell r="E192">
            <v>0</v>
          </cell>
        </row>
        <row r="193">
          <cell r="A193" t="str">
            <v>ANT</v>
          </cell>
          <cell r="B193" t="str">
            <v>202120</v>
          </cell>
          <cell r="C193">
            <v>5</v>
          </cell>
          <cell r="D193">
            <v>3</v>
          </cell>
          <cell r="E193">
            <v>0</v>
          </cell>
        </row>
        <row r="194">
          <cell r="A194" t="str">
            <v>ANT</v>
          </cell>
          <cell r="B194" t="str">
            <v>202210</v>
          </cell>
          <cell r="C194">
            <v>12</v>
          </cell>
          <cell r="D194">
            <v>2</v>
          </cell>
          <cell r="E194">
            <v>0</v>
          </cell>
        </row>
        <row r="195">
          <cell r="A195" t="str">
            <v>ANT</v>
          </cell>
          <cell r="B195" t="str">
            <v>202220</v>
          </cell>
          <cell r="C195">
            <v>5</v>
          </cell>
          <cell r="D195">
            <v>1</v>
          </cell>
          <cell r="E195">
            <v>0</v>
          </cell>
        </row>
        <row r="196">
          <cell r="A196" t="str">
            <v>ANT</v>
          </cell>
          <cell r="B196" t="str">
            <v>202310</v>
          </cell>
          <cell r="C196">
            <v>15</v>
          </cell>
          <cell r="D196">
            <v>1</v>
          </cell>
          <cell r="E196">
            <v>0</v>
          </cell>
        </row>
        <row r="197">
          <cell r="A197" t="str">
            <v>ANT</v>
          </cell>
          <cell r="B197" t="str">
            <v>202320</v>
          </cell>
          <cell r="C197">
            <v>3</v>
          </cell>
          <cell r="D197">
            <v>0</v>
          </cell>
          <cell r="E197">
            <v>0</v>
          </cell>
        </row>
        <row r="198">
          <cell r="A198" t="str">
            <v>BIO</v>
          </cell>
          <cell r="B198" t="str">
            <v>200820</v>
          </cell>
          <cell r="C198">
            <v>15</v>
          </cell>
          <cell r="D198">
            <v>10</v>
          </cell>
          <cell r="E198">
            <v>5</v>
          </cell>
        </row>
        <row r="199">
          <cell r="A199" t="str">
            <v>BIO</v>
          </cell>
          <cell r="B199" t="str">
            <v>200910</v>
          </cell>
          <cell r="C199">
            <v>12</v>
          </cell>
          <cell r="D199">
            <v>4</v>
          </cell>
          <cell r="E199">
            <v>8</v>
          </cell>
        </row>
        <row r="200">
          <cell r="A200" t="str">
            <v>BIO</v>
          </cell>
          <cell r="B200" t="str">
            <v>200920</v>
          </cell>
          <cell r="C200">
            <v>10</v>
          </cell>
          <cell r="D200">
            <v>5</v>
          </cell>
          <cell r="E200">
            <v>5</v>
          </cell>
        </row>
        <row r="201">
          <cell r="A201" t="str">
            <v>BIO</v>
          </cell>
          <cell r="B201" t="str">
            <v>201010</v>
          </cell>
          <cell r="C201">
            <v>7</v>
          </cell>
          <cell r="D201">
            <v>4</v>
          </cell>
          <cell r="E201">
            <v>3</v>
          </cell>
        </row>
        <row r="202">
          <cell r="A202" t="str">
            <v>BIO</v>
          </cell>
          <cell r="B202" t="str">
            <v>201020</v>
          </cell>
          <cell r="C202">
            <v>8</v>
          </cell>
          <cell r="D202">
            <v>5</v>
          </cell>
          <cell r="E202">
            <v>3</v>
          </cell>
        </row>
        <row r="203">
          <cell r="A203" t="str">
            <v>BIO</v>
          </cell>
          <cell r="B203" t="str">
            <v>201110</v>
          </cell>
          <cell r="C203">
            <v>9</v>
          </cell>
          <cell r="D203">
            <v>8</v>
          </cell>
          <cell r="E203">
            <v>1</v>
          </cell>
        </row>
        <row r="204">
          <cell r="A204" t="str">
            <v>BIO</v>
          </cell>
          <cell r="B204" t="str">
            <v>201120</v>
          </cell>
          <cell r="C204">
            <v>12</v>
          </cell>
          <cell r="D204">
            <v>8</v>
          </cell>
          <cell r="E204">
            <v>4</v>
          </cell>
        </row>
        <row r="205">
          <cell r="A205" t="str">
            <v>BIO</v>
          </cell>
          <cell r="B205" t="str">
            <v>201210</v>
          </cell>
          <cell r="C205">
            <v>18</v>
          </cell>
          <cell r="D205">
            <v>8</v>
          </cell>
          <cell r="E205">
            <v>10</v>
          </cell>
        </row>
        <row r="206">
          <cell r="A206" t="str">
            <v>BIO</v>
          </cell>
          <cell r="B206" t="str">
            <v>201220</v>
          </cell>
          <cell r="C206">
            <v>16</v>
          </cell>
          <cell r="D206">
            <v>5</v>
          </cell>
          <cell r="E206">
            <v>11</v>
          </cell>
        </row>
        <row r="207">
          <cell r="A207" t="str">
            <v>BIO</v>
          </cell>
          <cell r="B207" t="str">
            <v>201310</v>
          </cell>
          <cell r="C207">
            <v>14</v>
          </cell>
          <cell r="D207">
            <v>7</v>
          </cell>
          <cell r="E207">
            <v>7</v>
          </cell>
        </row>
        <row r="208">
          <cell r="A208" t="str">
            <v>BIO</v>
          </cell>
          <cell r="B208" t="str">
            <v>201320</v>
          </cell>
          <cell r="C208">
            <v>24</v>
          </cell>
          <cell r="D208">
            <v>14</v>
          </cell>
          <cell r="E208">
            <v>10</v>
          </cell>
        </row>
        <row r="209">
          <cell r="A209" t="str">
            <v>BIO</v>
          </cell>
          <cell r="B209" t="str">
            <v>201410</v>
          </cell>
          <cell r="C209">
            <v>22</v>
          </cell>
          <cell r="D209">
            <v>15</v>
          </cell>
          <cell r="E209">
            <v>7</v>
          </cell>
        </row>
        <row r="210">
          <cell r="A210" t="str">
            <v>BIO</v>
          </cell>
          <cell r="B210" t="str">
            <v>201420</v>
          </cell>
          <cell r="C210">
            <v>21</v>
          </cell>
          <cell r="D210">
            <v>12</v>
          </cell>
          <cell r="E210">
            <v>9</v>
          </cell>
        </row>
        <row r="211">
          <cell r="A211" t="str">
            <v>BIO</v>
          </cell>
          <cell r="B211" t="str">
            <v>201510</v>
          </cell>
          <cell r="C211">
            <v>31</v>
          </cell>
          <cell r="D211">
            <v>11</v>
          </cell>
          <cell r="E211">
            <v>20</v>
          </cell>
        </row>
        <row r="212">
          <cell r="A212" t="str">
            <v>BIO</v>
          </cell>
          <cell r="B212" t="str">
            <v>201520</v>
          </cell>
          <cell r="C212">
            <v>19</v>
          </cell>
          <cell r="D212">
            <v>9</v>
          </cell>
          <cell r="E212">
            <v>10</v>
          </cell>
        </row>
        <row r="213">
          <cell r="A213" t="str">
            <v>BIO</v>
          </cell>
          <cell r="B213" t="str">
            <v>201610</v>
          </cell>
          <cell r="C213">
            <v>29</v>
          </cell>
          <cell r="D213">
            <v>12</v>
          </cell>
          <cell r="E213">
            <v>17</v>
          </cell>
        </row>
        <row r="214">
          <cell r="A214" t="str">
            <v>BIO</v>
          </cell>
          <cell r="B214" t="str">
            <v>201620</v>
          </cell>
          <cell r="C214">
            <v>22</v>
          </cell>
          <cell r="D214">
            <v>9</v>
          </cell>
          <cell r="E214">
            <v>13</v>
          </cell>
        </row>
        <row r="215">
          <cell r="A215" t="str">
            <v>BIO</v>
          </cell>
          <cell r="B215" t="str">
            <v>201710</v>
          </cell>
          <cell r="C215">
            <v>29</v>
          </cell>
          <cell r="D215">
            <v>11</v>
          </cell>
          <cell r="E215">
            <v>18</v>
          </cell>
        </row>
        <row r="216">
          <cell r="A216" t="str">
            <v>BIO</v>
          </cell>
          <cell r="B216" t="str">
            <v>201720</v>
          </cell>
          <cell r="C216">
            <v>16</v>
          </cell>
          <cell r="D216">
            <v>4</v>
          </cell>
          <cell r="E216">
            <v>12</v>
          </cell>
        </row>
        <row r="217">
          <cell r="A217" t="str">
            <v>BIO</v>
          </cell>
          <cell r="B217" t="str">
            <v>201810</v>
          </cell>
          <cell r="C217">
            <v>20</v>
          </cell>
          <cell r="D217">
            <v>11</v>
          </cell>
          <cell r="E217">
            <v>9</v>
          </cell>
        </row>
        <row r="218">
          <cell r="A218" t="str">
            <v>BIO</v>
          </cell>
          <cell r="B218" t="str">
            <v>201820</v>
          </cell>
          <cell r="C218">
            <v>16</v>
          </cell>
          <cell r="D218">
            <v>4</v>
          </cell>
          <cell r="E218">
            <v>12</v>
          </cell>
        </row>
        <row r="219">
          <cell r="A219" t="str">
            <v>BIO</v>
          </cell>
          <cell r="B219" t="str">
            <v>201910</v>
          </cell>
          <cell r="C219">
            <v>15</v>
          </cell>
          <cell r="D219">
            <v>3</v>
          </cell>
          <cell r="E219">
            <v>7</v>
          </cell>
        </row>
        <row r="220">
          <cell r="A220" t="str">
            <v>BIO</v>
          </cell>
          <cell r="B220" t="str">
            <v>201920</v>
          </cell>
          <cell r="C220">
            <v>9</v>
          </cell>
          <cell r="D220">
            <v>3</v>
          </cell>
          <cell r="E220">
            <v>1</v>
          </cell>
        </row>
        <row r="221">
          <cell r="A221" t="str">
            <v>BIO</v>
          </cell>
          <cell r="B221" t="str">
            <v>202010</v>
          </cell>
          <cell r="C221">
            <v>17</v>
          </cell>
          <cell r="D221">
            <v>5</v>
          </cell>
          <cell r="E221">
            <v>0</v>
          </cell>
        </row>
        <row r="222">
          <cell r="A222" t="str">
            <v>BIO</v>
          </cell>
          <cell r="B222" t="str">
            <v>202020</v>
          </cell>
          <cell r="C222">
            <v>22</v>
          </cell>
          <cell r="D222">
            <v>6</v>
          </cell>
          <cell r="E222">
            <v>0</v>
          </cell>
        </row>
        <row r="223">
          <cell r="A223" t="str">
            <v>BIO</v>
          </cell>
          <cell r="B223" t="str">
            <v>202110</v>
          </cell>
          <cell r="C223">
            <v>15</v>
          </cell>
          <cell r="D223">
            <v>4</v>
          </cell>
          <cell r="E223">
            <v>0</v>
          </cell>
        </row>
        <row r="224">
          <cell r="A224" t="str">
            <v>BIO</v>
          </cell>
          <cell r="B224" t="str">
            <v>202120</v>
          </cell>
          <cell r="C224">
            <v>6</v>
          </cell>
          <cell r="D224">
            <v>1</v>
          </cell>
          <cell r="E224">
            <v>0</v>
          </cell>
        </row>
        <row r="225">
          <cell r="A225" t="str">
            <v>BIO</v>
          </cell>
          <cell r="B225" t="str">
            <v>202210</v>
          </cell>
          <cell r="C225">
            <v>34</v>
          </cell>
          <cell r="D225">
            <v>5</v>
          </cell>
          <cell r="E225">
            <v>0</v>
          </cell>
        </row>
        <row r="226">
          <cell r="A226" t="str">
            <v>BIO</v>
          </cell>
          <cell r="B226" t="str">
            <v>202220</v>
          </cell>
          <cell r="C226">
            <v>13</v>
          </cell>
          <cell r="D226">
            <v>2</v>
          </cell>
          <cell r="E226">
            <v>0</v>
          </cell>
        </row>
        <row r="227">
          <cell r="A227" t="str">
            <v>BIO</v>
          </cell>
          <cell r="B227" t="str">
            <v>202310</v>
          </cell>
          <cell r="C227">
            <v>21</v>
          </cell>
          <cell r="D227">
            <v>3</v>
          </cell>
          <cell r="E227">
            <v>0</v>
          </cell>
        </row>
        <row r="228">
          <cell r="A228" t="str">
            <v>BIO</v>
          </cell>
          <cell r="B228" t="str">
            <v>202320</v>
          </cell>
          <cell r="C228">
            <v>12</v>
          </cell>
          <cell r="D228">
            <v>0</v>
          </cell>
          <cell r="E228">
            <v>0</v>
          </cell>
        </row>
        <row r="229">
          <cell r="A229" t="str">
            <v>CIP</v>
          </cell>
          <cell r="B229" t="str">
            <v>200620</v>
          </cell>
          <cell r="C229">
            <v>17</v>
          </cell>
          <cell r="D229">
            <v>11</v>
          </cell>
          <cell r="E229">
            <v>6</v>
          </cell>
        </row>
        <row r="230">
          <cell r="A230" t="str">
            <v>CIP</v>
          </cell>
          <cell r="B230" t="str">
            <v>200710</v>
          </cell>
          <cell r="C230">
            <v>9</v>
          </cell>
          <cell r="D230">
            <v>2</v>
          </cell>
          <cell r="E230">
            <v>7</v>
          </cell>
        </row>
        <row r="231">
          <cell r="A231" t="str">
            <v>CIP</v>
          </cell>
          <cell r="B231" t="str">
            <v>200720</v>
          </cell>
          <cell r="C231">
            <v>28</v>
          </cell>
          <cell r="D231">
            <v>7</v>
          </cell>
          <cell r="E231">
            <v>21</v>
          </cell>
        </row>
        <row r="232">
          <cell r="A232" t="str">
            <v>CIP</v>
          </cell>
          <cell r="B232" t="str">
            <v>200810</v>
          </cell>
          <cell r="C232">
            <v>8</v>
          </cell>
          <cell r="D232">
            <v>3</v>
          </cell>
          <cell r="E232">
            <v>5</v>
          </cell>
        </row>
        <row r="233">
          <cell r="A233" t="str">
            <v>CIP</v>
          </cell>
          <cell r="B233" t="str">
            <v>200820</v>
          </cell>
          <cell r="C233">
            <v>24</v>
          </cell>
          <cell r="D233">
            <v>10</v>
          </cell>
          <cell r="E233">
            <v>14</v>
          </cell>
        </row>
        <row r="234">
          <cell r="A234" t="str">
            <v>CIP</v>
          </cell>
          <cell r="B234" t="str">
            <v>200910</v>
          </cell>
          <cell r="C234">
            <v>11</v>
          </cell>
          <cell r="D234">
            <v>7</v>
          </cell>
          <cell r="E234">
            <v>4</v>
          </cell>
        </row>
        <row r="235">
          <cell r="A235" t="str">
            <v>CIP</v>
          </cell>
          <cell r="B235" t="str">
            <v>200920</v>
          </cell>
          <cell r="C235">
            <v>21</v>
          </cell>
          <cell r="D235">
            <v>7</v>
          </cell>
          <cell r="E235">
            <v>14</v>
          </cell>
        </row>
        <row r="236">
          <cell r="A236" t="str">
            <v>CIP</v>
          </cell>
          <cell r="B236" t="str">
            <v>201010</v>
          </cell>
          <cell r="C236">
            <v>9</v>
          </cell>
          <cell r="D236">
            <v>6</v>
          </cell>
          <cell r="E236">
            <v>3</v>
          </cell>
        </row>
        <row r="237">
          <cell r="A237" t="str">
            <v>CIP</v>
          </cell>
          <cell r="B237" t="str">
            <v>201020</v>
          </cell>
          <cell r="C237">
            <v>19</v>
          </cell>
          <cell r="D237">
            <v>10</v>
          </cell>
          <cell r="E237">
            <v>9</v>
          </cell>
        </row>
        <row r="238">
          <cell r="A238" t="str">
            <v>CIP</v>
          </cell>
          <cell r="B238" t="str">
            <v>201110</v>
          </cell>
          <cell r="C238">
            <v>12</v>
          </cell>
          <cell r="D238">
            <v>7</v>
          </cell>
          <cell r="E238">
            <v>5</v>
          </cell>
        </row>
        <row r="239">
          <cell r="A239" t="str">
            <v>CIP</v>
          </cell>
          <cell r="B239" t="str">
            <v>201120</v>
          </cell>
          <cell r="C239">
            <v>22</v>
          </cell>
          <cell r="D239">
            <v>5</v>
          </cell>
          <cell r="E239">
            <v>17</v>
          </cell>
        </row>
        <row r="240">
          <cell r="A240" t="str">
            <v>CIP</v>
          </cell>
          <cell r="B240" t="str">
            <v>201210</v>
          </cell>
          <cell r="C240">
            <v>20</v>
          </cell>
          <cell r="D240">
            <v>12</v>
          </cell>
          <cell r="E240">
            <v>7</v>
          </cell>
        </row>
        <row r="241">
          <cell r="A241" t="str">
            <v>CIP</v>
          </cell>
          <cell r="B241" t="str">
            <v>201220</v>
          </cell>
          <cell r="C241">
            <v>29</v>
          </cell>
          <cell r="D241">
            <v>12</v>
          </cell>
          <cell r="E241">
            <v>16</v>
          </cell>
        </row>
        <row r="242">
          <cell r="A242" t="str">
            <v>CIP</v>
          </cell>
          <cell r="B242" t="str">
            <v>201310</v>
          </cell>
          <cell r="C242">
            <v>14</v>
          </cell>
          <cell r="D242">
            <v>5</v>
          </cell>
          <cell r="E242">
            <v>8</v>
          </cell>
        </row>
        <row r="243">
          <cell r="A243" t="str">
            <v>CIP</v>
          </cell>
          <cell r="B243" t="str">
            <v>201320</v>
          </cell>
          <cell r="C243">
            <v>17</v>
          </cell>
          <cell r="D243">
            <v>10</v>
          </cell>
          <cell r="E243">
            <v>7</v>
          </cell>
        </row>
        <row r="244">
          <cell r="A244" t="str">
            <v>CIP</v>
          </cell>
          <cell r="B244" t="str">
            <v>201410</v>
          </cell>
          <cell r="C244">
            <v>23</v>
          </cell>
          <cell r="D244">
            <v>12</v>
          </cell>
          <cell r="E244">
            <v>11</v>
          </cell>
        </row>
        <row r="245">
          <cell r="A245" t="str">
            <v>CIP</v>
          </cell>
          <cell r="B245" t="str">
            <v>201420</v>
          </cell>
          <cell r="C245">
            <v>38</v>
          </cell>
          <cell r="D245">
            <v>11</v>
          </cell>
          <cell r="E245">
            <v>26</v>
          </cell>
        </row>
        <row r="246">
          <cell r="A246" t="str">
            <v>CIP</v>
          </cell>
          <cell r="B246" t="str">
            <v>201510</v>
          </cell>
          <cell r="C246">
            <v>32</v>
          </cell>
          <cell r="D246">
            <v>12</v>
          </cell>
          <cell r="E246">
            <v>19</v>
          </cell>
        </row>
        <row r="247">
          <cell r="A247" t="str">
            <v>CIP</v>
          </cell>
          <cell r="B247" t="str">
            <v>201520</v>
          </cell>
          <cell r="C247">
            <v>22</v>
          </cell>
          <cell r="D247">
            <v>8</v>
          </cell>
          <cell r="E247">
            <v>13</v>
          </cell>
        </row>
        <row r="248">
          <cell r="A248" t="str">
            <v>CIP</v>
          </cell>
          <cell r="B248" t="str">
            <v>201610</v>
          </cell>
          <cell r="C248">
            <v>23</v>
          </cell>
          <cell r="D248">
            <v>5</v>
          </cell>
          <cell r="E248">
            <v>18</v>
          </cell>
        </row>
        <row r="249">
          <cell r="A249" t="str">
            <v>CIP</v>
          </cell>
          <cell r="B249" t="str">
            <v>201620</v>
          </cell>
          <cell r="C249">
            <v>23</v>
          </cell>
          <cell r="D249">
            <v>10</v>
          </cell>
          <cell r="E249">
            <v>13</v>
          </cell>
        </row>
        <row r="250">
          <cell r="A250" t="str">
            <v>CIP</v>
          </cell>
          <cell r="B250" t="str">
            <v>201710</v>
          </cell>
          <cell r="C250">
            <v>17</v>
          </cell>
          <cell r="D250">
            <v>4</v>
          </cell>
          <cell r="E250">
            <v>13</v>
          </cell>
        </row>
        <row r="251">
          <cell r="A251" t="str">
            <v>CIP</v>
          </cell>
          <cell r="B251" t="str">
            <v>201720</v>
          </cell>
          <cell r="C251">
            <v>23</v>
          </cell>
          <cell r="D251">
            <v>6</v>
          </cell>
          <cell r="E251">
            <v>13</v>
          </cell>
        </row>
        <row r="252">
          <cell r="A252" t="str">
            <v>CIP</v>
          </cell>
          <cell r="B252" t="str">
            <v>201810</v>
          </cell>
          <cell r="C252">
            <v>13</v>
          </cell>
          <cell r="D252">
            <v>4</v>
          </cell>
          <cell r="E252">
            <v>8</v>
          </cell>
        </row>
        <row r="253">
          <cell r="A253" t="str">
            <v>CIP</v>
          </cell>
          <cell r="B253" t="str">
            <v>201820</v>
          </cell>
          <cell r="C253">
            <v>12</v>
          </cell>
          <cell r="D253">
            <v>2</v>
          </cell>
          <cell r="E253">
            <v>4</v>
          </cell>
        </row>
        <row r="254">
          <cell r="A254" t="str">
            <v>CIP</v>
          </cell>
          <cell r="B254" t="str">
            <v>201910</v>
          </cell>
          <cell r="C254">
            <v>20</v>
          </cell>
          <cell r="D254">
            <v>6</v>
          </cell>
          <cell r="E254">
            <v>7</v>
          </cell>
        </row>
        <row r="255">
          <cell r="A255" t="str">
            <v>CIP</v>
          </cell>
          <cell r="B255" t="str">
            <v>201920</v>
          </cell>
          <cell r="C255">
            <v>18</v>
          </cell>
          <cell r="D255">
            <v>6</v>
          </cell>
          <cell r="E255">
            <v>2</v>
          </cell>
        </row>
        <row r="256">
          <cell r="A256" t="str">
            <v>CIP</v>
          </cell>
          <cell r="B256" t="str">
            <v>202010</v>
          </cell>
          <cell r="C256">
            <v>19</v>
          </cell>
          <cell r="D256">
            <v>5</v>
          </cell>
          <cell r="E256">
            <v>1</v>
          </cell>
        </row>
        <row r="257">
          <cell r="A257" t="str">
            <v>CIP</v>
          </cell>
          <cell r="B257" t="str">
            <v>202020</v>
          </cell>
          <cell r="C257">
            <v>54</v>
          </cell>
          <cell r="D257">
            <v>8</v>
          </cell>
          <cell r="E257">
            <v>5</v>
          </cell>
        </row>
        <row r="258">
          <cell r="A258" t="str">
            <v>CIP</v>
          </cell>
          <cell r="B258" t="str">
            <v>202110</v>
          </cell>
          <cell r="C258">
            <v>21</v>
          </cell>
          <cell r="D258">
            <v>6</v>
          </cell>
          <cell r="E258">
            <v>0</v>
          </cell>
        </row>
        <row r="259">
          <cell r="A259" t="str">
            <v>CIP</v>
          </cell>
          <cell r="B259" t="str">
            <v>202120</v>
          </cell>
          <cell r="C259">
            <v>12</v>
          </cell>
          <cell r="D259">
            <v>3</v>
          </cell>
          <cell r="E259">
            <v>0</v>
          </cell>
        </row>
        <row r="260">
          <cell r="A260" t="str">
            <v>CIP</v>
          </cell>
          <cell r="B260" t="str">
            <v>202210</v>
          </cell>
          <cell r="C260">
            <v>32</v>
          </cell>
          <cell r="D260">
            <v>4</v>
          </cell>
          <cell r="E260">
            <v>0</v>
          </cell>
        </row>
        <row r="261">
          <cell r="A261" t="str">
            <v>CIP</v>
          </cell>
          <cell r="B261" t="str">
            <v>202220</v>
          </cell>
          <cell r="C261">
            <v>22</v>
          </cell>
          <cell r="D261">
            <v>3</v>
          </cell>
          <cell r="E261">
            <v>0</v>
          </cell>
        </row>
        <row r="262">
          <cell r="A262" t="str">
            <v>CIP</v>
          </cell>
          <cell r="B262" t="str">
            <v>202310</v>
          </cell>
          <cell r="C262">
            <v>25</v>
          </cell>
          <cell r="D262">
            <v>1</v>
          </cell>
          <cell r="E262">
            <v>0</v>
          </cell>
        </row>
        <row r="263">
          <cell r="A263" t="str">
            <v>CIP</v>
          </cell>
          <cell r="B263" t="str">
            <v>202320</v>
          </cell>
          <cell r="C263">
            <v>19</v>
          </cell>
          <cell r="D263">
            <v>1</v>
          </cell>
          <cell r="E263">
            <v>0</v>
          </cell>
        </row>
        <row r="264">
          <cell r="A264" t="str">
            <v>COF</v>
          </cell>
          <cell r="B264" t="str">
            <v>200010</v>
          </cell>
          <cell r="C264">
            <v>8</v>
          </cell>
          <cell r="D264">
            <v>1</v>
          </cell>
          <cell r="E264">
            <v>7</v>
          </cell>
        </row>
        <row r="265">
          <cell r="A265" t="str">
            <v>COF</v>
          </cell>
          <cell r="B265" t="str">
            <v>200020</v>
          </cell>
          <cell r="C265">
            <v>18</v>
          </cell>
          <cell r="D265">
            <v>7</v>
          </cell>
          <cell r="E265">
            <v>11</v>
          </cell>
        </row>
        <row r="266">
          <cell r="A266" t="str">
            <v>COF</v>
          </cell>
          <cell r="B266" t="str">
            <v>200110</v>
          </cell>
          <cell r="C266">
            <v>15</v>
          </cell>
          <cell r="D266">
            <v>10</v>
          </cell>
          <cell r="E266">
            <v>5</v>
          </cell>
        </row>
        <row r="267">
          <cell r="A267" t="str">
            <v>COF</v>
          </cell>
          <cell r="B267" t="str">
            <v>200120</v>
          </cell>
          <cell r="C267">
            <v>15</v>
          </cell>
          <cell r="D267">
            <v>10</v>
          </cell>
          <cell r="E267">
            <v>5</v>
          </cell>
        </row>
        <row r="268">
          <cell r="A268" t="str">
            <v>COF</v>
          </cell>
          <cell r="B268" t="str">
            <v>200210</v>
          </cell>
          <cell r="C268">
            <v>6</v>
          </cell>
          <cell r="D268">
            <v>4</v>
          </cell>
          <cell r="E268">
            <v>2</v>
          </cell>
        </row>
        <row r="269">
          <cell r="A269" t="str">
            <v>COF</v>
          </cell>
          <cell r="B269" t="str">
            <v>200220</v>
          </cell>
          <cell r="C269">
            <v>14</v>
          </cell>
          <cell r="D269">
            <v>7</v>
          </cell>
          <cell r="E269">
            <v>7</v>
          </cell>
        </row>
        <row r="270">
          <cell r="A270" t="str">
            <v>COF</v>
          </cell>
          <cell r="B270" t="str">
            <v>200310</v>
          </cell>
          <cell r="C270">
            <v>8</v>
          </cell>
          <cell r="D270">
            <v>5</v>
          </cell>
          <cell r="E270">
            <v>3</v>
          </cell>
        </row>
        <row r="271">
          <cell r="A271" t="str">
            <v>COF</v>
          </cell>
          <cell r="B271" t="str">
            <v>200320</v>
          </cell>
          <cell r="C271">
            <v>16</v>
          </cell>
          <cell r="D271">
            <v>7</v>
          </cell>
          <cell r="E271">
            <v>9</v>
          </cell>
        </row>
        <row r="272">
          <cell r="A272" t="str">
            <v>COF</v>
          </cell>
          <cell r="B272" t="str">
            <v>200410</v>
          </cell>
          <cell r="C272">
            <v>11</v>
          </cell>
          <cell r="D272">
            <v>5</v>
          </cell>
          <cell r="E272">
            <v>6</v>
          </cell>
        </row>
        <row r="273">
          <cell r="A273" t="str">
            <v>COF</v>
          </cell>
          <cell r="B273" t="str">
            <v>200420</v>
          </cell>
          <cell r="C273">
            <v>18</v>
          </cell>
          <cell r="D273">
            <v>5</v>
          </cell>
          <cell r="E273">
            <v>13</v>
          </cell>
        </row>
        <row r="274">
          <cell r="A274" t="str">
            <v>COF</v>
          </cell>
          <cell r="B274" t="str">
            <v>200510</v>
          </cell>
          <cell r="C274">
            <v>9</v>
          </cell>
          <cell r="D274">
            <v>6</v>
          </cell>
          <cell r="E274">
            <v>3</v>
          </cell>
        </row>
        <row r="275">
          <cell r="A275" t="str">
            <v>COF</v>
          </cell>
          <cell r="B275" t="str">
            <v>200520</v>
          </cell>
          <cell r="C275">
            <v>22</v>
          </cell>
          <cell r="D275">
            <v>6</v>
          </cell>
          <cell r="E275">
            <v>16</v>
          </cell>
        </row>
        <row r="276">
          <cell r="A276" t="str">
            <v>COF</v>
          </cell>
          <cell r="B276" t="str">
            <v>200610</v>
          </cell>
          <cell r="C276">
            <v>5</v>
          </cell>
          <cell r="D276">
            <v>4</v>
          </cell>
          <cell r="E276">
            <v>1</v>
          </cell>
        </row>
        <row r="277">
          <cell r="A277" t="str">
            <v>COF</v>
          </cell>
          <cell r="B277" t="str">
            <v>200620</v>
          </cell>
          <cell r="C277">
            <v>40</v>
          </cell>
          <cell r="D277">
            <v>15</v>
          </cell>
          <cell r="E277">
            <v>25</v>
          </cell>
        </row>
        <row r="278">
          <cell r="A278" t="str">
            <v>COF</v>
          </cell>
          <cell r="B278" t="str">
            <v>200710</v>
          </cell>
          <cell r="C278">
            <v>17</v>
          </cell>
          <cell r="D278">
            <v>8</v>
          </cell>
          <cell r="E278">
            <v>9</v>
          </cell>
        </row>
        <row r="279">
          <cell r="A279" t="str">
            <v>COF</v>
          </cell>
          <cell r="B279" t="str">
            <v>200720</v>
          </cell>
          <cell r="C279">
            <v>36</v>
          </cell>
          <cell r="D279">
            <v>10</v>
          </cell>
          <cell r="E279">
            <v>26</v>
          </cell>
        </row>
        <row r="280">
          <cell r="A280" t="str">
            <v>COF</v>
          </cell>
          <cell r="B280" t="str">
            <v>200810</v>
          </cell>
          <cell r="C280">
            <v>10</v>
          </cell>
          <cell r="D280">
            <v>6</v>
          </cell>
          <cell r="E280">
            <v>4</v>
          </cell>
        </row>
        <row r="281">
          <cell r="A281" t="str">
            <v>COF</v>
          </cell>
          <cell r="B281" t="str">
            <v>200820</v>
          </cell>
          <cell r="C281">
            <v>22</v>
          </cell>
          <cell r="D281">
            <v>9</v>
          </cell>
          <cell r="E281">
            <v>13</v>
          </cell>
        </row>
        <row r="282">
          <cell r="A282" t="str">
            <v>COF</v>
          </cell>
          <cell r="B282" t="str">
            <v>200910</v>
          </cell>
          <cell r="C282">
            <v>15</v>
          </cell>
          <cell r="D282">
            <v>4</v>
          </cell>
          <cell r="E282">
            <v>11</v>
          </cell>
        </row>
        <row r="283">
          <cell r="A283" t="str">
            <v>COF</v>
          </cell>
          <cell r="B283" t="str">
            <v>200920</v>
          </cell>
          <cell r="C283">
            <v>31</v>
          </cell>
          <cell r="D283">
            <v>10</v>
          </cell>
          <cell r="E283">
            <v>21</v>
          </cell>
        </row>
        <row r="284">
          <cell r="A284" t="str">
            <v>COF</v>
          </cell>
          <cell r="B284" t="str">
            <v>201010</v>
          </cell>
          <cell r="C284">
            <v>20</v>
          </cell>
          <cell r="D284">
            <v>12</v>
          </cell>
          <cell r="E284">
            <v>8</v>
          </cell>
        </row>
        <row r="285">
          <cell r="A285" t="str">
            <v>COF</v>
          </cell>
          <cell r="B285" t="str">
            <v>201020</v>
          </cell>
          <cell r="C285">
            <v>14</v>
          </cell>
          <cell r="D285">
            <v>5</v>
          </cell>
          <cell r="E285">
            <v>9</v>
          </cell>
        </row>
        <row r="286">
          <cell r="A286" t="str">
            <v>COF</v>
          </cell>
          <cell r="B286" t="str">
            <v>201110</v>
          </cell>
          <cell r="C286">
            <v>22</v>
          </cell>
          <cell r="D286">
            <v>7</v>
          </cell>
          <cell r="E286">
            <v>15</v>
          </cell>
        </row>
        <row r="287">
          <cell r="A287" t="str">
            <v>COF</v>
          </cell>
          <cell r="B287" t="str">
            <v>201120</v>
          </cell>
          <cell r="C287">
            <v>23</v>
          </cell>
          <cell r="D287">
            <v>7</v>
          </cell>
          <cell r="E287">
            <v>16</v>
          </cell>
        </row>
        <row r="288">
          <cell r="A288" t="str">
            <v>COF</v>
          </cell>
          <cell r="B288" t="str">
            <v>201210</v>
          </cell>
          <cell r="C288">
            <v>27</v>
          </cell>
          <cell r="D288">
            <v>11</v>
          </cell>
          <cell r="E288">
            <v>16</v>
          </cell>
        </row>
        <row r="289">
          <cell r="A289" t="str">
            <v>COF</v>
          </cell>
          <cell r="B289" t="str">
            <v>201220</v>
          </cell>
          <cell r="C289">
            <v>22</v>
          </cell>
          <cell r="D289">
            <v>3</v>
          </cell>
          <cell r="E289">
            <v>19</v>
          </cell>
        </row>
        <row r="290">
          <cell r="A290" t="str">
            <v>COF</v>
          </cell>
          <cell r="B290" t="str">
            <v>201310</v>
          </cell>
          <cell r="C290">
            <v>16</v>
          </cell>
          <cell r="D290">
            <v>6</v>
          </cell>
          <cell r="E290">
            <v>10</v>
          </cell>
        </row>
        <row r="291">
          <cell r="A291" t="str">
            <v>COF</v>
          </cell>
          <cell r="B291" t="str">
            <v>201320</v>
          </cell>
          <cell r="C291">
            <v>12</v>
          </cell>
          <cell r="D291">
            <v>4</v>
          </cell>
          <cell r="E291">
            <v>8</v>
          </cell>
        </row>
        <row r="292">
          <cell r="A292" t="str">
            <v>COF</v>
          </cell>
          <cell r="B292" t="str">
            <v>201410</v>
          </cell>
          <cell r="C292">
            <v>18</v>
          </cell>
          <cell r="D292">
            <v>5</v>
          </cell>
          <cell r="E292">
            <v>13</v>
          </cell>
        </row>
        <row r="293">
          <cell r="A293" t="str">
            <v>COF</v>
          </cell>
          <cell r="B293" t="str">
            <v>201420</v>
          </cell>
          <cell r="C293">
            <v>23</v>
          </cell>
          <cell r="D293">
            <v>5</v>
          </cell>
          <cell r="E293">
            <v>17</v>
          </cell>
        </row>
        <row r="294">
          <cell r="A294" t="str">
            <v>COF</v>
          </cell>
          <cell r="B294" t="str">
            <v>201510</v>
          </cell>
          <cell r="C294">
            <v>46</v>
          </cell>
          <cell r="D294">
            <v>7</v>
          </cell>
          <cell r="E294">
            <v>39</v>
          </cell>
        </row>
        <row r="295">
          <cell r="A295" t="str">
            <v>COF</v>
          </cell>
          <cell r="B295" t="str">
            <v>201520</v>
          </cell>
          <cell r="C295">
            <v>13</v>
          </cell>
          <cell r="D295">
            <v>3</v>
          </cell>
          <cell r="E295">
            <v>10</v>
          </cell>
        </row>
        <row r="296">
          <cell r="A296" t="str">
            <v>COF</v>
          </cell>
          <cell r="B296" t="str">
            <v>201610</v>
          </cell>
          <cell r="C296">
            <v>42</v>
          </cell>
          <cell r="D296">
            <v>12</v>
          </cell>
          <cell r="E296">
            <v>30</v>
          </cell>
        </row>
        <row r="297">
          <cell r="A297" t="str">
            <v>COF</v>
          </cell>
          <cell r="B297" t="str">
            <v>201620</v>
          </cell>
          <cell r="C297">
            <v>11</v>
          </cell>
          <cell r="D297">
            <v>7</v>
          </cell>
          <cell r="E297">
            <v>4</v>
          </cell>
        </row>
        <row r="298">
          <cell r="A298" t="str">
            <v>COF</v>
          </cell>
          <cell r="B298" t="str">
            <v>201710</v>
          </cell>
          <cell r="C298">
            <v>26</v>
          </cell>
          <cell r="D298">
            <v>3</v>
          </cell>
          <cell r="E298">
            <v>23</v>
          </cell>
        </row>
        <row r="299">
          <cell r="A299" t="str">
            <v>COF</v>
          </cell>
          <cell r="B299" t="str">
            <v>201720</v>
          </cell>
          <cell r="C299">
            <v>15</v>
          </cell>
          <cell r="D299">
            <v>4</v>
          </cell>
          <cell r="E299">
            <v>11</v>
          </cell>
        </row>
        <row r="300">
          <cell r="A300" t="str">
            <v>COF</v>
          </cell>
          <cell r="B300" t="str">
            <v>201810</v>
          </cell>
          <cell r="C300">
            <v>14</v>
          </cell>
          <cell r="D300">
            <v>2</v>
          </cell>
          <cell r="E300">
            <v>12</v>
          </cell>
        </row>
        <row r="301">
          <cell r="A301" t="str">
            <v>COF</v>
          </cell>
          <cell r="B301" t="str">
            <v>201820</v>
          </cell>
          <cell r="C301">
            <v>12</v>
          </cell>
          <cell r="D301">
            <v>2</v>
          </cell>
          <cell r="E301">
            <v>8</v>
          </cell>
        </row>
        <row r="302">
          <cell r="A302" t="str">
            <v>COF</v>
          </cell>
          <cell r="B302" t="str">
            <v>201910</v>
          </cell>
          <cell r="C302">
            <v>10</v>
          </cell>
          <cell r="D302">
            <v>2</v>
          </cell>
          <cell r="E302">
            <v>6</v>
          </cell>
        </row>
        <row r="303">
          <cell r="A303" t="str">
            <v>COF</v>
          </cell>
          <cell r="B303" t="str">
            <v>201920</v>
          </cell>
          <cell r="C303">
            <v>5</v>
          </cell>
          <cell r="D303">
            <v>1</v>
          </cell>
          <cell r="E303">
            <v>2</v>
          </cell>
        </row>
        <row r="304">
          <cell r="A304" t="str">
            <v>COF</v>
          </cell>
          <cell r="B304" t="str">
            <v>202010</v>
          </cell>
          <cell r="C304">
            <v>10</v>
          </cell>
          <cell r="D304">
            <v>4</v>
          </cell>
          <cell r="E304">
            <v>0</v>
          </cell>
        </row>
        <row r="305">
          <cell r="A305" t="str">
            <v>COF</v>
          </cell>
          <cell r="B305" t="str">
            <v>202020</v>
          </cell>
          <cell r="C305">
            <v>6</v>
          </cell>
          <cell r="D305">
            <v>0</v>
          </cell>
          <cell r="E305">
            <v>1</v>
          </cell>
        </row>
        <row r="306">
          <cell r="A306" t="str">
            <v>COF</v>
          </cell>
          <cell r="B306" t="str">
            <v>202110</v>
          </cell>
          <cell r="C306">
            <v>7</v>
          </cell>
          <cell r="D306">
            <v>4</v>
          </cell>
          <cell r="E306">
            <v>0</v>
          </cell>
        </row>
        <row r="307">
          <cell r="A307" t="str">
            <v>COF</v>
          </cell>
          <cell r="B307" t="str">
            <v>202120</v>
          </cell>
          <cell r="C307">
            <v>5</v>
          </cell>
          <cell r="D307">
            <v>1</v>
          </cell>
          <cell r="E307">
            <v>0</v>
          </cell>
        </row>
        <row r="308">
          <cell r="A308" t="str">
            <v>COF</v>
          </cell>
          <cell r="B308" t="str">
            <v>202210</v>
          </cell>
          <cell r="C308">
            <v>28</v>
          </cell>
          <cell r="D308">
            <v>5</v>
          </cell>
          <cell r="E308">
            <v>0</v>
          </cell>
        </row>
        <row r="309">
          <cell r="A309" t="str">
            <v>COF</v>
          </cell>
          <cell r="B309" t="str">
            <v>202220</v>
          </cell>
          <cell r="C309">
            <v>6</v>
          </cell>
          <cell r="D309">
            <v>2</v>
          </cell>
          <cell r="E309">
            <v>0</v>
          </cell>
        </row>
        <row r="310">
          <cell r="A310" t="str">
            <v>COF</v>
          </cell>
          <cell r="B310" t="str">
            <v>202310</v>
          </cell>
          <cell r="C310">
            <v>15</v>
          </cell>
          <cell r="D310">
            <v>2</v>
          </cell>
          <cell r="E310">
            <v>0</v>
          </cell>
        </row>
        <row r="311">
          <cell r="A311" t="str">
            <v>COM</v>
          </cell>
          <cell r="B311" t="str">
            <v>202010</v>
          </cell>
          <cell r="C311">
            <v>34</v>
          </cell>
          <cell r="D311">
            <v>12</v>
          </cell>
          <cell r="E311">
            <v>1</v>
          </cell>
        </row>
        <row r="312">
          <cell r="A312" t="str">
            <v>COM</v>
          </cell>
          <cell r="B312" t="str">
            <v>202020</v>
          </cell>
          <cell r="C312">
            <v>30</v>
          </cell>
          <cell r="D312">
            <v>8</v>
          </cell>
          <cell r="E312">
            <v>0</v>
          </cell>
        </row>
        <row r="313">
          <cell r="A313" t="str">
            <v>COM</v>
          </cell>
          <cell r="B313" t="str">
            <v>202110</v>
          </cell>
          <cell r="C313">
            <v>8</v>
          </cell>
          <cell r="D313">
            <v>3</v>
          </cell>
          <cell r="E313">
            <v>0</v>
          </cell>
        </row>
        <row r="314">
          <cell r="A314" t="str">
            <v>COM</v>
          </cell>
          <cell r="B314" t="str">
            <v>202120</v>
          </cell>
          <cell r="C314">
            <v>10</v>
          </cell>
          <cell r="D314">
            <v>0</v>
          </cell>
          <cell r="E314">
            <v>0</v>
          </cell>
        </row>
        <row r="315">
          <cell r="A315" t="str">
            <v>COM</v>
          </cell>
          <cell r="B315" t="str">
            <v>202210</v>
          </cell>
          <cell r="C315">
            <v>39</v>
          </cell>
          <cell r="D315">
            <v>4</v>
          </cell>
          <cell r="E315">
            <v>0</v>
          </cell>
        </row>
        <row r="316">
          <cell r="A316" t="str">
            <v>COM</v>
          </cell>
          <cell r="B316" t="str">
            <v>202220</v>
          </cell>
          <cell r="C316">
            <v>15</v>
          </cell>
          <cell r="D316">
            <v>5</v>
          </cell>
          <cell r="E316">
            <v>0</v>
          </cell>
        </row>
        <row r="317">
          <cell r="A317" t="str">
            <v>COM</v>
          </cell>
          <cell r="B317" t="str">
            <v>202310</v>
          </cell>
          <cell r="C317">
            <v>22</v>
          </cell>
          <cell r="D317">
            <v>3</v>
          </cell>
          <cell r="E317">
            <v>0</v>
          </cell>
        </row>
        <row r="318">
          <cell r="A318" t="str">
            <v>COM</v>
          </cell>
          <cell r="B318" t="str">
            <v>202320</v>
          </cell>
          <cell r="C318">
            <v>27</v>
          </cell>
          <cell r="D318">
            <v>4</v>
          </cell>
          <cell r="E318">
            <v>0</v>
          </cell>
        </row>
        <row r="319">
          <cell r="A319" t="str">
            <v>DER</v>
          </cell>
          <cell r="B319" t="str">
            <v>200010</v>
          </cell>
          <cell r="C319">
            <v>1</v>
          </cell>
          <cell r="D319">
            <v>0</v>
          </cell>
          <cell r="E319">
            <v>1</v>
          </cell>
        </row>
        <row r="320">
          <cell r="A320" t="str">
            <v>DER</v>
          </cell>
          <cell r="B320" t="str">
            <v>200020</v>
          </cell>
          <cell r="C320">
            <v>16</v>
          </cell>
          <cell r="D320">
            <v>10</v>
          </cell>
          <cell r="E320">
            <v>6</v>
          </cell>
        </row>
        <row r="321">
          <cell r="A321" t="str">
            <v>DER</v>
          </cell>
          <cell r="B321" t="str">
            <v>200110</v>
          </cell>
          <cell r="C321">
            <v>8</v>
          </cell>
          <cell r="D321">
            <v>2</v>
          </cell>
          <cell r="E321">
            <v>6</v>
          </cell>
        </row>
        <row r="322">
          <cell r="A322" t="str">
            <v>DER</v>
          </cell>
          <cell r="B322" t="str">
            <v>200120</v>
          </cell>
          <cell r="C322">
            <v>20</v>
          </cell>
          <cell r="D322">
            <v>8</v>
          </cell>
          <cell r="E322">
            <v>12</v>
          </cell>
        </row>
        <row r="323">
          <cell r="A323" t="str">
            <v>DER</v>
          </cell>
          <cell r="B323" t="str">
            <v>200210</v>
          </cell>
          <cell r="C323">
            <v>8</v>
          </cell>
          <cell r="D323">
            <v>1</v>
          </cell>
          <cell r="E323">
            <v>7</v>
          </cell>
        </row>
        <row r="324">
          <cell r="A324" t="str">
            <v>DER</v>
          </cell>
          <cell r="B324" t="str">
            <v>200220</v>
          </cell>
          <cell r="C324">
            <v>33</v>
          </cell>
          <cell r="D324">
            <v>7</v>
          </cell>
          <cell r="E324">
            <v>26</v>
          </cell>
        </row>
        <row r="325">
          <cell r="A325" t="str">
            <v>DER</v>
          </cell>
          <cell r="B325" t="str">
            <v>200310</v>
          </cell>
          <cell r="C325">
            <v>19</v>
          </cell>
          <cell r="D325">
            <v>5</v>
          </cell>
          <cell r="E325">
            <v>14</v>
          </cell>
        </row>
        <row r="326">
          <cell r="A326" t="str">
            <v>DER</v>
          </cell>
          <cell r="B326" t="str">
            <v>200320</v>
          </cell>
          <cell r="C326">
            <v>30</v>
          </cell>
          <cell r="D326">
            <v>17</v>
          </cell>
          <cell r="E326">
            <v>13</v>
          </cell>
        </row>
        <row r="327">
          <cell r="A327" t="str">
            <v>DER</v>
          </cell>
          <cell r="B327" t="str">
            <v>200410</v>
          </cell>
          <cell r="C327">
            <v>17</v>
          </cell>
          <cell r="D327">
            <v>4</v>
          </cell>
          <cell r="E327">
            <v>13</v>
          </cell>
        </row>
        <row r="328">
          <cell r="A328" t="str">
            <v>DER</v>
          </cell>
          <cell r="B328" t="str">
            <v>200420</v>
          </cell>
          <cell r="C328">
            <v>34</v>
          </cell>
          <cell r="D328">
            <v>18</v>
          </cell>
          <cell r="E328">
            <v>16</v>
          </cell>
        </row>
        <row r="329">
          <cell r="A329" t="str">
            <v>DER</v>
          </cell>
          <cell r="B329" t="str">
            <v>200510</v>
          </cell>
          <cell r="C329">
            <v>7</v>
          </cell>
          <cell r="D329">
            <v>3</v>
          </cell>
          <cell r="E329">
            <v>4</v>
          </cell>
        </row>
        <row r="330">
          <cell r="A330" t="str">
            <v>DER</v>
          </cell>
          <cell r="B330" t="str">
            <v>200520</v>
          </cell>
          <cell r="C330">
            <v>37</v>
          </cell>
          <cell r="D330">
            <v>19</v>
          </cell>
          <cell r="E330">
            <v>18</v>
          </cell>
        </row>
        <row r="331">
          <cell r="A331" t="str">
            <v>DER</v>
          </cell>
          <cell r="B331" t="str">
            <v>200610</v>
          </cell>
          <cell r="C331">
            <v>18</v>
          </cell>
          <cell r="D331">
            <v>10</v>
          </cell>
          <cell r="E331">
            <v>8</v>
          </cell>
        </row>
        <row r="332">
          <cell r="A332" t="str">
            <v>DER</v>
          </cell>
          <cell r="B332" t="str">
            <v>200620</v>
          </cell>
          <cell r="C332">
            <v>45</v>
          </cell>
          <cell r="D332">
            <v>18</v>
          </cell>
          <cell r="E332">
            <v>27</v>
          </cell>
        </row>
        <row r="333">
          <cell r="A333" t="str">
            <v>DER</v>
          </cell>
          <cell r="B333" t="str">
            <v>200710</v>
          </cell>
          <cell r="C333">
            <v>16</v>
          </cell>
          <cell r="D333">
            <v>10</v>
          </cell>
          <cell r="E333">
            <v>6</v>
          </cell>
        </row>
        <row r="334">
          <cell r="A334" t="str">
            <v>DER</v>
          </cell>
          <cell r="B334" t="str">
            <v>200720</v>
          </cell>
          <cell r="C334">
            <v>36</v>
          </cell>
          <cell r="D334">
            <v>15</v>
          </cell>
          <cell r="E334">
            <v>21</v>
          </cell>
        </row>
        <row r="335">
          <cell r="A335" t="str">
            <v>DER</v>
          </cell>
          <cell r="B335" t="str">
            <v>200810</v>
          </cell>
          <cell r="C335">
            <v>28</v>
          </cell>
          <cell r="D335">
            <v>10</v>
          </cell>
          <cell r="E335">
            <v>18</v>
          </cell>
        </row>
        <row r="336">
          <cell r="A336" t="str">
            <v>DER</v>
          </cell>
          <cell r="B336" t="str">
            <v>200820</v>
          </cell>
          <cell r="C336">
            <v>53</v>
          </cell>
          <cell r="D336">
            <v>17</v>
          </cell>
          <cell r="E336">
            <v>36</v>
          </cell>
        </row>
        <row r="337">
          <cell r="A337" t="str">
            <v>DER</v>
          </cell>
          <cell r="B337" t="str">
            <v>200910</v>
          </cell>
          <cell r="C337">
            <v>19</v>
          </cell>
          <cell r="D337">
            <v>12</v>
          </cell>
          <cell r="E337">
            <v>7</v>
          </cell>
        </row>
        <row r="338">
          <cell r="A338" t="str">
            <v>DER</v>
          </cell>
          <cell r="B338" t="str">
            <v>200920</v>
          </cell>
          <cell r="C338">
            <v>45</v>
          </cell>
          <cell r="D338">
            <v>18</v>
          </cell>
          <cell r="E338">
            <v>27</v>
          </cell>
        </row>
        <row r="339">
          <cell r="A339" t="str">
            <v>DER</v>
          </cell>
          <cell r="B339" t="str">
            <v>201010</v>
          </cell>
          <cell r="C339">
            <v>15</v>
          </cell>
          <cell r="D339">
            <v>10</v>
          </cell>
          <cell r="E339">
            <v>5</v>
          </cell>
        </row>
        <row r="340">
          <cell r="A340" t="str">
            <v>DER</v>
          </cell>
          <cell r="B340" t="str">
            <v>201020</v>
          </cell>
          <cell r="C340">
            <v>43</v>
          </cell>
          <cell r="D340">
            <v>18</v>
          </cell>
          <cell r="E340">
            <v>25</v>
          </cell>
        </row>
        <row r="341">
          <cell r="A341" t="str">
            <v>DER</v>
          </cell>
          <cell r="B341" t="str">
            <v>201110</v>
          </cell>
          <cell r="C341">
            <v>20</v>
          </cell>
          <cell r="D341">
            <v>10</v>
          </cell>
          <cell r="E341">
            <v>10</v>
          </cell>
        </row>
        <row r="342">
          <cell r="A342" t="str">
            <v>DER</v>
          </cell>
          <cell r="B342" t="str">
            <v>201120</v>
          </cell>
          <cell r="C342">
            <v>46</v>
          </cell>
          <cell r="D342">
            <v>13</v>
          </cell>
          <cell r="E342">
            <v>33</v>
          </cell>
        </row>
        <row r="343">
          <cell r="A343" t="str">
            <v>DER</v>
          </cell>
          <cell r="B343" t="str">
            <v>201210</v>
          </cell>
          <cell r="C343">
            <v>29</v>
          </cell>
          <cell r="D343">
            <v>15</v>
          </cell>
          <cell r="E343">
            <v>14</v>
          </cell>
        </row>
        <row r="344">
          <cell r="A344" t="str">
            <v>DER</v>
          </cell>
          <cell r="B344" t="str">
            <v>201220</v>
          </cell>
          <cell r="C344">
            <v>54</v>
          </cell>
          <cell r="D344">
            <v>24</v>
          </cell>
          <cell r="E344">
            <v>30</v>
          </cell>
        </row>
        <row r="345">
          <cell r="A345" t="str">
            <v>DER</v>
          </cell>
          <cell r="B345" t="str">
            <v>201310</v>
          </cell>
          <cell r="C345">
            <v>29</v>
          </cell>
          <cell r="D345">
            <v>14</v>
          </cell>
          <cell r="E345">
            <v>14</v>
          </cell>
        </row>
        <row r="346">
          <cell r="A346" t="str">
            <v>DER</v>
          </cell>
          <cell r="B346" t="str">
            <v>201320</v>
          </cell>
          <cell r="C346">
            <v>38</v>
          </cell>
          <cell r="D346">
            <v>17</v>
          </cell>
          <cell r="E346">
            <v>21</v>
          </cell>
        </row>
        <row r="347">
          <cell r="A347" t="str">
            <v>DER</v>
          </cell>
          <cell r="B347" t="str">
            <v>201410</v>
          </cell>
          <cell r="C347">
            <v>34</v>
          </cell>
          <cell r="D347">
            <v>16</v>
          </cell>
          <cell r="E347">
            <v>18</v>
          </cell>
        </row>
        <row r="348">
          <cell r="A348" t="str">
            <v>DER</v>
          </cell>
          <cell r="B348" t="str">
            <v>201420</v>
          </cell>
          <cell r="C348">
            <v>44</v>
          </cell>
          <cell r="D348">
            <v>16</v>
          </cell>
          <cell r="E348">
            <v>26</v>
          </cell>
        </row>
        <row r="349">
          <cell r="A349" t="str">
            <v>DER</v>
          </cell>
          <cell r="B349" t="str">
            <v>201510</v>
          </cell>
          <cell r="C349">
            <v>87</v>
          </cell>
          <cell r="D349">
            <v>33</v>
          </cell>
          <cell r="E349">
            <v>50</v>
          </cell>
        </row>
        <row r="350">
          <cell r="A350" t="str">
            <v>DER</v>
          </cell>
          <cell r="B350" t="str">
            <v>201520</v>
          </cell>
          <cell r="C350">
            <v>46</v>
          </cell>
          <cell r="D350">
            <v>15</v>
          </cell>
          <cell r="E350">
            <v>31</v>
          </cell>
        </row>
        <row r="351">
          <cell r="A351" t="str">
            <v>DER</v>
          </cell>
          <cell r="B351" t="str">
            <v>201610</v>
          </cell>
          <cell r="C351">
            <v>95</v>
          </cell>
          <cell r="D351">
            <v>41</v>
          </cell>
          <cell r="E351">
            <v>52</v>
          </cell>
        </row>
        <row r="352">
          <cell r="A352" t="str">
            <v>DER</v>
          </cell>
          <cell r="B352" t="str">
            <v>201620</v>
          </cell>
          <cell r="C352">
            <v>37</v>
          </cell>
          <cell r="D352">
            <v>13</v>
          </cell>
          <cell r="E352">
            <v>22</v>
          </cell>
        </row>
        <row r="353">
          <cell r="A353" t="str">
            <v>DER</v>
          </cell>
          <cell r="B353" t="str">
            <v>201710</v>
          </cell>
          <cell r="C353">
            <v>71</v>
          </cell>
          <cell r="D353">
            <v>21</v>
          </cell>
          <cell r="E353">
            <v>46</v>
          </cell>
        </row>
        <row r="354">
          <cell r="A354" t="str">
            <v>DER</v>
          </cell>
          <cell r="B354" t="str">
            <v>201720</v>
          </cell>
          <cell r="C354">
            <v>50</v>
          </cell>
          <cell r="D354">
            <v>13</v>
          </cell>
          <cell r="E354">
            <v>36</v>
          </cell>
        </row>
        <row r="355">
          <cell r="A355" t="str">
            <v>DER</v>
          </cell>
          <cell r="B355" t="str">
            <v>201810</v>
          </cell>
          <cell r="C355">
            <v>58</v>
          </cell>
          <cell r="D355">
            <v>13</v>
          </cell>
          <cell r="E355">
            <v>34</v>
          </cell>
        </row>
        <row r="356">
          <cell r="A356" t="str">
            <v>DER</v>
          </cell>
          <cell r="B356" t="str">
            <v>201820</v>
          </cell>
          <cell r="C356">
            <v>41</v>
          </cell>
          <cell r="D356">
            <v>15</v>
          </cell>
          <cell r="E356">
            <v>11</v>
          </cell>
        </row>
        <row r="357">
          <cell r="A357" t="str">
            <v>DER</v>
          </cell>
          <cell r="B357" t="str">
            <v>201910</v>
          </cell>
          <cell r="C357">
            <v>45</v>
          </cell>
          <cell r="D357">
            <v>9</v>
          </cell>
          <cell r="E357">
            <v>24</v>
          </cell>
        </row>
        <row r="358">
          <cell r="A358" t="str">
            <v>DER</v>
          </cell>
          <cell r="B358" t="str">
            <v>201920</v>
          </cell>
          <cell r="C358">
            <v>33</v>
          </cell>
          <cell r="D358">
            <v>7</v>
          </cell>
          <cell r="E358">
            <v>1</v>
          </cell>
        </row>
        <row r="359">
          <cell r="A359" t="str">
            <v>DER</v>
          </cell>
          <cell r="B359" t="str">
            <v>202010</v>
          </cell>
          <cell r="C359">
            <v>29</v>
          </cell>
          <cell r="D359">
            <v>4</v>
          </cell>
          <cell r="E359">
            <v>0</v>
          </cell>
        </row>
        <row r="360">
          <cell r="A360" t="str">
            <v>DER</v>
          </cell>
          <cell r="B360" t="str">
            <v>202020</v>
          </cell>
          <cell r="C360">
            <v>48</v>
          </cell>
          <cell r="D360">
            <v>8</v>
          </cell>
          <cell r="E360">
            <v>3</v>
          </cell>
        </row>
        <row r="361">
          <cell r="A361" t="str">
            <v>DER</v>
          </cell>
          <cell r="B361" t="str">
            <v>202110</v>
          </cell>
          <cell r="C361">
            <v>40</v>
          </cell>
          <cell r="D361">
            <v>11</v>
          </cell>
          <cell r="E361">
            <v>0</v>
          </cell>
        </row>
        <row r="362">
          <cell r="A362" t="str">
            <v>DER</v>
          </cell>
          <cell r="B362" t="str">
            <v>202120</v>
          </cell>
          <cell r="C362">
            <v>29</v>
          </cell>
          <cell r="D362">
            <v>7</v>
          </cell>
          <cell r="E362">
            <v>0</v>
          </cell>
        </row>
        <row r="363">
          <cell r="A363" t="str">
            <v>DER</v>
          </cell>
          <cell r="B363" t="str">
            <v>202210</v>
          </cell>
          <cell r="C363">
            <v>53</v>
          </cell>
          <cell r="D363">
            <v>5</v>
          </cell>
          <cell r="E363">
            <v>0</v>
          </cell>
        </row>
        <row r="364">
          <cell r="A364" t="str">
            <v>DER</v>
          </cell>
          <cell r="B364" t="str">
            <v>202220</v>
          </cell>
          <cell r="C364">
            <v>35</v>
          </cell>
          <cell r="D364">
            <v>6</v>
          </cell>
          <cell r="E364">
            <v>0</v>
          </cell>
        </row>
        <row r="365">
          <cell r="A365" t="str">
            <v>DER</v>
          </cell>
          <cell r="B365" t="str">
            <v>202310</v>
          </cell>
          <cell r="C365">
            <v>45</v>
          </cell>
          <cell r="D365">
            <v>4</v>
          </cell>
          <cell r="E365">
            <v>0</v>
          </cell>
        </row>
        <row r="366">
          <cell r="A366" t="str">
            <v>DER</v>
          </cell>
          <cell r="B366" t="str">
            <v>202320</v>
          </cell>
          <cell r="C366">
            <v>30</v>
          </cell>
          <cell r="D366">
            <v>2</v>
          </cell>
          <cell r="E366">
            <v>0</v>
          </cell>
        </row>
        <row r="367">
          <cell r="A367" t="str">
            <v>DIS</v>
          </cell>
          <cell r="B367" t="str">
            <v>199820</v>
          </cell>
          <cell r="C367">
            <v>37</v>
          </cell>
          <cell r="D367">
            <v>21</v>
          </cell>
          <cell r="E367">
            <v>16</v>
          </cell>
        </row>
        <row r="368">
          <cell r="A368" t="str">
            <v>DIS</v>
          </cell>
          <cell r="B368" t="str">
            <v>199910</v>
          </cell>
          <cell r="C368">
            <v>17</v>
          </cell>
          <cell r="D368">
            <v>10</v>
          </cell>
          <cell r="E368">
            <v>7</v>
          </cell>
        </row>
        <row r="369">
          <cell r="A369" t="str">
            <v>DIS</v>
          </cell>
          <cell r="B369" t="str">
            <v>199920</v>
          </cell>
          <cell r="C369">
            <v>32</v>
          </cell>
          <cell r="D369">
            <v>13</v>
          </cell>
          <cell r="E369">
            <v>19</v>
          </cell>
        </row>
        <row r="370">
          <cell r="A370" t="str">
            <v>DIS</v>
          </cell>
          <cell r="B370" t="str">
            <v>200010</v>
          </cell>
          <cell r="C370">
            <v>20</v>
          </cell>
          <cell r="D370">
            <v>8</v>
          </cell>
          <cell r="E370">
            <v>12</v>
          </cell>
        </row>
        <row r="371">
          <cell r="A371" t="str">
            <v>DIS</v>
          </cell>
          <cell r="B371" t="str">
            <v>200020</v>
          </cell>
          <cell r="C371">
            <v>32</v>
          </cell>
          <cell r="D371">
            <v>15</v>
          </cell>
          <cell r="E371">
            <v>17</v>
          </cell>
        </row>
        <row r="372">
          <cell r="A372" t="str">
            <v>DIS</v>
          </cell>
          <cell r="B372" t="str">
            <v>200110</v>
          </cell>
          <cell r="C372">
            <v>17</v>
          </cell>
          <cell r="D372">
            <v>6</v>
          </cell>
          <cell r="E372">
            <v>11</v>
          </cell>
        </row>
        <row r="373">
          <cell r="A373" t="str">
            <v>DIS</v>
          </cell>
          <cell r="B373" t="str">
            <v>200120</v>
          </cell>
          <cell r="C373">
            <v>31</v>
          </cell>
          <cell r="D373">
            <v>16</v>
          </cell>
          <cell r="E373">
            <v>15</v>
          </cell>
        </row>
        <row r="374">
          <cell r="A374" t="str">
            <v>DIS</v>
          </cell>
          <cell r="B374" t="str">
            <v>200210</v>
          </cell>
          <cell r="C374">
            <v>23</v>
          </cell>
          <cell r="D374">
            <v>11</v>
          </cell>
          <cell r="E374">
            <v>12</v>
          </cell>
        </row>
        <row r="375">
          <cell r="A375" t="str">
            <v>DIS</v>
          </cell>
          <cell r="B375" t="str">
            <v>200220</v>
          </cell>
          <cell r="C375">
            <v>38</v>
          </cell>
          <cell r="D375">
            <v>14</v>
          </cell>
          <cell r="E375">
            <v>24</v>
          </cell>
        </row>
        <row r="376">
          <cell r="A376" t="str">
            <v>DIS</v>
          </cell>
          <cell r="B376" t="str">
            <v>200310</v>
          </cell>
          <cell r="C376">
            <v>19</v>
          </cell>
          <cell r="D376">
            <v>11</v>
          </cell>
          <cell r="E376">
            <v>8</v>
          </cell>
        </row>
        <row r="377">
          <cell r="A377" t="str">
            <v>DIS</v>
          </cell>
          <cell r="B377" t="str">
            <v>200320</v>
          </cell>
          <cell r="C377">
            <v>34</v>
          </cell>
          <cell r="D377">
            <v>7</v>
          </cell>
          <cell r="E377">
            <v>27</v>
          </cell>
        </row>
        <row r="378">
          <cell r="A378" t="str">
            <v>DIS</v>
          </cell>
          <cell r="B378" t="str">
            <v>200410</v>
          </cell>
          <cell r="C378">
            <v>18</v>
          </cell>
          <cell r="D378">
            <v>3</v>
          </cell>
          <cell r="E378">
            <v>15</v>
          </cell>
        </row>
        <row r="379">
          <cell r="A379" t="str">
            <v>DIS</v>
          </cell>
          <cell r="B379" t="str">
            <v>200420</v>
          </cell>
          <cell r="C379">
            <v>37</v>
          </cell>
          <cell r="D379">
            <v>11</v>
          </cell>
          <cell r="E379">
            <v>26</v>
          </cell>
        </row>
        <row r="380">
          <cell r="A380" t="str">
            <v>DIS</v>
          </cell>
          <cell r="B380" t="str">
            <v>200510</v>
          </cell>
          <cell r="C380">
            <v>19</v>
          </cell>
          <cell r="D380">
            <v>14</v>
          </cell>
          <cell r="E380">
            <v>5</v>
          </cell>
        </row>
        <row r="381">
          <cell r="A381" t="str">
            <v>DIS</v>
          </cell>
          <cell r="B381" t="str">
            <v>200520</v>
          </cell>
          <cell r="C381">
            <v>38</v>
          </cell>
          <cell r="D381">
            <v>9</v>
          </cell>
          <cell r="E381">
            <v>29</v>
          </cell>
        </row>
        <row r="382">
          <cell r="A382" t="str">
            <v>DIS</v>
          </cell>
          <cell r="B382" t="str">
            <v>200610</v>
          </cell>
          <cell r="C382">
            <v>18</v>
          </cell>
          <cell r="D382">
            <v>1</v>
          </cell>
          <cell r="E382">
            <v>17</v>
          </cell>
        </row>
        <row r="383">
          <cell r="A383" t="str">
            <v>DIS</v>
          </cell>
          <cell r="B383" t="str">
            <v>200620</v>
          </cell>
          <cell r="C383">
            <v>38</v>
          </cell>
          <cell r="D383">
            <v>15</v>
          </cell>
          <cell r="E383">
            <v>23</v>
          </cell>
        </row>
        <row r="384">
          <cell r="A384" t="str">
            <v>DIS</v>
          </cell>
          <cell r="B384" t="str">
            <v>200710</v>
          </cell>
          <cell r="C384">
            <v>18</v>
          </cell>
          <cell r="D384">
            <v>5</v>
          </cell>
          <cell r="E384">
            <v>13</v>
          </cell>
        </row>
        <row r="385">
          <cell r="A385" t="str">
            <v>DIS</v>
          </cell>
          <cell r="B385" t="str">
            <v>200720</v>
          </cell>
          <cell r="C385">
            <v>38</v>
          </cell>
          <cell r="D385">
            <v>16</v>
          </cell>
          <cell r="E385">
            <v>22</v>
          </cell>
        </row>
        <row r="386">
          <cell r="A386" t="str">
            <v>DIS</v>
          </cell>
          <cell r="B386" t="str">
            <v>200810</v>
          </cell>
          <cell r="C386">
            <v>38</v>
          </cell>
          <cell r="D386">
            <v>13</v>
          </cell>
          <cell r="E386">
            <v>25</v>
          </cell>
        </row>
        <row r="387">
          <cell r="A387" t="str">
            <v>DIS</v>
          </cell>
          <cell r="B387" t="str">
            <v>200820</v>
          </cell>
          <cell r="C387">
            <v>38</v>
          </cell>
          <cell r="D387">
            <v>14</v>
          </cell>
          <cell r="E387">
            <v>24</v>
          </cell>
        </row>
        <row r="388">
          <cell r="A388" t="str">
            <v>DIS</v>
          </cell>
          <cell r="B388" t="str">
            <v>200910</v>
          </cell>
          <cell r="C388">
            <v>37</v>
          </cell>
          <cell r="D388">
            <v>15</v>
          </cell>
          <cell r="E388">
            <v>21</v>
          </cell>
        </row>
        <row r="389">
          <cell r="A389" t="str">
            <v>DIS</v>
          </cell>
          <cell r="B389" t="str">
            <v>200920</v>
          </cell>
          <cell r="C389">
            <v>38</v>
          </cell>
          <cell r="D389">
            <v>19</v>
          </cell>
          <cell r="E389">
            <v>19</v>
          </cell>
        </row>
        <row r="390">
          <cell r="A390" t="str">
            <v>DIS</v>
          </cell>
          <cell r="B390" t="str">
            <v>201010</v>
          </cell>
          <cell r="C390">
            <v>19</v>
          </cell>
          <cell r="D390">
            <v>8</v>
          </cell>
          <cell r="E390">
            <v>11</v>
          </cell>
        </row>
        <row r="391">
          <cell r="A391" t="str">
            <v>DIS</v>
          </cell>
          <cell r="B391" t="str">
            <v>201020</v>
          </cell>
          <cell r="C391">
            <v>38</v>
          </cell>
          <cell r="D391">
            <v>13</v>
          </cell>
          <cell r="E391">
            <v>25</v>
          </cell>
        </row>
        <row r="392">
          <cell r="A392" t="str">
            <v>DIS</v>
          </cell>
          <cell r="B392" t="str">
            <v>201110</v>
          </cell>
          <cell r="C392">
            <v>21</v>
          </cell>
          <cell r="D392">
            <v>8</v>
          </cell>
          <cell r="E392">
            <v>13</v>
          </cell>
        </row>
        <row r="393">
          <cell r="A393" t="str">
            <v>DIS</v>
          </cell>
          <cell r="B393" t="str">
            <v>201120</v>
          </cell>
          <cell r="C393">
            <v>35</v>
          </cell>
          <cell r="D393">
            <v>9</v>
          </cell>
          <cell r="E393">
            <v>26</v>
          </cell>
        </row>
        <row r="394">
          <cell r="A394" t="str">
            <v>DIS</v>
          </cell>
          <cell r="B394" t="str">
            <v>201210</v>
          </cell>
          <cell r="C394">
            <v>19</v>
          </cell>
          <cell r="D394">
            <v>5</v>
          </cell>
          <cell r="E394">
            <v>13</v>
          </cell>
        </row>
        <row r="395">
          <cell r="A395" t="str">
            <v>DIS</v>
          </cell>
          <cell r="B395" t="str">
            <v>201220</v>
          </cell>
          <cell r="C395">
            <v>38</v>
          </cell>
          <cell r="D395">
            <v>12</v>
          </cell>
          <cell r="E395">
            <v>26</v>
          </cell>
        </row>
        <row r="396">
          <cell r="A396" t="str">
            <v>DIS</v>
          </cell>
          <cell r="B396" t="str">
            <v>201310</v>
          </cell>
          <cell r="C396">
            <v>18</v>
          </cell>
          <cell r="D396">
            <v>7</v>
          </cell>
          <cell r="E396">
            <v>11</v>
          </cell>
        </row>
        <row r="397">
          <cell r="A397" t="str">
            <v>DIS</v>
          </cell>
          <cell r="B397" t="str">
            <v>201320</v>
          </cell>
          <cell r="C397">
            <v>37</v>
          </cell>
          <cell r="D397">
            <v>12</v>
          </cell>
          <cell r="E397">
            <v>25</v>
          </cell>
        </row>
        <row r="398">
          <cell r="A398" t="str">
            <v>DIS</v>
          </cell>
          <cell r="B398" t="str">
            <v>201410</v>
          </cell>
          <cell r="C398">
            <v>19</v>
          </cell>
          <cell r="D398">
            <v>8</v>
          </cell>
          <cell r="E398">
            <v>11</v>
          </cell>
        </row>
        <row r="399">
          <cell r="A399" t="str">
            <v>DIS</v>
          </cell>
          <cell r="B399" t="str">
            <v>201420</v>
          </cell>
          <cell r="C399">
            <v>38</v>
          </cell>
          <cell r="D399">
            <v>9</v>
          </cell>
          <cell r="E399">
            <v>29</v>
          </cell>
        </row>
        <row r="400">
          <cell r="A400" t="str">
            <v>DIS</v>
          </cell>
          <cell r="B400" t="str">
            <v>201510</v>
          </cell>
          <cell r="C400">
            <v>16</v>
          </cell>
          <cell r="D400">
            <v>3</v>
          </cell>
          <cell r="E400">
            <v>12</v>
          </cell>
        </row>
        <row r="401">
          <cell r="A401" t="str">
            <v>DIS</v>
          </cell>
          <cell r="B401" t="str">
            <v>201520</v>
          </cell>
          <cell r="C401">
            <v>35</v>
          </cell>
          <cell r="D401">
            <v>11</v>
          </cell>
          <cell r="E401">
            <v>23</v>
          </cell>
        </row>
        <row r="402">
          <cell r="A402" t="str">
            <v>DIS</v>
          </cell>
          <cell r="B402" t="str">
            <v>201610</v>
          </cell>
          <cell r="C402">
            <v>14</v>
          </cell>
          <cell r="D402">
            <v>7</v>
          </cell>
          <cell r="E402">
            <v>7</v>
          </cell>
        </row>
        <row r="403">
          <cell r="A403" t="str">
            <v>DIS</v>
          </cell>
          <cell r="B403" t="str">
            <v>201620</v>
          </cell>
          <cell r="C403">
            <v>31</v>
          </cell>
          <cell r="D403">
            <v>7</v>
          </cell>
          <cell r="E403">
            <v>23</v>
          </cell>
        </row>
        <row r="404">
          <cell r="A404" t="str">
            <v>DIS</v>
          </cell>
          <cell r="B404" t="str">
            <v>201710</v>
          </cell>
          <cell r="C404">
            <v>18</v>
          </cell>
          <cell r="D404">
            <v>6</v>
          </cell>
          <cell r="E404">
            <v>11</v>
          </cell>
        </row>
        <row r="405">
          <cell r="A405" t="str">
            <v>DIS</v>
          </cell>
          <cell r="B405" t="str">
            <v>201720</v>
          </cell>
          <cell r="C405">
            <v>24</v>
          </cell>
          <cell r="D405">
            <v>4</v>
          </cell>
          <cell r="E405">
            <v>18</v>
          </cell>
        </row>
        <row r="406">
          <cell r="A406" t="str">
            <v>DIS</v>
          </cell>
          <cell r="B406" t="str">
            <v>201810</v>
          </cell>
          <cell r="C406">
            <v>16</v>
          </cell>
          <cell r="D406">
            <v>7</v>
          </cell>
          <cell r="E406">
            <v>9</v>
          </cell>
        </row>
        <row r="407">
          <cell r="A407" t="str">
            <v>DIS</v>
          </cell>
          <cell r="B407" t="str">
            <v>201820</v>
          </cell>
          <cell r="C407">
            <v>18</v>
          </cell>
          <cell r="D407">
            <v>4</v>
          </cell>
          <cell r="E407">
            <v>11</v>
          </cell>
        </row>
        <row r="408">
          <cell r="A408" t="str">
            <v>DIS</v>
          </cell>
          <cell r="B408" t="str">
            <v>201910</v>
          </cell>
          <cell r="C408">
            <v>14</v>
          </cell>
          <cell r="D408">
            <v>2</v>
          </cell>
          <cell r="E408">
            <v>9</v>
          </cell>
        </row>
        <row r="409">
          <cell r="A409" t="str">
            <v>DIS</v>
          </cell>
          <cell r="B409" t="str">
            <v>201920</v>
          </cell>
          <cell r="C409">
            <v>17</v>
          </cell>
          <cell r="D409">
            <v>5</v>
          </cell>
          <cell r="E409">
            <v>0</v>
          </cell>
        </row>
        <row r="410">
          <cell r="A410" t="str">
            <v>DIS</v>
          </cell>
          <cell r="B410" t="str">
            <v>202010</v>
          </cell>
          <cell r="C410">
            <v>13</v>
          </cell>
          <cell r="D410">
            <v>4</v>
          </cell>
          <cell r="E410">
            <v>0</v>
          </cell>
        </row>
        <row r="411">
          <cell r="A411" t="str">
            <v>DIS</v>
          </cell>
          <cell r="B411" t="str">
            <v>202020</v>
          </cell>
          <cell r="C411">
            <v>22</v>
          </cell>
          <cell r="D411">
            <v>6</v>
          </cell>
          <cell r="E411">
            <v>0</v>
          </cell>
        </row>
        <row r="412">
          <cell r="A412" t="str">
            <v>DIS</v>
          </cell>
          <cell r="B412" t="str">
            <v>202110</v>
          </cell>
          <cell r="C412">
            <v>15</v>
          </cell>
          <cell r="D412">
            <v>3</v>
          </cell>
          <cell r="E412">
            <v>0</v>
          </cell>
        </row>
        <row r="413">
          <cell r="A413" t="str">
            <v>DIS</v>
          </cell>
          <cell r="B413" t="str">
            <v>202120</v>
          </cell>
          <cell r="C413">
            <v>12</v>
          </cell>
          <cell r="D413">
            <v>4</v>
          </cell>
          <cell r="E413">
            <v>0</v>
          </cell>
        </row>
        <row r="414">
          <cell r="A414" t="str">
            <v>DIS</v>
          </cell>
          <cell r="B414" t="str">
            <v>202210</v>
          </cell>
          <cell r="C414">
            <v>10</v>
          </cell>
          <cell r="D414">
            <v>2</v>
          </cell>
          <cell r="E414">
            <v>0</v>
          </cell>
        </row>
        <row r="415">
          <cell r="A415" t="str">
            <v>DIS</v>
          </cell>
          <cell r="B415" t="str">
            <v>202220</v>
          </cell>
          <cell r="C415">
            <v>13</v>
          </cell>
          <cell r="D415">
            <v>3</v>
          </cell>
          <cell r="E415">
            <v>0</v>
          </cell>
        </row>
        <row r="416">
          <cell r="A416" t="str">
            <v>DIS</v>
          </cell>
          <cell r="B416" t="str">
            <v>202310</v>
          </cell>
          <cell r="C416">
            <v>19</v>
          </cell>
          <cell r="D416">
            <v>5</v>
          </cell>
          <cell r="E416">
            <v>0</v>
          </cell>
        </row>
        <row r="417">
          <cell r="A417" t="str">
            <v>DIS</v>
          </cell>
          <cell r="B417" t="str">
            <v>202320</v>
          </cell>
          <cell r="C417">
            <v>21</v>
          </cell>
          <cell r="D417">
            <v>2</v>
          </cell>
          <cell r="E417">
            <v>0</v>
          </cell>
        </row>
        <row r="418">
          <cell r="A418" t="str">
            <v>DMI</v>
          </cell>
          <cell r="B418" t="str">
            <v>200520</v>
          </cell>
          <cell r="C418">
            <v>22</v>
          </cell>
          <cell r="D418">
            <v>9</v>
          </cell>
          <cell r="E418">
            <v>13</v>
          </cell>
        </row>
        <row r="419">
          <cell r="A419" t="str">
            <v>DMI</v>
          </cell>
          <cell r="B419" t="str">
            <v>200610</v>
          </cell>
          <cell r="C419">
            <v>20</v>
          </cell>
          <cell r="D419">
            <v>11</v>
          </cell>
          <cell r="E419">
            <v>9</v>
          </cell>
        </row>
        <row r="420">
          <cell r="A420" t="str">
            <v>DMI</v>
          </cell>
          <cell r="B420" t="str">
            <v>200620</v>
          </cell>
          <cell r="C420">
            <v>38</v>
          </cell>
          <cell r="D420">
            <v>12</v>
          </cell>
          <cell r="E420">
            <v>26</v>
          </cell>
        </row>
        <row r="421">
          <cell r="A421" t="str">
            <v>DMI</v>
          </cell>
          <cell r="B421" t="str">
            <v>200710</v>
          </cell>
          <cell r="C421">
            <v>19</v>
          </cell>
          <cell r="D421">
            <v>10</v>
          </cell>
          <cell r="E421">
            <v>9</v>
          </cell>
        </row>
        <row r="422">
          <cell r="A422" t="str">
            <v>DMI</v>
          </cell>
          <cell r="B422" t="str">
            <v>200720</v>
          </cell>
          <cell r="C422">
            <v>34</v>
          </cell>
          <cell r="D422">
            <v>15</v>
          </cell>
          <cell r="E422">
            <v>19</v>
          </cell>
        </row>
        <row r="423">
          <cell r="A423" t="str">
            <v>DMI</v>
          </cell>
          <cell r="B423" t="str">
            <v>200810</v>
          </cell>
          <cell r="C423">
            <v>19</v>
          </cell>
          <cell r="D423">
            <v>9</v>
          </cell>
          <cell r="E423">
            <v>10</v>
          </cell>
        </row>
        <row r="424">
          <cell r="A424" t="str">
            <v>DMI</v>
          </cell>
          <cell r="B424" t="str">
            <v>200820</v>
          </cell>
          <cell r="C424">
            <v>35</v>
          </cell>
          <cell r="D424">
            <v>18</v>
          </cell>
          <cell r="E424">
            <v>17</v>
          </cell>
        </row>
        <row r="425">
          <cell r="A425" t="str">
            <v>DMI</v>
          </cell>
          <cell r="B425" t="str">
            <v>200910</v>
          </cell>
          <cell r="C425">
            <v>18</v>
          </cell>
          <cell r="D425">
            <v>7</v>
          </cell>
          <cell r="E425">
            <v>11</v>
          </cell>
        </row>
        <row r="426">
          <cell r="A426" t="str">
            <v>DMI</v>
          </cell>
          <cell r="B426" t="str">
            <v>200920</v>
          </cell>
          <cell r="C426">
            <v>32</v>
          </cell>
          <cell r="D426">
            <v>13</v>
          </cell>
          <cell r="E426">
            <v>19</v>
          </cell>
        </row>
        <row r="427">
          <cell r="A427" t="str">
            <v>DMI</v>
          </cell>
          <cell r="B427" t="str">
            <v>201010</v>
          </cell>
          <cell r="C427">
            <v>19</v>
          </cell>
          <cell r="D427">
            <v>9</v>
          </cell>
          <cell r="E427">
            <v>10</v>
          </cell>
        </row>
        <row r="428">
          <cell r="A428" t="str">
            <v>DMI</v>
          </cell>
          <cell r="B428" t="str">
            <v>201020</v>
          </cell>
          <cell r="C428">
            <v>39</v>
          </cell>
          <cell r="D428">
            <v>18</v>
          </cell>
          <cell r="E428">
            <v>21</v>
          </cell>
        </row>
        <row r="429">
          <cell r="A429" t="str">
            <v>DMI</v>
          </cell>
          <cell r="B429" t="str">
            <v>201110</v>
          </cell>
          <cell r="C429">
            <v>24</v>
          </cell>
          <cell r="D429">
            <v>11</v>
          </cell>
          <cell r="E429">
            <v>13</v>
          </cell>
        </row>
        <row r="430">
          <cell r="A430" t="str">
            <v>DMI</v>
          </cell>
          <cell r="B430" t="str">
            <v>201120</v>
          </cell>
          <cell r="C430">
            <v>41</v>
          </cell>
          <cell r="D430">
            <v>23</v>
          </cell>
          <cell r="E430">
            <v>18</v>
          </cell>
        </row>
        <row r="431">
          <cell r="A431" t="str">
            <v>DMI</v>
          </cell>
          <cell r="B431" t="str">
            <v>201210</v>
          </cell>
          <cell r="C431">
            <v>23</v>
          </cell>
          <cell r="D431">
            <v>11</v>
          </cell>
          <cell r="E431">
            <v>12</v>
          </cell>
        </row>
        <row r="432">
          <cell r="A432" t="str">
            <v>DMI</v>
          </cell>
          <cell r="B432" t="str">
            <v>201220</v>
          </cell>
          <cell r="C432">
            <v>38</v>
          </cell>
          <cell r="D432">
            <v>16</v>
          </cell>
          <cell r="E432">
            <v>21</v>
          </cell>
        </row>
        <row r="433">
          <cell r="A433" t="str">
            <v>DMI</v>
          </cell>
          <cell r="B433" t="str">
            <v>201310</v>
          </cell>
          <cell r="C433">
            <v>18</v>
          </cell>
          <cell r="D433">
            <v>7</v>
          </cell>
          <cell r="E433">
            <v>11</v>
          </cell>
        </row>
        <row r="434">
          <cell r="A434" t="str">
            <v>DMI</v>
          </cell>
          <cell r="B434" t="str">
            <v>201320</v>
          </cell>
          <cell r="C434">
            <v>36</v>
          </cell>
          <cell r="D434">
            <v>8</v>
          </cell>
          <cell r="E434">
            <v>28</v>
          </cell>
        </row>
        <row r="435">
          <cell r="A435" t="str">
            <v>DMI</v>
          </cell>
          <cell r="B435" t="str">
            <v>201410</v>
          </cell>
          <cell r="C435">
            <v>18</v>
          </cell>
          <cell r="D435">
            <v>8</v>
          </cell>
          <cell r="E435">
            <v>10</v>
          </cell>
        </row>
        <row r="436">
          <cell r="A436" t="str">
            <v>DMI</v>
          </cell>
          <cell r="B436" t="str">
            <v>201420</v>
          </cell>
          <cell r="C436">
            <v>29</v>
          </cell>
          <cell r="D436">
            <v>11</v>
          </cell>
          <cell r="E436">
            <v>18</v>
          </cell>
        </row>
        <row r="437">
          <cell r="A437" t="str">
            <v>DMI</v>
          </cell>
          <cell r="B437" t="str">
            <v>201510</v>
          </cell>
          <cell r="C437">
            <v>31</v>
          </cell>
          <cell r="D437">
            <v>8</v>
          </cell>
          <cell r="E437">
            <v>23</v>
          </cell>
        </row>
        <row r="438">
          <cell r="A438" t="str">
            <v>DMI</v>
          </cell>
          <cell r="B438" t="str">
            <v>201520</v>
          </cell>
          <cell r="C438">
            <v>33</v>
          </cell>
          <cell r="D438">
            <v>11</v>
          </cell>
          <cell r="E438">
            <v>22</v>
          </cell>
        </row>
        <row r="439">
          <cell r="A439" t="str">
            <v>DMI</v>
          </cell>
          <cell r="B439" t="str">
            <v>201610</v>
          </cell>
          <cell r="C439">
            <v>34</v>
          </cell>
          <cell r="D439">
            <v>18</v>
          </cell>
          <cell r="E439">
            <v>15</v>
          </cell>
        </row>
        <row r="440">
          <cell r="A440" t="str">
            <v>DMI</v>
          </cell>
          <cell r="B440" t="str">
            <v>201620</v>
          </cell>
          <cell r="C440">
            <v>33</v>
          </cell>
          <cell r="D440">
            <v>12</v>
          </cell>
          <cell r="E440">
            <v>21</v>
          </cell>
        </row>
        <row r="441">
          <cell r="A441" t="str">
            <v>DMI</v>
          </cell>
          <cell r="B441" t="str">
            <v>201710</v>
          </cell>
          <cell r="C441">
            <v>27</v>
          </cell>
          <cell r="D441">
            <v>11</v>
          </cell>
          <cell r="E441">
            <v>15</v>
          </cell>
        </row>
        <row r="442">
          <cell r="A442" t="str">
            <v>DMI</v>
          </cell>
          <cell r="B442" t="str">
            <v>201720</v>
          </cell>
          <cell r="C442">
            <v>28</v>
          </cell>
          <cell r="D442">
            <v>8</v>
          </cell>
          <cell r="E442">
            <v>17</v>
          </cell>
        </row>
        <row r="443">
          <cell r="A443" t="str">
            <v>DMI</v>
          </cell>
          <cell r="B443" t="str">
            <v>201810</v>
          </cell>
          <cell r="C443">
            <v>34</v>
          </cell>
          <cell r="D443">
            <v>9</v>
          </cell>
          <cell r="E443">
            <v>20</v>
          </cell>
        </row>
        <row r="444">
          <cell r="A444" t="str">
            <v>DMI</v>
          </cell>
          <cell r="B444" t="str">
            <v>201820</v>
          </cell>
          <cell r="C444">
            <v>35</v>
          </cell>
          <cell r="D444">
            <v>10</v>
          </cell>
          <cell r="E444">
            <v>19</v>
          </cell>
        </row>
        <row r="445">
          <cell r="A445" t="str">
            <v>DMI</v>
          </cell>
          <cell r="B445" t="str">
            <v>201910</v>
          </cell>
          <cell r="C445">
            <v>17</v>
          </cell>
          <cell r="D445">
            <v>7</v>
          </cell>
          <cell r="E445">
            <v>5</v>
          </cell>
        </row>
        <row r="446">
          <cell r="A446" t="str">
            <v>DMI</v>
          </cell>
          <cell r="B446" t="str">
            <v>201920</v>
          </cell>
          <cell r="C446">
            <v>28</v>
          </cell>
          <cell r="D446">
            <v>11</v>
          </cell>
          <cell r="E446">
            <v>1</v>
          </cell>
        </row>
        <row r="447">
          <cell r="A447" t="str">
            <v>DMI</v>
          </cell>
          <cell r="B447" t="str">
            <v>202010</v>
          </cell>
          <cell r="C447">
            <v>37</v>
          </cell>
          <cell r="D447">
            <v>11</v>
          </cell>
          <cell r="E447">
            <v>1</v>
          </cell>
        </row>
        <row r="448">
          <cell r="A448" t="str">
            <v>DMI</v>
          </cell>
          <cell r="B448" t="str">
            <v>202020</v>
          </cell>
          <cell r="C448">
            <v>31</v>
          </cell>
          <cell r="D448">
            <v>6</v>
          </cell>
          <cell r="E448">
            <v>1</v>
          </cell>
        </row>
        <row r="449">
          <cell r="A449" t="str">
            <v>DMI</v>
          </cell>
          <cell r="B449" t="str">
            <v>202110</v>
          </cell>
          <cell r="C449">
            <v>29</v>
          </cell>
          <cell r="D449">
            <v>9</v>
          </cell>
          <cell r="E449">
            <v>0</v>
          </cell>
        </row>
        <row r="450">
          <cell r="A450" t="str">
            <v>DMI</v>
          </cell>
          <cell r="B450" t="str">
            <v>202120</v>
          </cell>
          <cell r="C450">
            <v>34</v>
          </cell>
          <cell r="D450">
            <v>6</v>
          </cell>
          <cell r="E450">
            <v>0</v>
          </cell>
        </row>
        <row r="451">
          <cell r="A451" t="str">
            <v>DMI</v>
          </cell>
          <cell r="B451" t="str">
            <v>202210</v>
          </cell>
          <cell r="C451">
            <v>46</v>
          </cell>
          <cell r="D451">
            <v>9</v>
          </cell>
          <cell r="E451">
            <v>0</v>
          </cell>
        </row>
        <row r="452">
          <cell r="A452" t="str">
            <v>DMI</v>
          </cell>
          <cell r="B452" t="str">
            <v>202220</v>
          </cell>
          <cell r="C452">
            <v>39</v>
          </cell>
          <cell r="D452">
            <v>12</v>
          </cell>
          <cell r="E452">
            <v>0</v>
          </cell>
        </row>
        <row r="453">
          <cell r="A453" t="str">
            <v>DMI</v>
          </cell>
          <cell r="B453" t="str">
            <v>202310</v>
          </cell>
          <cell r="C453">
            <v>25</v>
          </cell>
          <cell r="D453">
            <v>1</v>
          </cell>
          <cell r="E453">
            <v>0</v>
          </cell>
        </row>
        <row r="454">
          <cell r="A454" t="str">
            <v>DMI</v>
          </cell>
          <cell r="B454" t="str">
            <v>202320</v>
          </cell>
          <cell r="C454">
            <v>56</v>
          </cell>
          <cell r="D454">
            <v>6</v>
          </cell>
          <cell r="E454">
            <v>0</v>
          </cell>
        </row>
        <row r="455">
          <cell r="A455" t="str">
            <v>ECO</v>
          </cell>
          <cell r="B455" t="str">
            <v>200620</v>
          </cell>
          <cell r="C455">
            <v>8</v>
          </cell>
          <cell r="D455">
            <v>5</v>
          </cell>
          <cell r="E455">
            <v>3</v>
          </cell>
        </row>
        <row r="456">
          <cell r="A456" t="str">
            <v>ECO</v>
          </cell>
          <cell r="B456" t="str">
            <v>200710</v>
          </cell>
          <cell r="C456">
            <v>3</v>
          </cell>
          <cell r="D456">
            <v>3</v>
          </cell>
          <cell r="E456">
            <v>0</v>
          </cell>
        </row>
        <row r="457">
          <cell r="A457" t="str">
            <v>ECO</v>
          </cell>
          <cell r="B457" t="str">
            <v>200720</v>
          </cell>
          <cell r="C457">
            <v>26</v>
          </cell>
          <cell r="D457">
            <v>9</v>
          </cell>
          <cell r="E457">
            <v>17</v>
          </cell>
        </row>
        <row r="458">
          <cell r="A458" t="str">
            <v>ECO</v>
          </cell>
          <cell r="B458" t="str">
            <v>200810</v>
          </cell>
          <cell r="C458">
            <v>15</v>
          </cell>
          <cell r="D458">
            <v>5</v>
          </cell>
          <cell r="E458">
            <v>10</v>
          </cell>
        </row>
        <row r="459">
          <cell r="A459" t="str">
            <v>ECO</v>
          </cell>
          <cell r="B459" t="str">
            <v>200820</v>
          </cell>
          <cell r="C459">
            <v>26</v>
          </cell>
          <cell r="D459">
            <v>20</v>
          </cell>
          <cell r="E459">
            <v>6</v>
          </cell>
        </row>
        <row r="460">
          <cell r="A460" t="str">
            <v>ECO</v>
          </cell>
          <cell r="B460" t="str">
            <v>200910</v>
          </cell>
          <cell r="C460">
            <v>13</v>
          </cell>
          <cell r="D460">
            <v>6</v>
          </cell>
          <cell r="E460">
            <v>7</v>
          </cell>
        </row>
        <row r="461">
          <cell r="A461" t="str">
            <v>ECO</v>
          </cell>
          <cell r="B461" t="str">
            <v>200920</v>
          </cell>
          <cell r="C461">
            <v>13</v>
          </cell>
          <cell r="D461">
            <v>8</v>
          </cell>
          <cell r="E461">
            <v>5</v>
          </cell>
        </row>
        <row r="462">
          <cell r="A462" t="str">
            <v>ECO</v>
          </cell>
          <cell r="B462" t="str">
            <v>201010</v>
          </cell>
          <cell r="C462">
            <v>4</v>
          </cell>
          <cell r="D462">
            <v>1</v>
          </cell>
          <cell r="E462">
            <v>3</v>
          </cell>
        </row>
        <row r="463">
          <cell r="A463" t="str">
            <v>ECO</v>
          </cell>
          <cell r="B463" t="str">
            <v>201020</v>
          </cell>
          <cell r="C463">
            <v>9</v>
          </cell>
          <cell r="D463">
            <v>1</v>
          </cell>
          <cell r="E463">
            <v>7</v>
          </cell>
        </row>
        <row r="464">
          <cell r="A464" t="str">
            <v>ECO</v>
          </cell>
          <cell r="B464" t="str">
            <v>201110</v>
          </cell>
          <cell r="C464">
            <v>5</v>
          </cell>
          <cell r="D464">
            <v>3</v>
          </cell>
          <cell r="E464">
            <v>2</v>
          </cell>
        </row>
        <row r="465">
          <cell r="A465" t="str">
            <v>ECO</v>
          </cell>
          <cell r="B465" t="str">
            <v>201120</v>
          </cell>
          <cell r="C465">
            <v>9</v>
          </cell>
          <cell r="D465">
            <v>3</v>
          </cell>
          <cell r="E465">
            <v>6</v>
          </cell>
        </row>
        <row r="466">
          <cell r="A466" t="str">
            <v>ECO</v>
          </cell>
          <cell r="B466" t="str">
            <v>201210</v>
          </cell>
          <cell r="C466">
            <v>4</v>
          </cell>
          <cell r="D466">
            <v>3</v>
          </cell>
          <cell r="E466">
            <v>1</v>
          </cell>
        </row>
        <row r="467">
          <cell r="A467" t="str">
            <v>ECO</v>
          </cell>
          <cell r="B467" t="str">
            <v>201220</v>
          </cell>
          <cell r="C467">
            <v>2</v>
          </cell>
          <cell r="D467">
            <v>0</v>
          </cell>
          <cell r="E467">
            <v>2</v>
          </cell>
        </row>
        <row r="468">
          <cell r="A468" t="str">
            <v>ECO</v>
          </cell>
          <cell r="B468" t="str">
            <v>201310</v>
          </cell>
          <cell r="C468">
            <v>1</v>
          </cell>
          <cell r="D468">
            <v>1</v>
          </cell>
          <cell r="E468">
            <v>0</v>
          </cell>
        </row>
        <row r="469">
          <cell r="A469" t="str">
            <v>ECO</v>
          </cell>
          <cell r="B469" t="str">
            <v>201320</v>
          </cell>
          <cell r="C469">
            <v>13</v>
          </cell>
          <cell r="D469">
            <v>5</v>
          </cell>
          <cell r="E469">
            <v>8</v>
          </cell>
        </row>
        <row r="470">
          <cell r="A470" t="str">
            <v>ECO</v>
          </cell>
          <cell r="B470" t="str">
            <v>201410</v>
          </cell>
          <cell r="C470">
            <v>4</v>
          </cell>
          <cell r="D470">
            <v>3</v>
          </cell>
          <cell r="E470">
            <v>1</v>
          </cell>
        </row>
        <row r="471">
          <cell r="A471" t="str">
            <v>ECO</v>
          </cell>
          <cell r="B471" t="str">
            <v>201420</v>
          </cell>
          <cell r="C471">
            <v>13</v>
          </cell>
          <cell r="D471">
            <v>7</v>
          </cell>
          <cell r="E471">
            <v>6</v>
          </cell>
        </row>
        <row r="472">
          <cell r="A472" t="str">
            <v>ECO</v>
          </cell>
          <cell r="B472" t="str">
            <v>201510</v>
          </cell>
          <cell r="C472">
            <v>12</v>
          </cell>
          <cell r="D472">
            <v>6</v>
          </cell>
          <cell r="E472">
            <v>6</v>
          </cell>
        </row>
        <row r="473">
          <cell r="A473" t="str">
            <v>ECO</v>
          </cell>
          <cell r="B473" t="str">
            <v>201520</v>
          </cell>
          <cell r="C473">
            <v>8</v>
          </cell>
          <cell r="D473">
            <v>1</v>
          </cell>
          <cell r="E473">
            <v>7</v>
          </cell>
        </row>
        <row r="474">
          <cell r="A474" t="str">
            <v>ECO</v>
          </cell>
          <cell r="B474" t="str">
            <v>201610</v>
          </cell>
          <cell r="C474">
            <v>12</v>
          </cell>
          <cell r="D474">
            <v>6</v>
          </cell>
          <cell r="E474">
            <v>6</v>
          </cell>
        </row>
        <row r="475">
          <cell r="A475" t="str">
            <v>ECO</v>
          </cell>
          <cell r="B475" t="str">
            <v>201620</v>
          </cell>
          <cell r="C475">
            <v>8</v>
          </cell>
          <cell r="D475">
            <v>2</v>
          </cell>
          <cell r="E475">
            <v>6</v>
          </cell>
        </row>
        <row r="476">
          <cell r="A476" t="str">
            <v>ECO</v>
          </cell>
          <cell r="B476" t="str">
            <v>201710</v>
          </cell>
          <cell r="C476">
            <v>9</v>
          </cell>
          <cell r="D476">
            <v>2</v>
          </cell>
          <cell r="E476">
            <v>7</v>
          </cell>
        </row>
        <row r="477">
          <cell r="A477" t="str">
            <v>ECO</v>
          </cell>
          <cell r="B477" t="str">
            <v>201720</v>
          </cell>
          <cell r="C477">
            <v>9</v>
          </cell>
          <cell r="D477">
            <v>2</v>
          </cell>
          <cell r="E477">
            <v>7</v>
          </cell>
        </row>
        <row r="478">
          <cell r="A478" t="str">
            <v>ECO</v>
          </cell>
          <cell r="B478" t="str">
            <v>201810</v>
          </cell>
          <cell r="C478">
            <v>5</v>
          </cell>
          <cell r="D478">
            <v>3</v>
          </cell>
          <cell r="E478">
            <v>2</v>
          </cell>
        </row>
        <row r="479">
          <cell r="A479" t="str">
            <v>ECO</v>
          </cell>
          <cell r="B479" t="str">
            <v>201820</v>
          </cell>
          <cell r="C479">
            <v>7</v>
          </cell>
          <cell r="D479">
            <v>2</v>
          </cell>
          <cell r="E479">
            <v>5</v>
          </cell>
        </row>
        <row r="480">
          <cell r="A480" t="str">
            <v>ECO</v>
          </cell>
          <cell r="B480" t="str">
            <v>201910</v>
          </cell>
          <cell r="C480">
            <v>4</v>
          </cell>
          <cell r="D480">
            <v>1</v>
          </cell>
          <cell r="E480">
            <v>2</v>
          </cell>
        </row>
        <row r="481">
          <cell r="A481" t="str">
            <v>ECO</v>
          </cell>
          <cell r="B481" t="str">
            <v>201920</v>
          </cell>
          <cell r="C481">
            <v>3</v>
          </cell>
          <cell r="D481">
            <v>0</v>
          </cell>
          <cell r="E481">
            <v>0</v>
          </cell>
        </row>
        <row r="482">
          <cell r="A482" t="str">
            <v>ECO</v>
          </cell>
          <cell r="B482" t="str">
            <v>202010</v>
          </cell>
          <cell r="C482">
            <v>4</v>
          </cell>
          <cell r="D482">
            <v>2</v>
          </cell>
          <cell r="E482">
            <v>0</v>
          </cell>
        </row>
        <row r="483">
          <cell r="A483" t="str">
            <v>ECO</v>
          </cell>
          <cell r="B483" t="str">
            <v>202020</v>
          </cell>
          <cell r="C483">
            <v>4</v>
          </cell>
          <cell r="D483">
            <v>2</v>
          </cell>
          <cell r="E483">
            <v>0</v>
          </cell>
        </row>
        <row r="484">
          <cell r="A484" t="str">
            <v>ECO</v>
          </cell>
          <cell r="B484" t="str">
            <v>202110</v>
          </cell>
          <cell r="C484">
            <v>4</v>
          </cell>
          <cell r="D484">
            <v>0</v>
          </cell>
          <cell r="E484">
            <v>0</v>
          </cell>
        </row>
        <row r="485">
          <cell r="A485" t="str">
            <v>ECO</v>
          </cell>
          <cell r="B485" t="str">
            <v>202120</v>
          </cell>
          <cell r="C485">
            <v>4</v>
          </cell>
          <cell r="D485">
            <v>1</v>
          </cell>
          <cell r="E485">
            <v>0</v>
          </cell>
        </row>
        <row r="486">
          <cell r="A486" t="str">
            <v>ECO</v>
          </cell>
          <cell r="B486" t="str">
            <v>202210</v>
          </cell>
          <cell r="C486">
            <v>6</v>
          </cell>
          <cell r="D486">
            <v>0</v>
          </cell>
          <cell r="E486">
            <v>0</v>
          </cell>
        </row>
        <row r="487">
          <cell r="A487" t="str">
            <v>ECO</v>
          </cell>
          <cell r="B487" t="str">
            <v>202220</v>
          </cell>
          <cell r="C487">
            <v>6</v>
          </cell>
          <cell r="D487">
            <v>0</v>
          </cell>
          <cell r="E487">
            <v>0</v>
          </cell>
        </row>
        <row r="488">
          <cell r="A488" t="str">
            <v>ECO</v>
          </cell>
          <cell r="B488" t="str">
            <v>202310</v>
          </cell>
          <cell r="C488">
            <v>6</v>
          </cell>
          <cell r="D488">
            <v>0</v>
          </cell>
          <cell r="E488">
            <v>0</v>
          </cell>
        </row>
        <row r="489">
          <cell r="A489" t="str">
            <v>ENI</v>
          </cell>
          <cell r="B489" t="str">
            <v>199520</v>
          </cell>
          <cell r="C489">
            <v>1</v>
          </cell>
          <cell r="D489">
            <v>1</v>
          </cell>
          <cell r="E489">
            <v>0</v>
          </cell>
        </row>
        <row r="490">
          <cell r="A490" t="str">
            <v>ENI</v>
          </cell>
          <cell r="B490" t="str">
            <v>199610</v>
          </cell>
          <cell r="C490">
            <v>2</v>
          </cell>
          <cell r="D490">
            <v>2</v>
          </cell>
          <cell r="E490">
            <v>0</v>
          </cell>
        </row>
        <row r="491">
          <cell r="A491" t="str">
            <v>ENI</v>
          </cell>
          <cell r="B491" t="str">
            <v>199620</v>
          </cell>
          <cell r="C491">
            <v>1</v>
          </cell>
          <cell r="D491">
            <v>0</v>
          </cell>
          <cell r="E491">
            <v>1</v>
          </cell>
        </row>
        <row r="492">
          <cell r="A492" t="str">
            <v>ENI</v>
          </cell>
          <cell r="B492" t="str">
            <v>199710</v>
          </cell>
          <cell r="C492">
            <v>2</v>
          </cell>
          <cell r="D492">
            <v>2</v>
          </cell>
          <cell r="E492">
            <v>0</v>
          </cell>
        </row>
        <row r="493">
          <cell r="A493" t="str">
            <v>ENI</v>
          </cell>
          <cell r="B493" t="str">
            <v>199720</v>
          </cell>
          <cell r="C493">
            <v>1</v>
          </cell>
          <cell r="D493">
            <v>1</v>
          </cell>
          <cell r="E493">
            <v>0</v>
          </cell>
        </row>
        <row r="494">
          <cell r="A494" t="str">
            <v>ENI</v>
          </cell>
          <cell r="B494" t="str">
            <v>199810</v>
          </cell>
          <cell r="C494">
            <v>1</v>
          </cell>
          <cell r="D494">
            <v>0</v>
          </cell>
          <cell r="E494">
            <v>1</v>
          </cell>
        </row>
        <row r="495">
          <cell r="A495" t="str">
            <v>ENI</v>
          </cell>
          <cell r="B495" t="str">
            <v>199820</v>
          </cell>
          <cell r="C495">
            <v>184</v>
          </cell>
          <cell r="D495">
            <v>87</v>
          </cell>
          <cell r="E495">
            <v>97</v>
          </cell>
        </row>
        <row r="496">
          <cell r="A496" t="str">
            <v>ENI</v>
          </cell>
          <cell r="B496" t="str">
            <v>199910</v>
          </cell>
          <cell r="C496">
            <v>64</v>
          </cell>
          <cell r="D496">
            <v>27</v>
          </cell>
          <cell r="E496">
            <v>37</v>
          </cell>
        </row>
        <row r="497">
          <cell r="A497" t="str">
            <v>ENI</v>
          </cell>
          <cell r="B497" t="str">
            <v>199920</v>
          </cell>
          <cell r="C497">
            <v>174</v>
          </cell>
          <cell r="D497">
            <v>84</v>
          </cell>
          <cell r="E497">
            <v>90</v>
          </cell>
        </row>
        <row r="498">
          <cell r="A498" t="str">
            <v>ENI</v>
          </cell>
          <cell r="B498" t="str">
            <v>200010</v>
          </cell>
          <cell r="C498">
            <v>49</v>
          </cell>
          <cell r="D498">
            <v>23</v>
          </cell>
          <cell r="E498">
            <v>26</v>
          </cell>
        </row>
        <row r="499">
          <cell r="A499" t="str">
            <v>ENI</v>
          </cell>
          <cell r="B499" t="str">
            <v>200020</v>
          </cell>
          <cell r="C499">
            <v>179</v>
          </cell>
          <cell r="D499">
            <v>87</v>
          </cell>
          <cell r="E499">
            <v>92</v>
          </cell>
        </row>
        <row r="500">
          <cell r="A500" t="str">
            <v>ENI</v>
          </cell>
          <cell r="B500" t="str">
            <v>200110</v>
          </cell>
          <cell r="C500">
            <v>49</v>
          </cell>
          <cell r="D500">
            <v>26</v>
          </cell>
          <cell r="E500">
            <v>23</v>
          </cell>
        </row>
        <row r="501">
          <cell r="A501" t="str">
            <v>ENI</v>
          </cell>
          <cell r="B501" t="str">
            <v>200120</v>
          </cell>
          <cell r="C501">
            <v>128</v>
          </cell>
          <cell r="D501">
            <v>54</v>
          </cell>
          <cell r="E501">
            <v>74</v>
          </cell>
        </row>
        <row r="502">
          <cell r="A502" t="str">
            <v>ENI</v>
          </cell>
          <cell r="B502" t="str">
            <v>200210</v>
          </cell>
          <cell r="C502">
            <v>45</v>
          </cell>
          <cell r="D502">
            <v>28</v>
          </cell>
          <cell r="E502">
            <v>17</v>
          </cell>
        </row>
        <row r="503">
          <cell r="A503" t="str">
            <v>ENI</v>
          </cell>
          <cell r="B503" t="str">
            <v>200220</v>
          </cell>
          <cell r="C503">
            <v>81</v>
          </cell>
          <cell r="D503">
            <v>40</v>
          </cell>
          <cell r="E503">
            <v>41</v>
          </cell>
        </row>
        <row r="504">
          <cell r="A504" t="str">
            <v>ENI</v>
          </cell>
          <cell r="B504" t="str">
            <v>200310</v>
          </cell>
          <cell r="C504">
            <v>50</v>
          </cell>
          <cell r="D504">
            <v>28</v>
          </cell>
          <cell r="E504">
            <v>22</v>
          </cell>
        </row>
        <row r="505">
          <cell r="A505" t="str">
            <v>ENI</v>
          </cell>
          <cell r="B505" t="str">
            <v>200320</v>
          </cell>
          <cell r="C505">
            <v>150</v>
          </cell>
          <cell r="D505">
            <v>76</v>
          </cell>
          <cell r="E505">
            <v>74</v>
          </cell>
        </row>
        <row r="506">
          <cell r="A506" t="str">
            <v>ENI</v>
          </cell>
          <cell r="B506" t="str">
            <v>200410</v>
          </cell>
          <cell r="C506">
            <v>54</v>
          </cell>
          <cell r="D506">
            <v>36</v>
          </cell>
          <cell r="E506">
            <v>18</v>
          </cell>
        </row>
        <row r="507">
          <cell r="A507" t="str">
            <v>ENI</v>
          </cell>
          <cell r="B507" t="str">
            <v>200420</v>
          </cell>
          <cell r="C507">
            <v>142</v>
          </cell>
          <cell r="D507">
            <v>76</v>
          </cell>
          <cell r="E507">
            <v>66</v>
          </cell>
        </row>
        <row r="508">
          <cell r="A508" t="str">
            <v>ENI</v>
          </cell>
          <cell r="B508" t="str">
            <v>200510</v>
          </cell>
          <cell r="C508">
            <v>50</v>
          </cell>
          <cell r="D508">
            <v>22</v>
          </cell>
          <cell r="E508">
            <v>28</v>
          </cell>
        </row>
        <row r="509">
          <cell r="A509" t="str">
            <v>ENI</v>
          </cell>
          <cell r="B509" t="str">
            <v>200520</v>
          </cell>
          <cell r="C509">
            <v>148</v>
          </cell>
          <cell r="D509">
            <v>72</v>
          </cell>
          <cell r="E509">
            <v>76</v>
          </cell>
        </row>
        <row r="510">
          <cell r="A510" t="str">
            <v>ENI</v>
          </cell>
          <cell r="B510" t="str">
            <v>200610</v>
          </cell>
          <cell r="C510">
            <v>43</v>
          </cell>
          <cell r="D510">
            <v>25</v>
          </cell>
          <cell r="E510">
            <v>18</v>
          </cell>
        </row>
        <row r="511">
          <cell r="A511" t="str">
            <v>ENI</v>
          </cell>
          <cell r="B511" t="str">
            <v>200620</v>
          </cell>
          <cell r="C511">
            <v>155</v>
          </cell>
          <cell r="D511">
            <v>74</v>
          </cell>
          <cell r="E511">
            <v>81</v>
          </cell>
        </row>
        <row r="512">
          <cell r="A512" t="str">
            <v>ENI</v>
          </cell>
          <cell r="B512" t="str">
            <v>200710</v>
          </cell>
          <cell r="C512">
            <v>50</v>
          </cell>
          <cell r="D512">
            <v>31</v>
          </cell>
          <cell r="E512">
            <v>19</v>
          </cell>
        </row>
        <row r="513">
          <cell r="A513" t="str">
            <v>ENI</v>
          </cell>
          <cell r="B513" t="str">
            <v>200720</v>
          </cell>
          <cell r="C513">
            <v>180</v>
          </cell>
          <cell r="D513">
            <v>92</v>
          </cell>
          <cell r="E513">
            <v>88</v>
          </cell>
        </row>
        <row r="514">
          <cell r="A514" t="str">
            <v>ENI</v>
          </cell>
          <cell r="B514" t="str">
            <v>200810</v>
          </cell>
          <cell r="C514">
            <v>71</v>
          </cell>
          <cell r="D514">
            <v>35</v>
          </cell>
          <cell r="E514">
            <v>36</v>
          </cell>
        </row>
        <row r="515">
          <cell r="A515" t="str">
            <v>ENI</v>
          </cell>
          <cell r="B515" t="str">
            <v>200820</v>
          </cell>
          <cell r="C515">
            <v>142</v>
          </cell>
          <cell r="D515">
            <v>68</v>
          </cell>
          <cell r="E515">
            <v>74</v>
          </cell>
        </row>
        <row r="516">
          <cell r="A516" t="str">
            <v>ENI</v>
          </cell>
          <cell r="B516" t="str">
            <v>200910</v>
          </cell>
          <cell r="C516">
            <v>55</v>
          </cell>
          <cell r="D516">
            <v>30</v>
          </cell>
          <cell r="E516">
            <v>25</v>
          </cell>
        </row>
        <row r="517">
          <cell r="A517" t="str">
            <v>ENI</v>
          </cell>
          <cell r="B517" t="str">
            <v>200920</v>
          </cell>
          <cell r="C517">
            <v>117</v>
          </cell>
          <cell r="D517">
            <v>44</v>
          </cell>
          <cell r="E517">
            <v>73</v>
          </cell>
        </row>
        <row r="518">
          <cell r="A518" t="str">
            <v>ENI</v>
          </cell>
          <cell r="B518" t="str">
            <v>201010</v>
          </cell>
          <cell r="C518">
            <v>33</v>
          </cell>
          <cell r="D518">
            <v>13</v>
          </cell>
          <cell r="E518">
            <v>20</v>
          </cell>
        </row>
        <row r="519">
          <cell r="A519" t="str">
            <v>ENI</v>
          </cell>
          <cell r="B519" t="str">
            <v>201020</v>
          </cell>
          <cell r="C519">
            <v>109</v>
          </cell>
          <cell r="D519">
            <v>39</v>
          </cell>
          <cell r="E519">
            <v>70</v>
          </cell>
        </row>
        <row r="520">
          <cell r="A520" t="str">
            <v>ENI</v>
          </cell>
          <cell r="B520" t="str">
            <v>201110</v>
          </cell>
          <cell r="C520">
            <v>60</v>
          </cell>
          <cell r="D520">
            <v>24</v>
          </cell>
          <cell r="E520">
            <v>36</v>
          </cell>
        </row>
        <row r="521">
          <cell r="A521" t="str">
            <v>ENI</v>
          </cell>
          <cell r="B521" t="str">
            <v>201120</v>
          </cell>
          <cell r="C521">
            <v>101</v>
          </cell>
          <cell r="D521">
            <v>49</v>
          </cell>
          <cell r="E521">
            <v>51</v>
          </cell>
        </row>
        <row r="522">
          <cell r="A522" t="str">
            <v>ENI</v>
          </cell>
          <cell r="B522" t="str">
            <v>201210</v>
          </cell>
          <cell r="C522">
            <v>78</v>
          </cell>
          <cell r="D522">
            <v>34</v>
          </cell>
          <cell r="E522">
            <v>44</v>
          </cell>
        </row>
        <row r="523">
          <cell r="A523" t="str">
            <v>ENI</v>
          </cell>
          <cell r="B523" t="str">
            <v>201220</v>
          </cell>
          <cell r="C523">
            <v>120</v>
          </cell>
          <cell r="D523">
            <v>50</v>
          </cell>
          <cell r="E523">
            <v>69</v>
          </cell>
        </row>
        <row r="524">
          <cell r="A524" t="str">
            <v>ENI</v>
          </cell>
          <cell r="B524" t="str">
            <v>201310</v>
          </cell>
          <cell r="C524">
            <v>101</v>
          </cell>
          <cell r="D524">
            <v>48</v>
          </cell>
          <cell r="E524">
            <v>53</v>
          </cell>
        </row>
        <row r="525">
          <cell r="A525" t="str">
            <v>ENI</v>
          </cell>
          <cell r="B525" t="str">
            <v>201320</v>
          </cell>
          <cell r="C525">
            <v>108</v>
          </cell>
          <cell r="D525">
            <v>45</v>
          </cell>
          <cell r="E525">
            <v>63</v>
          </cell>
        </row>
        <row r="526">
          <cell r="A526" t="str">
            <v>ENI</v>
          </cell>
          <cell r="B526" t="str">
            <v>201410</v>
          </cell>
          <cell r="C526">
            <v>70</v>
          </cell>
          <cell r="D526">
            <v>35</v>
          </cell>
          <cell r="E526">
            <v>35</v>
          </cell>
        </row>
        <row r="527">
          <cell r="A527" t="str">
            <v>ENI</v>
          </cell>
          <cell r="B527" t="str">
            <v>201420</v>
          </cell>
          <cell r="C527">
            <v>126</v>
          </cell>
          <cell r="D527">
            <v>57</v>
          </cell>
          <cell r="E527">
            <v>69</v>
          </cell>
        </row>
        <row r="528">
          <cell r="A528" t="str">
            <v>ENI</v>
          </cell>
          <cell r="B528" t="str">
            <v>201510</v>
          </cell>
          <cell r="C528">
            <v>105</v>
          </cell>
          <cell r="D528">
            <v>43</v>
          </cell>
          <cell r="E528">
            <v>61</v>
          </cell>
        </row>
        <row r="529">
          <cell r="A529" t="str">
            <v>ENI</v>
          </cell>
          <cell r="B529" t="str">
            <v>201520</v>
          </cell>
          <cell r="C529">
            <v>93</v>
          </cell>
          <cell r="D529">
            <v>29</v>
          </cell>
          <cell r="E529">
            <v>63</v>
          </cell>
        </row>
        <row r="530">
          <cell r="A530" t="str">
            <v>ENI</v>
          </cell>
          <cell r="B530" t="str">
            <v>201610</v>
          </cell>
          <cell r="C530">
            <v>137</v>
          </cell>
          <cell r="D530">
            <v>51</v>
          </cell>
          <cell r="E530">
            <v>86</v>
          </cell>
        </row>
        <row r="531">
          <cell r="A531" t="str">
            <v>ENI</v>
          </cell>
          <cell r="B531" t="str">
            <v>201620</v>
          </cell>
          <cell r="C531">
            <v>83</v>
          </cell>
          <cell r="D531">
            <v>32</v>
          </cell>
          <cell r="E531">
            <v>51</v>
          </cell>
        </row>
        <row r="532">
          <cell r="A532" t="str">
            <v>ENI</v>
          </cell>
          <cell r="B532" t="str">
            <v>201710</v>
          </cell>
          <cell r="C532">
            <v>93</v>
          </cell>
          <cell r="D532">
            <v>34</v>
          </cell>
          <cell r="E532">
            <v>58</v>
          </cell>
        </row>
        <row r="533">
          <cell r="A533" t="str">
            <v>ENI</v>
          </cell>
          <cell r="B533" t="str">
            <v>201720</v>
          </cell>
          <cell r="C533">
            <v>67</v>
          </cell>
          <cell r="D533">
            <v>20</v>
          </cell>
          <cell r="E533">
            <v>44</v>
          </cell>
        </row>
        <row r="534">
          <cell r="A534" t="str">
            <v>ENI</v>
          </cell>
          <cell r="B534" t="str">
            <v>201810</v>
          </cell>
          <cell r="C534">
            <v>60</v>
          </cell>
          <cell r="D534">
            <v>12</v>
          </cell>
          <cell r="E534">
            <v>39</v>
          </cell>
        </row>
        <row r="535">
          <cell r="A535" t="str">
            <v>ENI</v>
          </cell>
          <cell r="B535" t="str">
            <v>201820</v>
          </cell>
          <cell r="C535">
            <v>50</v>
          </cell>
          <cell r="D535">
            <v>23</v>
          </cell>
          <cell r="E535">
            <v>19</v>
          </cell>
        </row>
        <row r="536">
          <cell r="A536" t="str">
            <v>ENI</v>
          </cell>
          <cell r="B536" t="str">
            <v>201910</v>
          </cell>
          <cell r="C536">
            <v>45</v>
          </cell>
          <cell r="D536">
            <v>7</v>
          </cell>
          <cell r="E536">
            <v>30</v>
          </cell>
        </row>
        <row r="537">
          <cell r="A537" t="str">
            <v>ENI</v>
          </cell>
          <cell r="B537" t="str">
            <v>201920</v>
          </cell>
          <cell r="C537">
            <v>62</v>
          </cell>
          <cell r="D537">
            <v>19</v>
          </cell>
          <cell r="E537">
            <v>5</v>
          </cell>
        </row>
        <row r="538">
          <cell r="A538" t="str">
            <v>ENI</v>
          </cell>
          <cell r="B538" t="str">
            <v>202010</v>
          </cell>
          <cell r="C538">
            <v>52</v>
          </cell>
          <cell r="D538">
            <v>12</v>
          </cell>
          <cell r="E538">
            <v>1</v>
          </cell>
        </row>
        <row r="539">
          <cell r="A539" t="str">
            <v>ENI</v>
          </cell>
          <cell r="B539" t="str">
            <v>202020</v>
          </cell>
          <cell r="C539">
            <v>55</v>
          </cell>
          <cell r="D539">
            <v>13</v>
          </cell>
          <cell r="E539">
            <v>1</v>
          </cell>
        </row>
        <row r="540">
          <cell r="A540" t="str">
            <v>ENI</v>
          </cell>
          <cell r="B540" t="str">
            <v>202110</v>
          </cell>
          <cell r="C540">
            <v>46</v>
          </cell>
          <cell r="D540">
            <v>10</v>
          </cell>
          <cell r="E540">
            <v>0</v>
          </cell>
        </row>
        <row r="541">
          <cell r="A541" t="str">
            <v>ENI</v>
          </cell>
          <cell r="B541" t="str">
            <v>202120</v>
          </cell>
          <cell r="C541">
            <v>42</v>
          </cell>
          <cell r="D541">
            <v>9</v>
          </cell>
          <cell r="E541">
            <v>0</v>
          </cell>
        </row>
        <row r="542">
          <cell r="A542" t="str">
            <v>ENI</v>
          </cell>
          <cell r="B542" t="str">
            <v>202210</v>
          </cell>
          <cell r="C542">
            <v>64</v>
          </cell>
          <cell r="D542">
            <v>12</v>
          </cell>
          <cell r="E542">
            <v>0</v>
          </cell>
        </row>
        <row r="543">
          <cell r="A543" t="str">
            <v>ENI</v>
          </cell>
          <cell r="B543" t="str">
            <v>202220</v>
          </cell>
          <cell r="C543">
            <v>59</v>
          </cell>
          <cell r="D543">
            <v>11</v>
          </cell>
          <cell r="E543">
            <v>0</v>
          </cell>
        </row>
        <row r="544">
          <cell r="A544" t="str">
            <v>ENI</v>
          </cell>
          <cell r="B544" t="str">
            <v>202310</v>
          </cell>
          <cell r="C544">
            <v>41</v>
          </cell>
          <cell r="D544">
            <v>4</v>
          </cell>
          <cell r="E544">
            <v>0</v>
          </cell>
        </row>
        <row r="545">
          <cell r="A545" t="str">
            <v>ENI</v>
          </cell>
          <cell r="B545" t="str">
            <v>202320</v>
          </cell>
          <cell r="C545">
            <v>58</v>
          </cell>
          <cell r="D545">
            <v>3</v>
          </cell>
          <cell r="E545">
            <v>0</v>
          </cell>
        </row>
        <row r="546">
          <cell r="A546" t="str">
            <v>FIN</v>
          </cell>
          <cell r="B546" t="str">
            <v>201910</v>
          </cell>
          <cell r="C546">
            <v>14</v>
          </cell>
          <cell r="D546">
            <v>10</v>
          </cell>
          <cell r="E546">
            <v>2</v>
          </cell>
        </row>
        <row r="547">
          <cell r="A547" t="str">
            <v>FIN</v>
          </cell>
          <cell r="B547" t="str">
            <v>201920</v>
          </cell>
          <cell r="C547">
            <v>11</v>
          </cell>
          <cell r="D547">
            <v>2</v>
          </cell>
          <cell r="E547">
            <v>1</v>
          </cell>
        </row>
        <row r="548">
          <cell r="A548" t="str">
            <v>FIN</v>
          </cell>
          <cell r="B548" t="str">
            <v>202010</v>
          </cell>
          <cell r="C548">
            <v>14</v>
          </cell>
          <cell r="D548">
            <v>6</v>
          </cell>
          <cell r="E548">
            <v>3</v>
          </cell>
        </row>
        <row r="549">
          <cell r="A549" t="str">
            <v>FIN</v>
          </cell>
          <cell r="B549" t="str">
            <v>202020</v>
          </cell>
          <cell r="C549">
            <v>12</v>
          </cell>
          <cell r="D549">
            <v>4</v>
          </cell>
          <cell r="E549">
            <v>0</v>
          </cell>
        </row>
        <row r="550">
          <cell r="A550" t="str">
            <v>FIN</v>
          </cell>
          <cell r="B550" t="str">
            <v>202110</v>
          </cell>
          <cell r="C550">
            <v>15</v>
          </cell>
          <cell r="D550">
            <v>3</v>
          </cell>
          <cell r="E550">
            <v>1</v>
          </cell>
        </row>
        <row r="551">
          <cell r="A551" t="str">
            <v>FIN</v>
          </cell>
          <cell r="B551" t="str">
            <v>202120</v>
          </cell>
          <cell r="C551">
            <v>14</v>
          </cell>
          <cell r="D551">
            <v>2</v>
          </cell>
          <cell r="E551">
            <v>0</v>
          </cell>
        </row>
        <row r="552">
          <cell r="A552" t="str">
            <v>FIN</v>
          </cell>
          <cell r="B552" t="str">
            <v>202210</v>
          </cell>
          <cell r="C552">
            <v>32</v>
          </cell>
          <cell r="D552">
            <v>4</v>
          </cell>
          <cell r="E552">
            <v>0</v>
          </cell>
        </row>
        <row r="553">
          <cell r="A553" t="str">
            <v>FIN</v>
          </cell>
          <cell r="B553" t="str">
            <v>202220</v>
          </cell>
          <cell r="C553">
            <v>19</v>
          </cell>
          <cell r="D553">
            <v>8</v>
          </cell>
          <cell r="E553">
            <v>0</v>
          </cell>
        </row>
        <row r="554">
          <cell r="A554" t="str">
            <v>FIN</v>
          </cell>
          <cell r="B554" t="str">
            <v>202310</v>
          </cell>
          <cell r="C554">
            <v>20</v>
          </cell>
          <cell r="D554">
            <v>2</v>
          </cell>
          <cell r="E554">
            <v>0</v>
          </cell>
        </row>
        <row r="555">
          <cell r="A555" t="str">
            <v>FIN</v>
          </cell>
          <cell r="B555" t="str">
            <v>202320</v>
          </cell>
          <cell r="C555">
            <v>17</v>
          </cell>
          <cell r="D555">
            <v>0</v>
          </cell>
          <cell r="E555">
            <v>0</v>
          </cell>
        </row>
        <row r="556">
          <cell r="A556" t="str">
            <v>IAG</v>
          </cell>
          <cell r="B556" t="str">
            <v>202120</v>
          </cell>
          <cell r="C556">
            <v>1</v>
          </cell>
          <cell r="D556">
            <v>1</v>
          </cell>
          <cell r="E556">
            <v>0</v>
          </cell>
        </row>
        <row r="557">
          <cell r="A557" t="str">
            <v>IBQ</v>
          </cell>
          <cell r="B557" t="str">
            <v>201520</v>
          </cell>
          <cell r="C557">
            <v>31</v>
          </cell>
          <cell r="D557">
            <v>9</v>
          </cell>
          <cell r="E557">
            <v>21</v>
          </cell>
        </row>
        <row r="558">
          <cell r="A558" t="str">
            <v>IBQ</v>
          </cell>
          <cell r="B558" t="str">
            <v>201610</v>
          </cell>
          <cell r="C558">
            <v>65</v>
          </cell>
          <cell r="D558">
            <v>20</v>
          </cell>
          <cell r="E558">
            <v>45</v>
          </cell>
        </row>
        <row r="559">
          <cell r="A559" t="str">
            <v>IBQ</v>
          </cell>
          <cell r="B559" t="str">
            <v>201620</v>
          </cell>
          <cell r="C559">
            <v>55</v>
          </cell>
          <cell r="D559">
            <v>21</v>
          </cell>
          <cell r="E559">
            <v>33</v>
          </cell>
        </row>
        <row r="560">
          <cell r="A560" t="str">
            <v>IBQ</v>
          </cell>
          <cell r="B560" t="str">
            <v>201710</v>
          </cell>
          <cell r="C560">
            <v>65</v>
          </cell>
          <cell r="D560">
            <v>12</v>
          </cell>
          <cell r="E560">
            <v>49</v>
          </cell>
        </row>
        <row r="561">
          <cell r="A561" t="str">
            <v>IBQ</v>
          </cell>
          <cell r="B561" t="str">
            <v>201720</v>
          </cell>
          <cell r="C561">
            <v>24</v>
          </cell>
          <cell r="D561">
            <v>7</v>
          </cell>
          <cell r="E561">
            <v>12</v>
          </cell>
        </row>
        <row r="562">
          <cell r="A562" t="str">
            <v>IBQ</v>
          </cell>
          <cell r="B562" t="str">
            <v>201810</v>
          </cell>
          <cell r="C562">
            <v>49</v>
          </cell>
          <cell r="D562">
            <v>15</v>
          </cell>
          <cell r="E562">
            <v>28</v>
          </cell>
        </row>
        <row r="563">
          <cell r="A563" t="str">
            <v>IBQ</v>
          </cell>
          <cell r="B563" t="str">
            <v>201820</v>
          </cell>
          <cell r="C563">
            <v>24</v>
          </cell>
          <cell r="D563">
            <v>8</v>
          </cell>
          <cell r="E563">
            <v>13</v>
          </cell>
        </row>
        <row r="564">
          <cell r="A564" t="str">
            <v>IBQ</v>
          </cell>
          <cell r="B564" t="str">
            <v>201910</v>
          </cell>
          <cell r="C564">
            <v>24</v>
          </cell>
          <cell r="D564">
            <v>5</v>
          </cell>
          <cell r="E564">
            <v>13</v>
          </cell>
        </row>
        <row r="565">
          <cell r="A565" t="str">
            <v>IBQ</v>
          </cell>
          <cell r="B565" t="str">
            <v>201920</v>
          </cell>
          <cell r="C565">
            <v>24</v>
          </cell>
          <cell r="D565">
            <v>8</v>
          </cell>
          <cell r="E565">
            <v>1</v>
          </cell>
        </row>
        <row r="566">
          <cell r="A566" t="str">
            <v>IBQ</v>
          </cell>
          <cell r="B566" t="str">
            <v>202010</v>
          </cell>
          <cell r="C566">
            <v>25</v>
          </cell>
          <cell r="D566">
            <v>3</v>
          </cell>
          <cell r="E566">
            <v>0</v>
          </cell>
        </row>
        <row r="567">
          <cell r="A567" t="str">
            <v>IBQ</v>
          </cell>
          <cell r="B567" t="str">
            <v>202020</v>
          </cell>
          <cell r="C567">
            <v>26</v>
          </cell>
          <cell r="D567">
            <v>5</v>
          </cell>
          <cell r="E567">
            <v>0</v>
          </cell>
        </row>
        <row r="568">
          <cell r="A568" t="str">
            <v>IBQ</v>
          </cell>
          <cell r="B568" t="str">
            <v>202110</v>
          </cell>
          <cell r="C568">
            <v>17</v>
          </cell>
          <cell r="D568">
            <v>1</v>
          </cell>
          <cell r="E568">
            <v>0</v>
          </cell>
        </row>
        <row r="569">
          <cell r="A569" t="str">
            <v>IBQ</v>
          </cell>
          <cell r="B569" t="str">
            <v>202120</v>
          </cell>
          <cell r="C569">
            <v>17</v>
          </cell>
          <cell r="D569">
            <v>1</v>
          </cell>
          <cell r="E569">
            <v>0</v>
          </cell>
        </row>
        <row r="570">
          <cell r="A570" t="str">
            <v>IBQ</v>
          </cell>
          <cell r="B570" t="str">
            <v>202210</v>
          </cell>
          <cell r="C570">
            <v>23</v>
          </cell>
          <cell r="D570">
            <v>10</v>
          </cell>
          <cell r="E570">
            <v>0</v>
          </cell>
        </row>
        <row r="571">
          <cell r="A571" t="str">
            <v>IBQ</v>
          </cell>
          <cell r="B571" t="str">
            <v>202220</v>
          </cell>
          <cell r="C571">
            <v>27</v>
          </cell>
          <cell r="D571">
            <v>8</v>
          </cell>
          <cell r="E571">
            <v>0</v>
          </cell>
        </row>
        <row r="572">
          <cell r="A572" t="str">
            <v>IBQ</v>
          </cell>
          <cell r="B572" t="str">
            <v>202310</v>
          </cell>
          <cell r="C572">
            <v>24</v>
          </cell>
          <cell r="D572">
            <v>5</v>
          </cell>
          <cell r="E572">
            <v>0</v>
          </cell>
        </row>
        <row r="573">
          <cell r="A573" t="str">
            <v>IBQ</v>
          </cell>
          <cell r="B573" t="str">
            <v>202320</v>
          </cell>
          <cell r="C573">
            <v>25</v>
          </cell>
          <cell r="D573">
            <v>1</v>
          </cell>
          <cell r="E573">
            <v>0</v>
          </cell>
        </row>
        <row r="574">
          <cell r="A574" t="str">
            <v>IND</v>
          </cell>
          <cell r="B574" t="str">
            <v>199720</v>
          </cell>
          <cell r="C574">
            <v>70</v>
          </cell>
          <cell r="D574">
            <v>41</v>
          </cell>
          <cell r="E574">
            <v>29</v>
          </cell>
        </row>
        <row r="575">
          <cell r="A575" t="str">
            <v>IND</v>
          </cell>
          <cell r="B575" t="str">
            <v>199810</v>
          </cell>
          <cell r="C575">
            <v>23</v>
          </cell>
          <cell r="D575">
            <v>15</v>
          </cell>
          <cell r="E575">
            <v>8</v>
          </cell>
        </row>
        <row r="576">
          <cell r="A576" t="str">
            <v>IND</v>
          </cell>
          <cell r="B576" t="str">
            <v>199820</v>
          </cell>
          <cell r="C576">
            <v>56</v>
          </cell>
          <cell r="D576">
            <v>35</v>
          </cell>
          <cell r="E576">
            <v>21</v>
          </cell>
        </row>
        <row r="577">
          <cell r="A577" t="str">
            <v>IND</v>
          </cell>
          <cell r="B577" t="str">
            <v>199910</v>
          </cell>
          <cell r="C577">
            <v>18</v>
          </cell>
          <cell r="D577">
            <v>7</v>
          </cell>
          <cell r="E577">
            <v>11</v>
          </cell>
        </row>
        <row r="578">
          <cell r="A578" t="str">
            <v>IND</v>
          </cell>
          <cell r="B578" t="str">
            <v>199920</v>
          </cell>
          <cell r="C578">
            <v>35</v>
          </cell>
          <cell r="D578">
            <v>16</v>
          </cell>
          <cell r="E578">
            <v>19</v>
          </cell>
        </row>
        <row r="579">
          <cell r="A579" t="str">
            <v>IND</v>
          </cell>
          <cell r="B579" t="str">
            <v>200010</v>
          </cell>
          <cell r="C579">
            <v>8</v>
          </cell>
          <cell r="D579">
            <v>4</v>
          </cell>
          <cell r="E579">
            <v>4</v>
          </cell>
        </row>
        <row r="580">
          <cell r="A580" t="str">
            <v>IND</v>
          </cell>
          <cell r="B580" t="str">
            <v>200020</v>
          </cell>
          <cell r="C580">
            <v>42</v>
          </cell>
          <cell r="D580">
            <v>17</v>
          </cell>
          <cell r="E580">
            <v>25</v>
          </cell>
        </row>
        <row r="581">
          <cell r="A581" t="str">
            <v>IND</v>
          </cell>
          <cell r="B581" t="str">
            <v>200110</v>
          </cell>
          <cell r="C581">
            <v>16</v>
          </cell>
          <cell r="D581">
            <v>8</v>
          </cell>
          <cell r="E581">
            <v>8</v>
          </cell>
        </row>
        <row r="582">
          <cell r="A582" t="str">
            <v>IND</v>
          </cell>
          <cell r="B582" t="str">
            <v>200120</v>
          </cell>
          <cell r="C582">
            <v>37</v>
          </cell>
          <cell r="D582">
            <v>17</v>
          </cell>
          <cell r="E582">
            <v>20</v>
          </cell>
        </row>
        <row r="583">
          <cell r="A583" t="str">
            <v>IND</v>
          </cell>
          <cell r="B583" t="str">
            <v>200210</v>
          </cell>
          <cell r="C583">
            <v>22</v>
          </cell>
          <cell r="D583">
            <v>9</v>
          </cell>
          <cell r="E583">
            <v>13</v>
          </cell>
        </row>
        <row r="584">
          <cell r="A584" t="str">
            <v>IND</v>
          </cell>
          <cell r="B584" t="str">
            <v>200220</v>
          </cell>
          <cell r="C584">
            <v>33</v>
          </cell>
          <cell r="D584">
            <v>13</v>
          </cell>
          <cell r="E584">
            <v>20</v>
          </cell>
        </row>
        <row r="585">
          <cell r="A585" t="str">
            <v>IND</v>
          </cell>
          <cell r="B585" t="str">
            <v>200310</v>
          </cell>
          <cell r="C585">
            <v>12</v>
          </cell>
          <cell r="D585">
            <v>8</v>
          </cell>
          <cell r="E585">
            <v>4</v>
          </cell>
        </row>
        <row r="586">
          <cell r="A586" t="str">
            <v>IND</v>
          </cell>
          <cell r="B586" t="str">
            <v>200320</v>
          </cell>
          <cell r="C586">
            <v>53</v>
          </cell>
          <cell r="D586">
            <v>30</v>
          </cell>
          <cell r="E586">
            <v>23</v>
          </cell>
        </row>
        <row r="587">
          <cell r="A587" t="str">
            <v>IND</v>
          </cell>
          <cell r="B587" t="str">
            <v>200410</v>
          </cell>
          <cell r="C587">
            <v>19</v>
          </cell>
          <cell r="D587">
            <v>9</v>
          </cell>
          <cell r="E587">
            <v>10</v>
          </cell>
        </row>
        <row r="588">
          <cell r="A588" t="str">
            <v>IND</v>
          </cell>
          <cell r="B588" t="str">
            <v>200420</v>
          </cell>
          <cell r="C588">
            <v>63</v>
          </cell>
          <cell r="D588">
            <v>27</v>
          </cell>
          <cell r="E588">
            <v>36</v>
          </cell>
        </row>
        <row r="589">
          <cell r="A589" t="str">
            <v>IND</v>
          </cell>
          <cell r="B589" t="str">
            <v>200510</v>
          </cell>
          <cell r="C589">
            <v>24</v>
          </cell>
          <cell r="D589">
            <v>12</v>
          </cell>
          <cell r="E589">
            <v>12</v>
          </cell>
        </row>
        <row r="590">
          <cell r="A590" t="str">
            <v>IND</v>
          </cell>
          <cell r="B590" t="str">
            <v>200520</v>
          </cell>
          <cell r="C590">
            <v>102</v>
          </cell>
          <cell r="D590">
            <v>51</v>
          </cell>
          <cell r="E590">
            <v>51</v>
          </cell>
        </row>
        <row r="591">
          <cell r="A591" t="str">
            <v>IND</v>
          </cell>
          <cell r="B591" t="str">
            <v>200610</v>
          </cell>
          <cell r="C591">
            <v>24</v>
          </cell>
          <cell r="D591">
            <v>6</v>
          </cell>
          <cell r="E591">
            <v>18</v>
          </cell>
        </row>
        <row r="592">
          <cell r="A592" t="str">
            <v>IND</v>
          </cell>
          <cell r="B592" t="str">
            <v>200620</v>
          </cell>
          <cell r="C592">
            <v>109</v>
          </cell>
          <cell r="D592">
            <v>36</v>
          </cell>
          <cell r="E592">
            <v>73</v>
          </cell>
        </row>
        <row r="593">
          <cell r="A593" t="str">
            <v>IND</v>
          </cell>
          <cell r="B593" t="str">
            <v>200710</v>
          </cell>
          <cell r="C593">
            <v>35</v>
          </cell>
          <cell r="D593">
            <v>18</v>
          </cell>
          <cell r="E593">
            <v>17</v>
          </cell>
        </row>
        <row r="594">
          <cell r="A594" t="str">
            <v>IND</v>
          </cell>
          <cell r="B594" t="str">
            <v>200720</v>
          </cell>
          <cell r="C594">
            <v>113</v>
          </cell>
          <cell r="D594">
            <v>42</v>
          </cell>
          <cell r="E594">
            <v>71</v>
          </cell>
        </row>
        <row r="595">
          <cell r="A595" t="str">
            <v>IND</v>
          </cell>
          <cell r="B595" t="str">
            <v>200810</v>
          </cell>
          <cell r="C595">
            <v>41</v>
          </cell>
          <cell r="D595">
            <v>20</v>
          </cell>
          <cell r="E595">
            <v>21</v>
          </cell>
        </row>
        <row r="596">
          <cell r="A596" t="str">
            <v>IND</v>
          </cell>
          <cell r="B596" t="str">
            <v>200820</v>
          </cell>
          <cell r="C596">
            <v>129</v>
          </cell>
          <cell r="D596">
            <v>39</v>
          </cell>
          <cell r="E596">
            <v>90</v>
          </cell>
        </row>
        <row r="597">
          <cell r="A597" t="str">
            <v>IND</v>
          </cell>
          <cell r="B597" t="str">
            <v>200910</v>
          </cell>
          <cell r="C597">
            <v>42</v>
          </cell>
          <cell r="D597">
            <v>12</v>
          </cell>
          <cell r="E597">
            <v>30</v>
          </cell>
        </row>
        <row r="598">
          <cell r="A598" t="str">
            <v>IND</v>
          </cell>
          <cell r="B598" t="str">
            <v>200920</v>
          </cell>
          <cell r="C598">
            <v>106</v>
          </cell>
          <cell r="D598">
            <v>39</v>
          </cell>
          <cell r="E598">
            <v>67</v>
          </cell>
        </row>
        <row r="599">
          <cell r="A599" t="str">
            <v>IND</v>
          </cell>
          <cell r="B599" t="str">
            <v>201010</v>
          </cell>
          <cell r="C599">
            <v>43</v>
          </cell>
          <cell r="D599">
            <v>18</v>
          </cell>
          <cell r="E599">
            <v>25</v>
          </cell>
        </row>
        <row r="600">
          <cell r="A600" t="str">
            <v>IND</v>
          </cell>
          <cell r="B600" t="str">
            <v>201020</v>
          </cell>
          <cell r="C600">
            <v>86</v>
          </cell>
          <cell r="D600">
            <v>29</v>
          </cell>
          <cell r="E600">
            <v>57</v>
          </cell>
        </row>
        <row r="601">
          <cell r="A601" t="str">
            <v>IND</v>
          </cell>
          <cell r="B601" t="str">
            <v>201110</v>
          </cell>
          <cell r="C601">
            <v>45</v>
          </cell>
          <cell r="D601">
            <v>23</v>
          </cell>
          <cell r="E601">
            <v>22</v>
          </cell>
        </row>
        <row r="602">
          <cell r="A602" t="str">
            <v>IND</v>
          </cell>
          <cell r="B602" t="str">
            <v>201120</v>
          </cell>
          <cell r="C602">
            <v>95</v>
          </cell>
          <cell r="D602">
            <v>29</v>
          </cell>
          <cell r="E602">
            <v>66</v>
          </cell>
        </row>
        <row r="603">
          <cell r="A603" t="str">
            <v>IND</v>
          </cell>
          <cell r="B603" t="str">
            <v>201210</v>
          </cell>
          <cell r="C603">
            <v>58</v>
          </cell>
          <cell r="D603">
            <v>27</v>
          </cell>
          <cell r="E603">
            <v>31</v>
          </cell>
        </row>
        <row r="604">
          <cell r="A604" t="str">
            <v>IND</v>
          </cell>
          <cell r="B604" t="str">
            <v>201220</v>
          </cell>
          <cell r="C604">
            <v>86</v>
          </cell>
          <cell r="D604">
            <v>40</v>
          </cell>
          <cell r="E604">
            <v>46</v>
          </cell>
        </row>
        <row r="605">
          <cell r="A605" t="str">
            <v>IND</v>
          </cell>
          <cell r="B605" t="str">
            <v>201310</v>
          </cell>
          <cell r="C605">
            <v>64</v>
          </cell>
          <cell r="D605">
            <v>33</v>
          </cell>
          <cell r="E605">
            <v>31</v>
          </cell>
        </row>
        <row r="606">
          <cell r="A606" t="str">
            <v>IND</v>
          </cell>
          <cell r="B606" t="str">
            <v>201320</v>
          </cell>
          <cell r="C606">
            <v>67</v>
          </cell>
          <cell r="D606">
            <v>25</v>
          </cell>
          <cell r="E606">
            <v>42</v>
          </cell>
        </row>
        <row r="607">
          <cell r="A607" t="str">
            <v>IND</v>
          </cell>
          <cell r="B607" t="str">
            <v>201410</v>
          </cell>
          <cell r="C607">
            <v>53</v>
          </cell>
          <cell r="D607">
            <v>25</v>
          </cell>
          <cell r="E607">
            <v>28</v>
          </cell>
        </row>
        <row r="608">
          <cell r="A608" t="str">
            <v>IND</v>
          </cell>
          <cell r="B608" t="str">
            <v>201420</v>
          </cell>
          <cell r="C608">
            <v>77</v>
          </cell>
          <cell r="D608">
            <v>24</v>
          </cell>
          <cell r="E608">
            <v>52</v>
          </cell>
        </row>
        <row r="609">
          <cell r="A609" t="str">
            <v>IND</v>
          </cell>
          <cell r="B609" t="str">
            <v>201510</v>
          </cell>
          <cell r="C609">
            <v>109</v>
          </cell>
          <cell r="D609">
            <v>36</v>
          </cell>
          <cell r="E609">
            <v>72</v>
          </cell>
        </row>
        <row r="610">
          <cell r="A610" t="str">
            <v>IND</v>
          </cell>
          <cell r="B610" t="str">
            <v>201520</v>
          </cell>
          <cell r="C610">
            <v>54</v>
          </cell>
          <cell r="D610">
            <v>18</v>
          </cell>
          <cell r="E610">
            <v>36</v>
          </cell>
        </row>
        <row r="611">
          <cell r="A611" t="str">
            <v>IND</v>
          </cell>
          <cell r="B611" t="str">
            <v>201610</v>
          </cell>
          <cell r="C611">
            <v>136</v>
          </cell>
          <cell r="D611">
            <v>40</v>
          </cell>
          <cell r="E611">
            <v>95</v>
          </cell>
        </row>
        <row r="612">
          <cell r="A612" t="str">
            <v>IND</v>
          </cell>
          <cell r="B612" t="str">
            <v>201620</v>
          </cell>
          <cell r="C612">
            <v>70</v>
          </cell>
          <cell r="D612">
            <v>21</v>
          </cell>
          <cell r="E612">
            <v>49</v>
          </cell>
        </row>
        <row r="613">
          <cell r="A613" t="str">
            <v>IND</v>
          </cell>
          <cell r="B613" t="str">
            <v>201710</v>
          </cell>
          <cell r="C613">
            <v>72</v>
          </cell>
          <cell r="D613">
            <v>13</v>
          </cell>
          <cell r="E613">
            <v>58</v>
          </cell>
        </row>
        <row r="614">
          <cell r="A614" t="str">
            <v>IND</v>
          </cell>
          <cell r="B614" t="str">
            <v>201720</v>
          </cell>
          <cell r="C614">
            <v>52</v>
          </cell>
          <cell r="D614">
            <v>17</v>
          </cell>
          <cell r="E614">
            <v>32</v>
          </cell>
        </row>
        <row r="615">
          <cell r="A615" t="str">
            <v>IND</v>
          </cell>
          <cell r="B615" t="str">
            <v>201810</v>
          </cell>
          <cell r="C615">
            <v>42</v>
          </cell>
          <cell r="D615">
            <v>10</v>
          </cell>
          <cell r="E615">
            <v>29</v>
          </cell>
        </row>
        <row r="616">
          <cell r="A616" t="str">
            <v>IND</v>
          </cell>
          <cell r="B616" t="str">
            <v>201820</v>
          </cell>
          <cell r="C616">
            <v>61</v>
          </cell>
          <cell r="D616">
            <v>14</v>
          </cell>
          <cell r="E616">
            <v>39</v>
          </cell>
        </row>
        <row r="617">
          <cell r="A617" t="str">
            <v>IND</v>
          </cell>
          <cell r="B617" t="str">
            <v>201910</v>
          </cell>
          <cell r="C617">
            <v>22</v>
          </cell>
          <cell r="D617">
            <v>4</v>
          </cell>
          <cell r="E617">
            <v>14</v>
          </cell>
        </row>
        <row r="618">
          <cell r="A618" t="str">
            <v>IND</v>
          </cell>
          <cell r="B618" t="str">
            <v>201920</v>
          </cell>
          <cell r="C618">
            <v>30</v>
          </cell>
          <cell r="D618">
            <v>2</v>
          </cell>
          <cell r="E618">
            <v>1</v>
          </cell>
        </row>
        <row r="619">
          <cell r="A619" t="str">
            <v>IND</v>
          </cell>
          <cell r="B619" t="str">
            <v>202010</v>
          </cell>
          <cell r="C619">
            <v>27</v>
          </cell>
          <cell r="D619">
            <v>3</v>
          </cell>
          <cell r="E619">
            <v>2</v>
          </cell>
        </row>
        <row r="620">
          <cell r="A620" t="str">
            <v>IND</v>
          </cell>
          <cell r="B620" t="str">
            <v>202020</v>
          </cell>
          <cell r="C620">
            <v>30</v>
          </cell>
          <cell r="D620">
            <v>7</v>
          </cell>
          <cell r="E620">
            <v>0</v>
          </cell>
        </row>
        <row r="621">
          <cell r="A621" t="str">
            <v>IND</v>
          </cell>
          <cell r="B621" t="str">
            <v>202110</v>
          </cell>
          <cell r="C621">
            <v>13</v>
          </cell>
          <cell r="D621">
            <v>2</v>
          </cell>
          <cell r="E621">
            <v>0</v>
          </cell>
        </row>
        <row r="622">
          <cell r="A622" t="str">
            <v>IND</v>
          </cell>
          <cell r="B622" t="str">
            <v>202120</v>
          </cell>
          <cell r="C622">
            <v>20</v>
          </cell>
          <cell r="D622">
            <v>5</v>
          </cell>
          <cell r="E622">
            <v>0</v>
          </cell>
        </row>
        <row r="623">
          <cell r="A623" t="str">
            <v>IND</v>
          </cell>
          <cell r="B623" t="str">
            <v>202210</v>
          </cell>
          <cell r="C623">
            <v>28</v>
          </cell>
          <cell r="D623">
            <v>4</v>
          </cell>
          <cell r="E623">
            <v>0</v>
          </cell>
        </row>
        <row r="624">
          <cell r="A624" t="str">
            <v>IND</v>
          </cell>
          <cell r="B624" t="str">
            <v>202220</v>
          </cell>
          <cell r="C624">
            <v>29</v>
          </cell>
          <cell r="D624">
            <v>6</v>
          </cell>
          <cell r="E624">
            <v>0</v>
          </cell>
        </row>
        <row r="625">
          <cell r="A625" t="str">
            <v>IND</v>
          </cell>
          <cell r="B625" t="str">
            <v>202310</v>
          </cell>
          <cell r="C625">
            <v>31</v>
          </cell>
          <cell r="D625">
            <v>3</v>
          </cell>
          <cell r="E625">
            <v>0</v>
          </cell>
        </row>
        <row r="626">
          <cell r="A626" t="str">
            <v>IND</v>
          </cell>
          <cell r="B626" t="str">
            <v>202320</v>
          </cell>
          <cell r="C626">
            <v>25</v>
          </cell>
          <cell r="D626">
            <v>1</v>
          </cell>
          <cell r="E626">
            <v>0</v>
          </cell>
        </row>
        <row r="627">
          <cell r="A627" t="str">
            <v>LAT</v>
          </cell>
          <cell r="B627" t="str">
            <v>201520</v>
          </cell>
          <cell r="C627">
            <v>3</v>
          </cell>
          <cell r="D627">
            <v>2</v>
          </cell>
          <cell r="E627">
            <v>1</v>
          </cell>
        </row>
        <row r="628">
          <cell r="A628" t="str">
            <v>LAT</v>
          </cell>
          <cell r="B628" t="str">
            <v>201610</v>
          </cell>
          <cell r="C628">
            <v>2</v>
          </cell>
          <cell r="D628">
            <v>0</v>
          </cell>
          <cell r="E628">
            <v>2</v>
          </cell>
        </row>
        <row r="629">
          <cell r="A629" t="str">
            <v>LAT</v>
          </cell>
          <cell r="B629" t="str">
            <v>201620</v>
          </cell>
          <cell r="C629">
            <v>6</v>
          </cell>
          <cell r="D629">
            <v>5</v>
          </cell>
          <cell r="E629">
            <v>1</v>
          </cell>
        </row>
        <row r="630">
          <cell r="A630" t="str">
            <v>LAT</v>
          </cell>
          <cell r="B630" t="str">
            <v>201710</v>
          </cell>
          <cell r="C630">
            <v>2</v>
          </cell>
          <cell r="D630">
            <v>2</v>
          </cell>
          <cell r="E630">
            <v>0</v>
          </cell>
        </row>
        <row r="631">
          <cell r="A631" t="str">
            <v>LAT</v>
          </cell>
          <cell r="B631" t="str">
            <v>201720</v>
          </cell>
          <cell r="C631">
            <v>1</v>
          </cell>
          <cell r="D631">
            <v>1</v>
          </cell>
          <cell r="E631">
            <v>0</v>
          </cell>
        </row>
        <row r="632">
          <cell r="A632" t="str">
            <v>LAT</v>
          </cell>
          <cell r="B632" t="str">
            <v>201810</v>
          </cell>
          <cell r="C632">
            <v>1</v>
          </cell>
          <cell r="D632">
            <v>1</v>
          </cell>
          <cell r="E632">
            <v>0</v>
          </cell>
        </row>
        <row r="633">
          <cell r="A633" t="str">
            <v>LAT</v>
          </cell>
          <cell r="B633" t="str">
            <v>201820</v>
          </cell>
          <cell r="C633">
            <v>1</v>
          </cell>
          <cell r="D633">
            <v>1</v>
          </cell>
          <cell r="E633">
            <v>0</v>
          </cell>
        </row>
        <row r="634">
          <cell r="A634" t="str">
            <v>LAT</v>
          </cell>
          <cell r="B634" t="str">
            <v>201910</v>
          </cell>
          <cell r="C634">
            <v>2</v>
          </cell>
          <cell r="D634">
            <v>2</v>
          </cell>
          <cell r="E634">
            <v>0</v>
          </cell>
        </row>
        <row r="635">
          <cell r="A635" t="str">
            <v>LAT</v>
          </cell>
          <cell r="B635" t="str">
            <v>202010</v>
          </cell>
          <cell r="C635">
            <v>3</v>
          </cell>
          <cell r="D635">
            <v>0</v>
          </cell>
          <cell r="E635">
            <v>0</v>
          </cell>
        </row>
        <row r="636">
          <cell r="A636" t="str">
            <v>LAT</v>
          </cell>
          <cell r="B636" t="str">
            <v>202110</v>
          </cell>
          <cell r="C636">
            <v>2</v>
          </cell>
          <cell r="D636">
            <v>0</v>
          </cell>
          <cell r="E636">
            <v>0</v>
          </cell>
        </row>
        <row r="637">
          <cell r="A637" t="str">
            <v>LAT</v>
          </cell>
          <cell r="B637" t="str">
            <v>202120</v>
          </cell>
          <cell r="C637">
            <v>4</v>
          </cell>
          <cell r="D637">
            <v>1</v>
          </cell>
          <cell r="E637">
            <v>0</v>
          </cell>
        </row>
        <row r="638">
          <cell r="A638" t="str">
            <v>LAT</v>
          </cell>
          <cell r="B638" t="str">
            <v>202210</v>
          </cell>
          <cell r="C638">
            <v>3</v>
          </cell>
          <cell r="D638">
            <v>0</v>
          </cell>
          <cell r="E638">
            <v>0</v>
          </cell>
        </row>
        <row r="639">
          <cell r="A639" t="str">
            <v>LAT</v>
          </cell>
          <cell r="B639" t="str">
            <v>202220</v>
          </cell>
          <cell r="C639">
            <v>2</v>
          </cell>
          <cell r="D639">
            <v>2</v>
          </cell>
          <cell r="E639">
            <v>0</v>
          </cell>
        </row>
        <row r="640">
          <cell r="A640" t="str">
            <v>LAT</v>
          </cell>
          <cell r="B640" t="str">
            <v>202310</v>
          </cell>
          <cell r="C640">
            <v>4</v>
          </cell>
          <cell r="D640">
            <v>1</v>
          </cell>
          <cell r="E640">
            <v>0</v>
          </cell>
        </row>
        <row r="641">
          <cell r="A641" t="str">
            <v>LAT</v>
          </cell>
          <cell r="B641" t="str">
            <v>202320</v>
          </cell>
          <cell r="C641">
            <v>1</v>
          </cell>
          <cell r="D641">
            <v>0</v>
          </cell>
          <cell r="E641">
            <v>0</v>
          </cell>
        </row>
        <row r="642">
          <cell r="A642" t="str">
            <v>LBP</v>
          </cell>
          <cell r="B642" t="str">
            <v>201520</v>
          </cell>
          <cell r="C642">
            <v>3</v>
          </cell>
          <cell r="D642">
            <v>0</v>
          </cell>
          <cell r="E642">
            <v>3</v>
          </cell>
        </row>
        <row r="643">
          <cell r="A643" t="str">
            <v>LBP</v>
          </cell>
          <cell r="B643" t="str">
            <v>201610</v>
          </cell>
          <cell r="C643">
            <v>3</v>
          </cell>
          <cell r="D643">
            <v>0</v>
          </cell>
          <cell r="E643">
            <v>3</v>
          </cell>
        </row>
        <row r="644">
          <cell r="A644" t="str">
            <v>LBP</v>
          </cell>
          <cell r="B644" t="str">
            <v>201620</v>
          </cell>
          <cell r="C644">
            <v>2</v>
          </cell>
          <cell r="D644">
            <v>1</v>
          </cell>
          <cell r="E644">
            <v>1</v>
          </cell>
        </row>
        <row r="645">
          <cell r="A645" t="str">
            <v>LBP</v>
          </cell>
          <cell r="B645" t="str">
            <v>201710</v>
          </cell>
          <cell r="C645">
            <v>5</v>
          </cell>
          <cell r="D645">
            <v>1</v>
          </cell>
          <cell r="E645">
            <v>4</v>
          </cell>
        </row>
        <row r="646">
          <cell r="A646" t="str">
            <v>LBP</v>
          </cell>
          <cell r="B646" t="str">
            <v>201720</v>
          </cell>
          <cell r="C646">
            <v>2</v>
          </cell>
          <cell r="D646">
            <v>0</v>
          </cell>
          <cell r="E646">
            <v>2</v>
          </cell>
        </row>
        <row r="647">
          <cell r="A647" t="str">
            <v>LBP</v>
          </cell>
          <cell r="B647" t="str">
            <v>201820</v>
          </cell>
          <cell r="C647">
            <v>3</v>
          </cell>
          <cell r="D647">
            <v>2</v>
          </cell>
          <cell r="E647">
            <v>1</v>
          </cell>
        </row>
        <row r="648">
          <cell r="A648" t="str">
            <v>LBP</v>
          </cell>
          <cell r="B648" t="str">
            <v>201920</v>
          </cell>
          <cell r="C648">
            <v>5</v>
          </cell>
          <cell r="D648">
            <v>0</v>
          </cell>
          <cell r="E648">
            <v>0</v>
          </cell>
        </row>
        <row r="649">
          <cell r="A649" t="str">
            <v>LBP</v>
          </cell>
          <cell r="B649" t="str">
            <v>202010</v>
          </cell>
          <cell r="C649">
            <v>2</v>
          </cell>
          <cell r="D649">
            <v>1</v>
          </cell>
          <cell r="E649">
            <v>0</v>
          </cell>
        </row>
        <row r="650">
          <cell r="A650" t="str">
            <v>LBP</v>
          </cell>
          <cell r="B650" t="str">
            <v>202110</v>
          </cell>
          <cell r="C650">
            <v>2</v>
          </cell>
          <cell r="D650">
            <v>2</v>
          </cell>
          <cell r="E650">
            <v>0</v>
          </cell>
        </row>
        <row r="651">
          <cell r="A651" t="str">
            <v>LBP</v>
          </cell>
          <cell r="B651" t="str">
            <v>202210</v>
          </cell>
          <cell r="C651">
            <v>3</v>
          </cell>
          <cell r="D651">
            <v>2</v>
          </cell>
          <cell r="E651">
            <v>0</v>
          </cell>
        </row>
        <row r="652">
          <cell r="A652" t="str">
            <v>LBP</v>
          </cell>
          <cell r="B652" t="str">
            <v>202220</v>
          </cell>
          <cell r="C652">
            <v>1</v>
          </cell>
          <cell r="D652">
            <v>0</v>
          </cell>
          <cell r="E652">
            <v>0</v>
          </cell>
        </row>
        <row r="653">
          <cell r="A653" t="str">
            <v>LBP</v>
          </cell>
          <cell r="B653" t="str">
            <v>202310</v>
          </cell>
          <cell r="C653">
            <v>3</v>
          </cell>
          <cell r="D653">
            <v>0</v>
          </cell>
          <cell r="E653">
            <v>0</v>
          </cell>
        </row>
        <row r="654">
          <cell r="A654" t="str">
            <v>LBP</v>
          </cell>
          <cell r="B654" t="str">
            <v>202320</v>
          </cell>
          <cell r="C654">
            <v>3</v>
          </cell>
          <cell r="D654">
            <v>0</v>
          </cell>
          <cell r="E654">
            <v>0</v>
          </cell>
        </row>
        <row r="655">
          <cell r="A655" t="str">
            <v>LCN</v>
          </cell>
          <cell r="B655" t="str">
            <v>201610</v>
          </cell>
          <cell r="C655">
            <v>2</v>
          </cell>
          <cell r="D655">
            <v>1</v>
          </cell>
          <cell r="E655">
            <v>1</v>
          </cell>
        </row>
        <row r="656">
          <cell r="A656" t="str">
            <v>LCN</v>
          </cell>
          <cell r="B656" t="str">
            <v>201620</v>
          </cell>
          <cell r="C656">
            <v>2</v>
          </cell>
          <cell r="D656">
            <v>0</v>
          </cell>
          <cell r="E656">
            <v>2</v>
          </cell>
        </row>
        <row r="657">
          <cell r="A657" t="str">
            <v>LCN</v>
          </cell>
          <cell r="B657" t="str">
            <v>201710</v>
          </cell>
          <cell r="C657">
            <v>2</v>
          </cell>
          <cell r="D657">
            <v>0</v>
          </cell>
          <cell r="E657">
            <v>2</v>
          </cell>
        </row>
        <row r="658">
          <cell r="A658" t="str">
            <v>LCN</v>
          </cell>
          <cell r="B658" t="str">
            <v>201720</v>
          </cell>
          <cell r="C658">
            <v>2</v>
          </cell>
          <cell r="D658">
            <v>2</v>
          </cell>
          <cell r="E658">
            <v>0</v>
          </cell>
        </row>
        <row r="659">
          <cell r="A659" t="str">
            <v>LCN</v>
          </cell>
          <cell r="B659" t="str">
            <v>201810</v>
          </cell>
          <cell r="C659">
            <v>2</v>
          </cell>
          <cell r="D659">
            <v>1</v>
          </cell>
          <cell r="E659">
            <v>1</v>
          </cell>
        </row>
        <row r="660">
          <cell r="A660" t="str">
            <v>LCN</v>
          </cell>
          <cell r="B660" t="str">
            <v>201920</v>
          </cell>
          <cell r="C660">
            <v>2</v>
          </cell>
          <cell r="D660">
            <v>0</v>
          </cell>
          <cell r="E660">
            <v>1</v>
          </cell>
        </row>
        <row r="661">
          <cell r="A661" t="str">
            <v>LCN</v>
          </cell>
          <cell r="B661" t="str">
            <v>202010</v>
          </cell>
          <cell r="C661">
            <v>3</v>
          </cell>
          <cell r="D661">
            <v>3</v>
          </cell>
          <cell r="E661">
            <v>0</v>
          </cell>
        </row>
        <row r="662">
          <cell r="A662" t="str">
            <v>LCN</v>
          </cell>
          <cell r="B662" t="str">
            <v>202120</v>
          </cell>
          <cell r="C662">
            <v>2</v>
          </cell>
          <cell r="D662">
            <v>0</v>
          </cell>
          <cell r="E662">
            <v>0</v>
          </cell>
        </row>
        <row r="663">
          <cell r="A663" t="str">
            <v>LCN</v>
          </cell>
          <cell r="B663" t="str">
            <v>202220</v>
          </cell>
          <cell r="C663">
            <v>3</v>
          </cell>
          <cell r="D663">
            <v>1</v>
          </cell>
          <cell r="E663">
            <v>0</v>
          </cell>
        </row>
        <row r="664">
          <cell r="A664" t="str">
            <v>LCS</v>
          </cell>
          <cell r="B664" t="str">
            <v>201610</v>
          </cell>
          <cell r="C664">
            <v>1</v>
          </cell>
          <cell r="D664">
            <v>1</v>
          </cell>
          <cell r="E664">
            <v>0</v>
          </cell>
        </row>
        <row r="665">
          <cell r="A665" t="str">
            <v>LCS</v>
          </cell>
          <cell r="B665" t="str">
            <v>201620</v>
          </cell>
          <cell r="C665">
            <v>1</v>
          </cell>
          <cell r="D665">
            <v>0</v>
          </cell>
          <cell r="E665">
            <v>1</v>
          </cell>
        </row>
        <row r="666">
          <cell r="A666" t="str">
            <v>LCS</v>
          </cell>
          <cell r="B666" t="str">
            <v>201710</v>
          </cell>
          <cell r="C666">
            <v>7</v>
          </cell>
          <cell r="D666">
            <v>2</v>
          </cell>
          <cell r="E666">
            <v>5</v>
          </cell>
        </row>
        <row r="667">
          <cell r="A667" t="str">
            <v>LCS</v>
          </cell>
          <cell r="B667" t="str">
            <v>201720</v>
          </cell>
          <cell r="C667">
            <v>2</v>
          </cell>
          <cell r="D667">
            <v>0</v>
          </cell>
          <cell r="E667">
            <v>1</v>
          </cell>
        </row>
        <row r="668">
          <cell r="A668" t="str">
            <v>LCS</v>
          </cell>
          <cell r="B668" t="str">
            <v>201810</v>
          </cell>
          <cell r="C668">
            <v>3</v>
          </cell>
          <cell r="D668">
            <v>0</v>
          </cell>
          <cell r="E668">
            <v>3</v>
          </cell>
        </row>
        <row r="669">
          <cell r="A669" t="str">
            <v>LCS</v>
          </cell>
          <cell r="B669" t="str">
            <v>201820</v>
          </cell>
          <cell r="C669">
            <v>2</v>
          </cell>
          <cell r="D669">
            <v>1</v>
          </cell>
          <cell r="E669">
            <v>0</v>
          </cell>
        </row>
        <row r="670">
          <cell r="A670" t="str">
            <v>LCS</v>
          </cell>
          <cell r="B670" t="str">
            <v>201910</v>
          </cell>
          <cell r="C670">
            <v>1</v>
          </cell>
          <cell r="D670">
            <v>0</v>
          </cell>
          <cell r="E670">
            <v>1</v>
          </cell>
        </row>
        <row r="671">
          <cell r="A671" t="str">
            <v>LCS</v>
          </cell>
          <cell r="B671" t="str">
            <v>202010</v>
          </cell>
          <cell r="C671">
            <v>11</v>
          </cell>
          <cell r="D671">
            <v>0</v>
          </cell>
          <cell r="E671">
            <v>1</v>
          </cell>
        </row>
        <row r="672">
          <cell r="A672" t="str">
            <v>LCS</v>
          </cell>
          <cell r="B672" t="str">
            <v>202020</v>
          </cell>
          <cell r="C672">
            <v>3</v>
          </cell>
          <cell r="D672">
            <v>1</v>
          </cell>
          <cell r="E672">
            <v>0</v>
          </cell>
        </row>
        <row r="673">
          <cell r="A673" t="str">
            <v>LCS</v>
          </cell>
          <cell r="B673" t="str">
            <v>202110</v>
          </cell>
          <cell r="C673">
            <v>1</v>
          </cell>
          <cell r="D673">
            <v>0</v>
          </cell>
          <cell r="E673">
            <v>0</v>
          </cell>
        </row>
        <row r="674">
          <cell r="A674" t="str">
            <v>LCS</v>
          </cell>
          <cell r="B674" t="str">
            <v>202120</v>
          </cell>
          <cell r="C674">
            <v>1</v>
          </cell>
          <cell r="D674">
            <v>0</v>
          </cell>
          <cell r="E674">
            <v>0</v>
          </cell>
        </row>
        <row r="675">
          <cell r="A675" t="str">
            <v>LCS</v>
          </cell>
          <cell r="B675" t="str">
            <v>202210</v>
          </cell>
          <cell r="C675">
            <v>4</v>
          </cell>
          <cell r="D675">
            <v>0</v>
          </cell>
          <cell r="E675">
            <v>0</v>
          </cell>
        </row>
        <row r="676">
          <cell r="A676" t="str">
            <v>LCS</v>
          </cell>
          <cell r="B676" t="str">
            <v>202220</v>
          </cell>
          <cell r="C676">
            <v>2</v>
          </cell>
          <cell r="D676">
            <v>0</v>
          </cell>
          <cell r="E676">
            <v>0</v>
          </cell>
        </row>
        <row r="677">
          <cell r="A677" t="str">
            <v>LCS</v>
          </cell>
          <cell r="B677" t="str">
            <v>202310</v>
          </cell>
          <cell r="C677">
            <v>4</v>
          </cell>
          <cell r="D677">
            <v>0</v>
          </cell>
          <cell r="E677">
            <v>0</v>
          </cell>
        </row>
        <row r="678">
          <cell r="A678" t="str">
            <v>LCS</v>
          </cell>
          <cell r="B678" t="str">
            <v>202320</v>
          </cell>
          <cell r="C678">
            <v>2</v>
          </cell>
          <cell r="D678">
            <v>0</v>
          </cell>
          <cell r="E678">
            <v>0</v>
          </cell>
        </row>
        <row r="679">
          <cell r="A679" t="str">
            <v>LEI</v>
          </cell>
          <cell r="B679" t="str">
            <v>201520</v>
          </cell>
          <cell r="C679">
            <v>4</v>
          </cell>
          <cell r="D679">
            <v>0</v>
          </cell>
          <cell r="E679">
            <v>4</v>
          </cell>
        </row>
        <row r="680">
          <cell r="A680" t="str">
            <v>LEI</v>
          </cell>
          <cell r="B680" t="str">
            <v>201610</v>
          </cell>
          <cell r="C680">
            <v>17</v>
          </cell>
          <cell r="D680">
            <v>2</v>
          </cell>
          <cell r="E680">
            <v>15</v>
          </cell>
        </row>
        <row r="681">
          <cell r="A681" t="str">
            <v>LEI</v>
          </cell>
          <cell r="B681" t="str">
            <v>201620</v>
          </cell>
          <cell r="C681">
            <v>2</v>
          </cell>
          <cell r="D681">
            <v>0</v>
          </cell>
          <cell r="E681">
            <v>2</v>
          </cell>
        </row>
        <row r="682">
          <cell r="A682" t="str">
            <v>LEI</v>
          </cell>
          <cell r="B682" t="str">
            <v>201710</v>
          </cell>
          <cell r="C682">
            <v>13</v>
          </cell>
          <cell r="D682">
            <v>7</v>
          </cell>
          <cell r="E682">
            <v>6</v>
          </cell>
        </row>
        <row r="683">
          <cell r="A683" t="str">
            <v>LEI</v>
          </cell>
          <cell r="B683" t="str">
            <v>201720</v>
          </cell>
          <cell r="C683">
            <v>8</v>
          </cell>
          <cell r="D683">
            <v>4</v>
          </cell>
          <cell r="E683">
            <v>4</v>
          </cell>
        </row>
        <row r="684">
          <cell r="A684" t="str">
            <v>LEI</v>
          </cell>
          <cell r="B684" t="str">
            <v>201810</v>
          </cell>
          <cell r="C684">
            <v>20</v>
          </cell>
          <cell r="D684">
            <v>4</v>
          </cell>
          <cell r="E684">
            <v>10</v>
          </cell>
        </row>
        <row r="685">
          <cell r="A685" t="str">
            <v>LEI</v>
          </cell>
          <cell r="B685" t="str">
            <v>201820</v>
          </cell>
          <cell r="C685">
            <v>13</v>
          </cell>
          <cell r="D685">
            <v>6</v>
          </cell>
          <cell r="E685">
            <v>3</v>
          </cell>
        </row>
        <row r="686">
          <cell r="A686" t="str">
            <v>LEI</v>
          </cell>
          <cell r="B686" t="str">
            <v>201910</v>
          </cell>
          <cell r="C686">
            <v>19</v>
          </cell>
          <cell r="D686">
            <v>6</v>
          </cell>
          <cell r="E686">
            <v>4</v>
          </cell>
        </row>
        <row r="687">
          <cell r="A687" t="str">
            <v>LEI</v>
          </cell>
          <cell r="B687" t="str">
            <v>201920</v>
          </cell>
          <cell r="C687">
            <v>5</v>
          </cell>
          <cell r="D687">
            <v>2</v>
          </cell>
          <cell r="E687">
            <v>0</v>
          </cell>
        </row>
        <row r="688">
          <cell r="A688" t="str">
            <v>LEI</v>
          </cell>
          <cell r="B688" t="str">
            <v>202010</v>
          </cell>
          <cell r="C688">
            <v>18</v>
          </cell>
          <cell r="D688">
            <v>7</v>
          </cell>
          <cell r="E688">
            <v>0</v>
          </cell>
        </row>
        <row r="689">
          <cell r="A689" t="str">
            <v>LEI</v>
          </cell>
          <cell r="B689" t="str">
            <v>202020</v>
          </cell>
          <cell r="C689">
            <v>5</v>
          </cell>
          <cell r="D689">
            <v>1</v>
          </cell>
          <cell r="E689">
            <v>0</v>
          </cell>
        </row>
        <row r="690">
          <cell r="A690" t="str">
            <v>LEI</v>
          </cell>
          <cell r="B690" t="str">
            <v>202110</v>
          </cell>
          <cell r="C690">
            <v>16</v>
          </cell>
          <cell r="D690">
            <v>3</v>
          </cell>
          <cell r="E690">
            <v>0</v>
          </cell>
        </row>
        <row r="691">
          <cell r="A691" t="str">
            <v>LEI</v>
          </cell>
          <cell r="B691" t="str">
            <v>202120</v>
          </cell>
          <cell r="C691">
            <v>9</v>
          </cell>
          <cell r="D691">
            <v>0</v>
          </cell>
          <cell r="E691">
            <v>0</v>
          </cell>
        </row>
        <row r="692">
          <cell r="A692" t="str">
            <v>LEI</v>
          </cell>
          <cell r="B692" t="str">
            <v>202210</v>
          </cell>
          <cell r="C692">
            <v>25</v>
          </cell>
          <cell r="D692">
            <v>5</v>
          </cell>
          <cell r="E692">
            <v>0</v>
          </cell>
        </row>
        <row r="693">
          <cell r="A693" t="str">
            <v>LEI</v>
          </cell>
          <cell r="B693" t="str">
            <v>202220</v>
          </cell>
          <cell r="C693">
            <v>16</v>
          </cell>
          <cell r="D693">
            <v>3</v>
          </cell>
          <cell r="E693">
            <v>0</v>
          </cell>
        </row>
        <row r="694">
          <cell r="A694" t="str">
            <v>LEI</v>
          </cell>
          <cell r="B694" t="str">
            <v>202310</v>
          </cell>
          <cell r="C694">
            <v>23</v>
          </cell>
          <cell r="D694">
            <v>2</v>
          </cell>
          <cell r="E694">
            <v>0</v>
          </cell>
        </row>
        <row r="695">
          <cell r="A695" t="str">
            <v>LEI</v>
          </cell>
          <cell r="B695" t="str">
            <v>202320</v>
          </cell>
          <cell r="C695">
            <v>17</v>
          </cell>
          <cell r="D695">
            <v>1</v>
          </cell>
          <cell r="E695">
            <v>0</v>
          </cell>
        </row>
        <row r="696">
          <cell r="A696" t="str">
            <v>LYL</v>
          </cell>
          <cell r="B696" t="str">
            <v>201610</v>
          </cell>
          <cell r="C696">
            <v>5</v>
          </cell>
          <cell r="D696">
            <v>1</v>
          </cell>
          <cell r="E696">
            <v>4</v>
          </cell>
        </row>
        <row r="697">
          <cell r="A697" t="str">
            <v>LYL</v>
          </cell>
          <cell r="B697" t="str">
            <v>201620</v>
          </cell>
          <cell r="C697">
            <v>7</v>
          </cell>
          <cell r="D697">
            <v>5</v>
          </cell>
          <cell r="E697">
            <v>2</v>
          </cell>
        </row>
        <row r="698">
          <cell r="A698" t="str">
            <v>LYL</v>
          </cell>
          <cell r="B698" t="str">
            <v>201710</v>
          </cell>
          <cell r="C698">
            <v>4</v>
          </cell>
          <cell r="D698">
            <v>2</v>
          </cell>
          <cell r="E698">
            <v>2</v>
          </cell>
        </row>
        <row r="699">
          <cell r="A699" t="str">
            <v>LYL</v>
          </cell>
          <cell r="B699" t="str">
            <v>201720</v>
          </cell>
          <cell r="C699">
            <v>3</v>
          </cell>
          <cell r="D699">
            <v>0</v>
          </cell>
          <cell r="E699">
            <v>2</v>
          </cell>
        </row>
        <row r="700">
          <cell r="A700" t="str">
            <v>LYL</v>
          </cell>
          <cell r="B700" t="str">
            <v>201810</v>
          </cell>
          <cell r="C700">
            <v>3</v>
          </cell>
          <cell r="D700">
            <v>0</v>
          </cell>
          <cell r="E700">
            <v>1</v>
          </cell>
        </row>
        <row r="701">
          <cell r="A701" t="str">
            <v>LYL</v>
          </cell>
          <cell r="B701" t="str">
            <v>201910</v>
          </cell>
          <cell r="C701">
            <v>1</v>
          </cell>
          <cell r="D701">
            <v>0</v>
          </cell>
          <cell r="E701">
            <v>0</v>
          </cell>
        </row>
        <row r="702">
          <cell r="A702" t="str">
            <v>LYL</v>
          </cell>
          <cell r="B702" t="str">
            <v>201920</v>
          </cell>
          <cell r="C702">
            <v>2</v>
          </cell>
          <cell r="D702">
            <v>0</v>
          </cell>
          <cell r="E702">
            <v>0</v>
          </cell>
        </row>
        <row r="703">
          <cell r="A703" t="str">
            <v>LYL</v>
          </cell>
          <cell r="B703" t="str">
            <v>202010</v>
          </cell>
          <cell r="C703">
            <v>4</v>
          </cell>
          <cell r="D703">
            <v>2</v>
          </cell>
          <cell r="E703">
            <v>0</v>
          </cell>
        </row>
        <row r="704">
          <cell r="A704" t="str">
            <v>LYL</v>
          </cell>
          <cell r="B704" t="str">
            <v>202020</v>
          </cell>
          <cell r="C704">
            <v>3</v>
          </cell>
          <cell r="D704">
            <v>0</v>
          </cell>
          <cell r="E704">
            <v>0</v>
          </cell>
        </row>
        <row r="705">
          <cell r="A705" t="str">
            <v>LYL</v>
          </cell>
          <cell r="B705" t="str">
            <v>202110</v>
          </cell>
          <cell r="C705">
            <v>2</v>
          </cell>
          <cell r="D705">
            <v>0</v>
          </cell>
          <cell r="E705">
            <v>0</v>
          </cell>
        </row>
        <row r="706">
          <cell r="A706" t="str">
            <v>LYL</v>
          </cell>
          <cell r="B706" t="str">
            <v>202120</v>
          </cell>
          <cell r="C706">
            <v>2</v>
          </cell>
          <cell r="D706">
            <v>0</v>
          </cell>
          <cell r="E706">
            <v>0</v>
          </cell>
        </row>
        <row r="707">
          <cell r="A707" t="str">
            <v>LYL</v>
          </cell>
          <cell r="B707" t="str">
            <v>202210</v>
          </cell>
          <cell r="C707">
            <v>11</v>
          </cell>
          <cell r="D707">
            <v>5</v>
          </cell>
          <cell r="E707">
            <v>0</v>
          </cell>
        </row>
        <row r="708">
          <cell r="A708" t="str">
            <v>LYL</v>
          </cell>
          <cell r="B708" t="str">
            <v>202220</v>
          </cell>
          <cell r="C708">
            <v>4</v>
          </cell>
          <cell r="D708">
            <v>0</v>
          </cell>
          <cell r="E708">
            <v>0</v>
          </cell>
        </row>
        <row r="709">
          <cell r="A709" t="str">
            <v>LYL</v>
          </cell>
          <cell r="B709" t="str">
            <v>202310</v>
          </cell>
          <cell r="C709">
            <v>5</v>
          </cell>
          <cell r="D709">
            <v>0</v>
          </cell>
          <cell r="E709">
            <v>0</v>
          </cell>
        </row>
        <row r="710">
          <cell r="A710" t="str">
            <v>LYL</v>
          </cell>
          <cell r="B710" t="str">
            <v>202320</v>
          </cell>
          <cell r="C710">
            <v>1</v>
          </cell>
          <cell r="D710">
            <v>0</v>
          </cell>
          <cell r="E710">
            <v>0</v>
          </cell>
        </row>
        <row r="711">
          <cell r="A711" t="str">
            <v>MED</v>
          </cell>
          <cell r="B711" t="str">
            <v>200920</v>
          </cell>
          <cell r="C711">
            <v>51</v>
          </cell>
          <cell r="D711">
            <v>13</v>
          </cell>
          <cell r="E711">
            <v>38</v>
          </cell>
        </row>
        <row r="712">
          <cell r="A712" t="str">
            <v>MED</v>
          </cell>
          <cell r="B712" t="str">
            <v>201010</v>
          </cell>
          <cell r="C712">
            <v>25</v>
          </cell>
          <cell r="D712">
            <v>8</v>
          </cell>
          <cell r="E712">
            <v>17</v>
          </cell>
        </row>
        <row r="713">
          <cell r="A713" t="str">
            <v>MED</v>
          </cell>
          <cell r="B713" t="str">
            <v>201020</v>
          </cell>
          <cell r="C713">
            <v>59</v>
          </cell>
          <cell r="D713">
            <v>15</v>
          </cell>
          <cell r="E713">
            <v>44</v>
          </cell>
        </row>
        <row r="714">
          <cell r="A714" t="str">
            <v>MED</v>
          </cell>
          <cell r="B714" t="str">
            <v>201110</v>
          </cell>
          <cell r="C714">
            <v>34</v>
          </cell>
          <cell r="D714">
            <v>12</v>
          </cell>
          <cell r="E714">
            <v>22</v>
          </cell>
        </row>
        <row r="715">
          <cell r="A715" t="str">
            <v>MED</v>
          </cell>
          <cell r="B715" t="str">
            <v>201120</v>
          </cell>
          <cell r="C715">
            <v>60</v>
          </cell>
          <cell r="D715">
            <v>13</v>
          </cell>
          <cell r="E715">
            <v>47</v>
          </cell>
        </row>
        <row r="716">
          <cell r="A716" t="str">
            <v>MED</v>
          </cell>
          <cell r="B716" t="str">
            <v>201210</v>
          </cell>
          <cell r="C716">
            <v>53</v>
          </cell>
          <cell r="D716">
            <v>18</v>
          </cell>
          <cell r="E716">
            <v>35</v>
          </cell>
        </row>
        <row r="717">
          <cell r="A717" t="str">
            <v>MED</v>
          </cell>
          <cell r="B717" t="str">
            <v>201220</v>
          </cell>
          <cell r="C717">
            <v>60</v>
          </cell>
          <cell r="D717">
            <v>18</v>
          </cell>
          <cell r="E717">
            <v>42</v>
          </cell>
        </row>
        <row r="718">
          <cell r="A718" t="str">
            <v>MED</v>
          </cell>
          <cell r="B718" t="str">
            <v>201310</v>
          </cell>
          <cell r="C718">
            <v>56</v>
          </cell>
          <cell r="D718">
            <v>17</v>
          </cell>
          <cell r="E718">
            <v>39</v>
          </cell>
        </row>
        <row r="719">
          <cell r="A719" t="str">
            <v>MED</v>
          </cell>
          <cell r="B719" t="str">
            <v>201320</v>
          </cell>
          <cell r="C719">
            <v>52</v>
          </cell>
          <cell r="D719">
            <v>10</v>
          </cell>
          <cell r="E719">
            <v>42</v>
          </cell>
        </row>
        <row r="720">
          <cell r="A720" t="str">
            <v>MED</v>
          </cell>
          <cell r="B720" t="str">
            <v>201410</v>
          </cell>
          <cell r="C720">
            <v>61</v>
          </cell>
          <cell r="D720">
            <v>9</v>
          </cell>
          <cell r="E720">
            <v>52</v>
          </cell>
        </row>
        <row r="721">
          <cell r="A721" t="str">
            <v>MED</v>
          </cell>
          <cell r="B721" t="str">
            <v>201420</v>
          </cell>
          <cell r="C721">
            <v>67</v>
          </cell>
          <cell r="D721">
            <v>16</v>
          </cell>
          <cell r="E721">
            <v>50</v>
          </cell>
        </row>
        <row r="722">
          <cell r="A722" t="str">
            <v>MED</v>
          </cell>
          <cell r="B722" t="str">
            <v>201510</v>
          </cell>
          <cell r="C722">
            <v>69</v>
          </cell>
          <cell r="D722">
            <v>19</v>
          </cell>
          <cell r="E722">
            <v>50</v>
          </cell>
        </row>
        <row r="723">
          <cell r="A723" t="str">
            <v>MED</v>
          </cell>
          <cell r="B723" t="str">
            <v>201520</v>
          </cell>
          <cell r="C723">
            <v>64</v>
          </cell>
          <cell r="D723">
            <v>12</v>
          </cell>
          <cell r="E723">
            <v>51</v>
          </cell>
        </row>
        <row r="724">
          <cell r="A724" t="str">
            <v>MED</v>
          </cell>
          <cell r="B724" t="str">
            <v>201610</v>
          </cell>
          <cell r="C724">
            <v>74</v>
          </cell>
          <cell r="D724">
            <v>14</v>
          </cell>
          <cell r="E724">
            <v>60</v>
          </cell>
        </row>
        <row r="725">
          <cell r="A725" t="str">
            <v>MED</v>
          </cell>
          <cell r="B725" t="str">
            <v>201620</v>
          </cell>
          <cell r="C725">
            <v>62</v>
          </cell>
          <cell r="D725">
            <v>12</v>
          </cell>
          <cell r="E725">
            <v>50</v>
          </cell>
        </row>
        <row r="726">
          <cell r="A726" t="str">
            <v>MED</v>
          </cell>
          <cell r="B726" t="str">
            <v>201710</v>
          </cell>
          <cell r="C726">
            <v>68</v>
          </cell>
          <cell r="D726">
            <v>11</v>
          </cell>
          <cell r="E726">
            <v>55</v>
          </cell>
        </row>
        <row r="727">
          <cell r="A727" t="str">
            <v>MED</v>
          </cell>
          <cell r="B727" t="str">
            <v>201720</v>
          </cell>
          <cell r="C727">
            <v>63</v>
          </cell>
          <cell r="D727">
            <v>11</v>
          </cell>
          <cell r="E727">
            <v>51</v>
          </cell>
        </row>
        <row r="728">
          <cell r="A728" t="str">
            <v>MED</v>
          </cell>
          <cell r="B728" t="str">
            <v>201810</v>
          </cell>
          <cell r="C728">
            <v>70</v>
          </cell>
          <cell r="D728">
            <v>11</v>
          </cell>
          <cell r="E728">
            <v>44</v>
          </cell>
        </row>
        <row r="729">
          <cell r="A729" t="str">
            <v>MED</v>
          </cell>
          <cell r="B729" t="str">
            <v>201820</v>
          </cell>
          <cell r="C729">
            <v>65</v>
          </cell>
          <cell r="D729">
            <v>7</v>
          </cell>
          <cell r="E729">
            <v>0</v>
          </cell>
        </row>
        <row r="730">
          <cell r="A730" t="str">
            <v>MED</v>
          </cell>
          <cell r="B730" t="str">
            <v>201910</v>
          </cell>
          <cell r="C730">
            <v>73</v>
          </cell>
          <cell r="D730">
            <v>10</v>
          </cell>
          <cell r="E730">
            <v>0</v>
          </cell>
        </row>
        <row r="731">
          <cell r="A731" t="str">
            <v>MED</v>
          </cell>
          <cell r="B731" t="str">
            <v>201920</v>
          </cell>
          <cell r="C731">
            <v>67</v>
          </cell>
          <cell r="D731">
            <v>11</v>
          </cell>
          <cell r="E731">
            <v>0</v>
          </cell>
        </row>
        <row r="732">
          <cell r="A732" t="str">
            <v>MED</v>
          </cell>
          <cell r="B732" t="str">
            <v>202010</v>
          </cell>
          <cell r="C732">
            <v>79</v>
          </cell>
          <cell r="D732">
            <v>7</v>
          </cell>
          <cell r="E732">
            <v>0</v>
          </cell>
        </row>
        <row r="733">
          <cell r="A733" t="str">
            <v>MED</v>
          </cell>
          <cell r="B733" t="str">
            <v>202020</v>
          </cell>
          <cell r="C733">
            <v>80</v>
          </cell>
          <cell r="D733">
            <v>9</v>
          </cell>
          <cell r="E733">
            <v>0</v>
          </cell>
        </row>
        <row r="734">
          <cell r="A734" t="str">
            <v>MED</v>
          </cell>
          <cell r="B734" t="str">
            <v>202110</v>
          </cell>
          <cell r="C734">
            <v>80</v>
          </cell>
          <cell r="D734">
            <v>10</v>
          </cell>
          <cell r="E734">
            <v>1</v>
          </cell>
        </row>
        <row r="735">
          <cell r="A735" t="str">
            <v>MED</v>
          </cell>
          <cell r="B735" t="str">
            <v>202120</v>
          </cell>
          <cell r="C735">
            <v>75</v>
          </cell>
          <cell r="D735">
            <v>5</v>
          </cell>
          <cell r="E735">
            <v>0</v>
          </cell>
        </row>
        <row r="736">
          <cell r="A736" t="str">
            <v>MED</v>
          </cell>
          <cell r="B736" t="str">
            <v>202210</v>
          </cell>
          <cell r="C736">
            <v>83</v>
          </cell>
          <cell r="D736">
            <v>4</v>
          </cell>
          <cell r="E736">
            <v>0</v>
          </cell>
        </row>
        <row r="737">
          <cell r="A737" t="str">
            <v>MED</v>
          </cell>
          <cell r="B737" t="str">
            <v>202220</v>
          </cell>
          <cell r="C737">
            <v>81</v>
          </cell>
          <cell r="D737">
            <v>5</v>
          </cell>
          <cell r="E737">
            <v>0</v>
          </cell>
        </row>
        <row r="738">
          <cell r="A738" t="str">
            <v>MED</v>
          </cell>
          <cell r="B738" t="str">
            <v>202310</v>
          </cell>
          <cell r="C738">
            <v>78</v>
          </cell>
          <cell r="D738">
            <v>5</v>
          </cell>
          <cell r="E738">
            <v>0</v>
          </cell>
        </row>
        <row r="739">
          <cell r="A739" t="str">
            <v>MED</v>
          </cell>
          <cell r="B739" t="str">
            <v>202320</v>
          </cell>
          <cell r="C739">
            <v>93</v>
          </cell>
          <cell r="D739">
            <v>4</v>
          </cell>
          <cell r="E739">
            <v>0</v>
          </cell>
        </row>
        <row r="740">
          <cell r="A740" t="str">
            <v>MIP</v>
          </cell>
          <cell r="B740" t="str">
            <v>200520</v>
          </cell>
          <cell r="C740">
            <v>95</v>
          </cell>
          <cell r="D740">
            <v>51</v>
          </cell>
          <cell r="E740">
            <v>44</v>
          </cell>
        </row>
        <row r="741">
          <cell r="A741" t="str">
            <v>MIP</v>
          </cell>
          <cell r="B741" t="str">
            <v>200610</v>
          </cell>
          <cell r="C741">
            <v>44</v>
          </cell>
          <cell r="D741">
            <v>20</v>
          </cell>
          <cell r="E741">
            <v>24</v>
          </cell>
        </row>
        <row r="742">
          <cell r="A742" t="str">
            <v>MIP</v>
          </cell>
          <cell r="B742" t="str">
            <v>200620</v>
          </cell>
          <cell r="C742">
            <v>140</v>
          </cell>
          <cell r="D742">
            <v>61</v>
          </cell>
          <cell r="E742">
            <v>79</v>
          </cell>
        </row>
        <row r="743">
          <cell r="A743" t="str">
            <v>MIP</v>
          </cell>
          <cell r="B743" t="str">
            <v>200710</v>
          </cell>
          <cell r="C743">
            <v>62</v>
          </cell>
          <cell r="D743">
            <v>19</v>
          </cell>
          <cell r="E743">
            <v>43</v>
          </cell>
        </row>
        <row r="744">
          <cell r="A744" t="str">
            <v>MIP</v>
          </cell>
          <cell r="B744" t="str">
            <v>200720</v>
          </cell>
          <cell r="C744">
            <v>125</v>
          </cell>
          <cell r="D744">
            <v>47</v>
          </cell>
          <cell r="E744">
            <v>78</v>
          </cell>
        </row>
        <row r="745">
          <cell r="A745" t="str">
            <v>MIP</v>
          </cell>
          <cell r="B745" t="str">
            <v>200810</v>
          </cell>
          <cell r="C745">
            <v>67</v>
          </cell>
          <cell r="D745">
            <v>36</v>
          </cell>
          <cell r="E745">
            <v>31</v>
          </cell>
        </row>
        <row r="746">
          <cell r="A746" t="str">
            <v>MIP</v>
          </cell>
          <cell r="B746" t="str">
            <v>200820</v>
          </cell>
          <cell r="C746">
            <v>112</v>
          </cell>
          <cell r="D746">
            <v>39</v>
          </cell>
          <cell r="E746">
            <v>73</v>
          </cell>
        </row>
        <row r="747">
          <cell r="A747" t="str">
            <v>MIP</v>
          </cell>
          <cell r="B747" t="str">
            <v>200910</v>
          </cell>
          <cell r="C747">
            <v>52</v>
          </cell>
          <cell r="D747">
            <v>20</v>
          </cell>
          <cell r="E747">
            <v>31</v>
          </cell>
        </row>
        <row r="748">
          <cell r="A748" t="str">
            <v>MIP</v>
          </cell>
          <cell r="B748" t="str">
            <v>200920</v>
          </cell>
          <cell r="C748">
            <v>107</v>
          </cell>
          <cell r="D748">
            <v>31</v>
          </cell>
          <cell r="E748">
            <v>76</v>
          </cell>
        </row>
        <row r="749">
          <cell r="A749" t="str">
            <v>MIP</v>
          </cell>
          <cell r="B749" t="str">
            <v>201010</v>
          </cell>
          <cell r="C749">
            <v>56</v>
          </cell>
          <cell r="D749">
            <v>25</v>
          </cell>
          <cell r="E749">
            <v>31</v>
          </cell>
        </row>
        <row r="750">
          <cell r="A750" t="str">
            <v>MIP</v>
          </cell>
          <cell r="B750" t="str">
            <v>201020</v>
          </cell>
          <cell r="C750">
            <v>88</v>
          </cell>
          <cell r="D750">
            <v>28</v>
          </cell>
          <cell r="E750">
            <v>60</v>
          </cell>
        </row>
        <row r="751">
          <cell r="A751" t="str">
            <v>MIP</v>
          </cell>
          <cell r="B751" t="str">
            <v>201110</v>
          </cell>
          <cell r="C751">
            <v>64</v>
          </cell>
          <cell r="D751">
            <v>25</v>
          </cell>
          <cell r="E751">
            <v>39</v>
          </cell>
        </row>
        <row r="752">
          <cell r="A752" t="str">
            <v>MIP</v>
          </cell>
          <cell r="B752" t="str">
            <v>201120</v>
          </cell>
          <cell r="C752">
            <v>102</v>
          </cell>
          <cell r="D752">
            <v>31</v>
          </cell>
          <cell r="E752">
            <v>71</v>
          </cell>
        </row>
        <row r="753">
          <cell r="A753" t="str">
            <v>MIP</v>
          </cell>
          <cell r="B753" t="str">
            <v>201210</v>
          </cell>
          <cell r="C753">
            <v>57</v>
          </cell>
          <cell r="D753">
            <v>22</v>
          </cell>
          <cell r="E753">
            <v>35</v>
          </cell>
        </row>
        <row r="754">
          <cell r="A754" t="str">
            <v>MIP</v>
          </cell>
          <cell r="B754" t="str">
            <v>201220</v>
          </cell>
          <cell r="C754">
            <v>90</v>
          </cell>
          <cell r="D754">
            <v>29</v>
          </cell>
          <cell r="E754">
            <v>61</v>
          </cell>
        </row>
        <row r="755">
          <cell r="A755" t="str">
            <v>MIP</v>
          </cell>
          <cell r="B755" t="str">
            <v>201310</v>
          </cell>
          <cell r="C755">
            <v>51</v>
          </cell>
          <cell r="D755">
            <v>18</v>
          </cell>
          <cell r="E755">
            <v>33</v>
          </cell>
        </row>
        <row r="756">
          <cell r="A756" t="str">
            <v>MIP</v>
          </cell>
          <cell r="B756" t="str">
            <v>201320</v>
          </cell>
          <cell r="C756">
            <v>78</v>
          </cell>
          <cell r="D756">
            <v>31</v>
          </cell>
          <cell r="E756">
            <v>46</v>
          </cell>
        </row>
        <row r="757">
          <cell r="A757" t="str">
            <v>MIP</v>
          </cell>
          <cell r="B757" t="str">
            <v>201410</v>
          </cell>
          <cell r="C757">
            <v>56</v>
          </cell>
          <cell r="D757">
            <v>17</v>
          </cell>
          <cell r="E757">
            <v>39</v>
          </cell>
        </row>
        <row r="758">
          <cell r="A758" t="str">
            <v>MIP</v>
          </cell>
          <cell r="B758" t="str">
            <v>201420</v>
          </cell>
          <cell r="C758">
            <v>109</v>
          </cell>
          <cell r="D758">
            <v>46</v>
          </cell>
          <cell r="E758">
            <v>63</v>
          </cell>
        </row>
        <row r="759">
          <cell r="A759" t="str">
            <v>MIP</v>
          </cell>
          <cell r="B759" t="str">
            <v>201510</v>
          </cell>
          <cell r="C759">
            <v>65</v>
          </cell>
          <cell r="D759">
            <v>17</v>
          </cell>
          <cell r="E759">
            <v>48</v>
          </cell>
        </row>
        <row r="760">
          <cell r="A760" t="str">
            <v>MIP</v>
          </cell>
          <cell r="B760" t="str">
            <v>201520</v>
          </cell>
          <cell r="C760">
            <v>81</v>
          </cell>
          <cell r="D760">
            <v>23</v>
          </cell>
          <cell r="E760">
            <v>58</v>
          </cell>
        </row>
        <row r="761">
          <cell r="A761" t="str">
            <v>MIP</v>
          </cell>
          <cell r="B761" t="str">
            <v>201610</v>
          </cell>
          <cell r="C761">
            <v>73</v>
          </cell>
          <cell r="D761">
            <v>21</v>
          </cell>
          <cell r="E761">
            <v>52</v>
          </cell>
        </row>
        <row r="762">
          <cell r="A762" t="str">
            <v>MIP</v>
          </cell>
          <cell r="B762" t="str">
            <v>201620</v>
          </cell>
          <cell r="C762">
            <v>83</v>
          </cell>
          <cell r="D762">
            <v>14</v>
          </cell>
          <cell r="E762">
            <v>68</v>
          </cell>
        </row>
        <row r="763">
          <cell r="A763" t="str">
            <v>MIP</v>
          </cell>
          <cell r="B763" t="str">
            <v>201710</v>
          </cell>
          <cell r="C763">
            <v>46</v>
          </cell>
          <cell r="D763">
            <v>13</v>
          </cell>
          <cell r="E763">
            <v>31</v>
          </cell>
        </row>
        <row r="764">
          <cell r="A764" t="str">
            <v>MIP</v>
          </cell>
          <cell r="B764" t="str">
            <v>201720</v>
          </cell>
          <cell r="C764">
            <v>68</v>
          </cell>
          <cell r="D764">
            <v>15</v>
          </cell>
          <cell r="E764">
            <v>46</v>
          </cell>
        </row>
        <row r="765">
          <cell r="A765" t="str">
            <v>MIP</v>
          </cell>
          <cell r="B765" t="str">
            <v>201810</v>
          </cell>
          <cell r="C765">
            <v>53</v>
          </cell>
          <cell r="D765">
            <v>13</v>
          </cell>
          <cell r="E765">
            <v>36</v>
          </cell>
        </row>
        <row r="766">
          <cell r="A766" t="str">
            <v>MIP</v>
          </cell>
          <cell r="B766" t="str">
            <v>201820</v>
          </cell>
          <cell r="C766">
            <v>56</v>
          </cell>
          <cell r="D766">
            <v>12</v>
          </cell>
          <cell r="E766">
            <v>38</v>
          </cell>
        </row>
        <row r="767">
          <cell r="A767" t="str">
            <v>MIP</v>
          </cell>
          <cell r="B767" t="str">
            <v>201910</v>
          </cell>
          <cell r="C767">
            <v>54</v>
          </cell>
          <cell r="D767">
            <v>16</v>
          </cell>
          <cell r="E767">
            <v>22</v>
          </cell>
        </row>
        <row r="768">
          <cell r="A768" t="str">
            <v>MIP</v>
          </cell>
          <cell r="B768" t="str">
            <v>201920</v>
          </cell>
          <cell r="C768">
            <v>67</v>
          </cell>
          <cell r="D768">
            <v>18</v>
          </cell>
          <cell r="E768">
            <v>8</v>
          </cell>
        </row>
        <row r="769">
          <cell r="A769" t="str">
            <v>MIP</v>
          </cell>
          <cell r="B769" t="str">
            <v>202010</v>
          </cell>
          <cell r="C769">
            <v>54</v>
          </cell>
          <cell r="D769">
            <v>11</v>
          </cell>
          <cell r="E769">
            <v>9</v>
          </cell>
        </row>
        <row r="770">
          <cell r="A770" t="str">
            <v>MIP</v>
          </cell>
          <cell r="B770" t="str">
            <v>202020</v>
          </cell>
          <cell r="C770">
            <v>59</v>
          </cell>
          <cell r="D770">
            <v>8</v>
          </cell>
          <cell r="E770">
            <v>2</v>
          </cell>
        </row>
        <row r="771">
          <cell r="A771" t="str">
            <v>MIP</v>
          </cell>
          <cell r="B771" t="str">
            <v>202110</v>
          </cell>
          <cell r="C771">
            <v>47</v>
          </cell>
          <cell r="D771">
            <v>1</v>
          </cell>
          <cell r="E771">
            <v>5</v>
          </cell>
        </row>
        <row r="772">
          <cell r="A772" t="str">
            <v>MIP</v>
          </cell>
          <cell r="B772" t="str">
            <v>202120</v>
          </cell>
          <cell r="C772">
            <v>39</v>
          </cell>
          <cell r="D772">
            <v>6</v>
          </cell>
          <cell r="E772">
            <v>0</v>
          </cell>
        </row>
        <row r="773">
          <cell r="A773" t="str">
            <v>MIP</v>
          </cell>
          <cell r="B773" t="str">
            <v>202210</v>
          </cell>
          <cell r="C773">
            <v>102</v>
          </cell>
          <cell r="D773">
            <v>13</v>
          </cell>
          <cell r="E773">
            <v>1</v>
          </cell>
        </row>
        <row r="774">
          <cell r="A774" t="str">
            <v>MIP</v>
          </cell>
          <cell r="B774" t="str">
            <v>202220</v>
          </cell>
          <cell r="C774">
            <v>45</v>
          </cell>
          <cell r="D774">
            <v>8</v>
          </cell>
          <cell r="E774">
            <v>0</v>
          </cell>
        </row>
        <row r="775">
          <cell r="A775" t="str">
            <v>MIP</v>
          </cell>
          <cell r="B775" t="str">
            <v>202310</v>
          </cell>
          <cell r="C775">
            <v>58</v>
          </cell>
          <cell r="D775">
            <v>4</v>
          </cell>
          <cell r="E775">
            <v>0</v>
          </cell>
        </row>
        <row r="776">
          <cell r="A776" t="str">
            <v>MIP</v>
          </cell>
          <cell r="B776" t="str">
            <v>202320</v>
          </cell>
          <cell r="C776">
            <v>69</v>
          </cell>
          <cell r="D776">
            <v>4</v>
          </cell>
          <cell r="E776">
            <v>0</v>
          </cell>
        </row>
        <row r="777">
          <cell r="A777" t="str">
            <v>MUS</v>
          </cell>
          <cell r="B777" t="str">
            <v>201710</v>
          </cell>
          <cell r="C777">
            <v>38</v>
          </cell>
          <cell r="D777">
            <v>17</v>
          </cell>
          <cell r="E777">
            <v>19</v>
          </cell>
        </row>
        <row r="778">
          <cell r="A778" t="str">
            <v>MUS</v>
          </cell>
          <cell r="B778" t="str">
            <v>201720</v>
          </cell>
          <cell r="C778">
            <v>40</v>
          </cell>
          <cell r="D778">
            <v>14</v>
          </cell>
          <cell r="E778">
            <v>24</v>
          </cell>
        </row>
        <row r="779">
          <cell r="A779" t="str">
            <v>MUS</v>
          </cell>
          <cell r="B779" t="str">
            <v>201810</v>
          </cell>
          <cell r="C779">
            <v>26</v>
          </cell>
          <cell r="D779">
            <v>4</v>
          </cell>
          <cell r="E779">
            <v>14</v>
          </cell>
        </row>
        <row r="780">
          <cell r="A780" t="str">
            <v>MUS</v>
          </cell>
          <cell r="B780" t="str">
            <v>201820</v>
          </cell>
          <cell r="C780">
            <v>30</v>
          </cell>
          <cell r="D780">
            <v>13</v>
          </cell>
          <cell r="E780">
            <v>9</v>
          </cell>
        </row>
        <row r="781">
          <cell r="A781" t="str">
            <v>MUS</v>
          </cell>
          <cell r="B781" t="str">
            <v>201910</v>
          </cell>
          <cell r="C781">
            <v>27</v>
          </cell>
          <cell r="D781">
            <v>12</v>
          </cell>
          <cell r="E781">
            <v>3</v>
          </cell>
        </row>
        <row r="782">
          <cell r="A782" t="str">
            <v>MUS</v>
          </cell>
          <cell r="B782" t="str">
            <v>201920</v>
          </cell>
          <cell r="C782">
            <v>21</v>
          </cell>
          <cell r="D782">
            <v>4</v>
          </cell>
          <cell r="E782">
            <v>0</v>
          </cell>
        </row>
        <row r="783">
          <cell r="A783" t="str">
            <v>MUS</v>
          </cell>
          <cell r="B783" t="str">
            <v>202010</v>
          </cell>
          <cell r="C783">
            <v>32</v>
          </cell>
          <cell r="D783">
            <v>7</v>
          </cell>
          <cell r="E783">
            <v>0</v>
          </cell>
        </row>
        <row r="784">
          <cell r="A784" t="str">
            <v>MUS</v>
          </cell>
          <cell r="B784" t="str">
            <v>202020</v>
          </cell>
          <cell r="C784">
            <v>21</v>
          </cell>
          <cell r="D784">
            <v>4</v>
          </cell>
          <cell r="E784">
            <v>0</v>
          </cell>
        </row>
        <row r="785">
          <cell r="A785" t="str">
            <v>MUS</v>
          </cell>
          <cell r="B785" t="str">
            <v>202110</v>
          </cell>
          <cell r="C785">
            <v>25</v>
          </cell>
          <cell r="D785">
            <v>7</v>
          </cell>
          <cell r="E785">
            <v>0</v>
          </cell>
        </row>
        <row r="786">
          <cell r="A786" t="str">
            <v>MUS</v>
          </cell>
          <cell r="B786" t="str">
            <v>202120</v>
          </cell>
          <cell r="C786">
            <v>26</v>
          </cell>
          <cell r="D786">
            <v>12</v>
          </cell>
          <cell r="E786">
            <v>0</v>
          </cell>
        </row>
        <row r="787">
          <cell r="A787" t="str">
            <v>MUS</v>
          </cell>
          <cell r="B787" t="str">
            <v>202210</v>
          </cell>
          <cell r="C787">
            <v>43</v>
          </cell>
          <cell r="D787">
            <v>8</v>
          </cell>
          <cell r="E787">
            <v>0</v>
          </cell>
        </row>
        <row r="788">
          <cell r="A788" t="str">
            <v>MUS</v>
          </cell>
          <cell r="B788" t="str">
            <v>202220</v>
          </cell>
          <cell r="C788">
            <v>32</v>
          </cell>
          <cell r="D788">
            <v>7</v>
          </cell>
          <cell r="E788">
            <v>0</v>
          </cell>
        </row>
        <row r="789">
          <cell r="A789" t="str">
            <v>MUS</v>
          </cell>
          <cell r="B789" t="str">
            <v>202310</v>
          </cell>
          <cell r="C789">
            <v>49</v>
          </cell>
          <cell r="D789">
            <v>10</v>
          </cell>
          <cell r="E789">
            <v>0</v>
          </cell>
        </row>
        <row r="790">
          <cell r="A790" t="str">
            <v>MUS</v>
          </cell>
          <cell r="B790" t="str">
            <v>202320</v>
          </cell>
          <cell r="C790">
            <v>55</v>
          </cell>
          <cell r="D790">
            <v>5</v>
          </cell>
          <cell r="E790">
            <v>0</v>
          </cell>
        </row>
        <row r="791">
          <cell r="A791" t="str">
            <v>PSI</v>
          </cell>
          <cell r="B791" t="str">
            <v>200620</v>
          </cell>
          <cell r="C791">
            <v>15</v>
          </cell>
          <cell r="D791">
            <v>9</v>
          </cell>
          <cell r="E791">
            <v>6</v>
          </cell>
        </row>
        <row r="792">
          <cell r="A792" t="str">
            <v>PSI</v>
          </cell>
          <cell r="B792" t="str">
            <v>200710</v>
          </cell>
          <cell r="C792">
            <v>6</v>
          </cell>
          <cell r="D792">
            <v>1</v>
          </cell>
          <cell r="E792">
            <v>5</v>
          </cell>
        </row>
        <row r="793">
          <cell r="A793" t="str">
            <v>PSI</v>
          </cell>
          <cell r="B793" t="str">
            <v>200720</v>
          </cell>
          <cell r="C793">
            <v>15</v>
          </cell>
          <cell r="D793">
            <v>6</v>
          </cell>
          <cell r="E793">
            <v>9</v>
          </cell>
        </row>
        <row r="794">
          <cell r="A794" t="str">
            <v>PSI</v>
          </cell>
          <cell r="B794" t="str">
            <v>200810</v>
          </cell>
          <cell r="C794">
            <v>10</v>
          </cell>
          <cell r="D794">
            <v>3</v>
          </cell>
          <cell r="E794">
            <v>7</v>
          </cell>
        </row>
        <row r="795">
          <cell r="A795" t="str">
            <v>PSI</v>
          </cell>
          <cell r="B795" t="str">
            <v>200820</v>
          </cell>
          <cell r="C795">
            <v>11</v>
          </cell>
          <cell r="D795">
            <v>2</v>
          </cell>
          <cell r="E795">
            <v>9</v>
          </cell>
        </row>
        <row r="796">
          <cell r="A796" t="str">
            <v>PSI</v>
          </cell>
          <cell r="B796" t="str">
            <v>200910</v>
          </cell>
          <cell r="C796">
            <v>5</v>
          </cell>
          <cell r="D796">
            <v>1</v>
          </cell>
          <cell r="E796">
            <v>4</v>
          </cell>
        </row>
        <row r="797">
          <cell r="A797" t="str">
            <v>PSI</v>
          </cell>
          <cell r="B797" t="str">
            <v>200920</v>
          </cell>
          <cell r="C797">
            <v>15</v>
          </cell>
          <cell r="D797">
            <v>1</v>
          </cell>
          <cell r="E797">
            <v>14</v>
          </cell>
        </row>
        <row r="798">
          <cell r="A798" t="str">
            <v>PSI</v>
          </cell>
          <cell r="B798" t="str">
            <v>201010</v>
          </cell>
          <cell r="C798">
            <v>6</v>
          </cell>
          <cell r="D798">
            <v>1</v>
          </cell>
          <cell r="E798">
            <v>5</v>
          </cell>
        </row>
        <row r="799">
          <cell r="A799" t="str">
            <v>PSI</v>
          </cell>
          <cell r="B799" t="str">
            <v>201020</v>
          </cell>
          <cell r="C799">
            <v>9</v>
          </cell>
          <cell r="D799">
            <v>4</v>
          </cell>
          <cell r="E799">
            <v>5</v>
          </cell>
        </row>
        <row r="800">
          <cell r="A800" t="str">
            <v>PSI</v>
          </cell>
          <cell r="B800" t="str">
            <v>201110</v>
          </cell>
          <cell r="C800">
            <v>23</v>
          </cell>
          <cell r="D800">
            <v>8</v>
          </cell>
          <cell r="E800">
            <v>15</v>
          </cell>
        </row>
        <row r="801">
          <cell r="A801" t="str">
            <v>PSI</v>
          </cell>
          <cell r="B801" t="str">
            <v>201120</v>
          </cell>
          <cell r="C801">
            <v>21</v>
          </cell>
          <cell r="D801">
            <v>8</v>
          </cell>
          <cell r="E801">
            <v>13</v>
          </cell>
        </row>
        <row r="802">
          <cell r="A802" t="str">
            <v>PSI</v>
          </cell>
          <cell r="B802" t="str">
            <v>201210</v>
          </cell>
          <cell r="C802">
            <v>19</v>
          </cell>
          <cell r="D802">
            <v>6</v>
          </cell>
          <cell r="E802">
            <v>13</v>
          </cell>
        </row>
        <row r="803">
          <cell r="A803" t="str">
            <v>PSI</v>
          </cell>
          <cell r="B803" t="str">
            <v>201220</v>
          </cell>
          <cell r="C803">
            <v>28</v>
          </cell>
          <cell r="D803">
            <v>5</v>
          </cell>
          <cell r="E803">
            <v>23</v>
          </cell>
        </row>
        <row r="804">
          <cell r="A804" t="str">
            <v>PSI</v>
          </cell>
          <cell r="B804" t="str">
            <v>201310</v>
          </cell>
          <cell r="C804">
            <v>25</v>
          </cell>
          <cell r="D804">
            <v>7</v>
          </cell>
          <cell r="E804">
            <v>17</v>
          </cell>
        </row>
        <row r="805">
          <cell r="A805" t="str">
            <v>PSI</v>
          </cell>
          <cell r="B805" t="str">
            <v>201320</v>
          </cell>
          <cell r="C805">
            <v>20</v>
          </cell>
          <cell r="D805">
            <v>7</v>
          </cell>
          <cell r="E805">
            <v>13</v>
          </cell>
        </row>
        <row r="806">
          <cell r="A806" t="str">
            <v>PSI</v>
          </cell>
          <cell r="B806" t="str">
            <v>201410</v>
          </cell>
          <cell r="C806">
            <v>32</v>
          </cell>
          <cell r="D806">
            <v>12</v>
          </cell>
          <cell r="E806">
            <v>20</v>
          </cell>
        </row>
        <row r="807">
          <cell r="A807" t="str">
            <v>PSI</v>
          </cell>
          <cell r="B807" t="str">
            <v>201420</v>
          </cell>
          <cell r="C807">
            <v>27</v>
          </cell>
          <cell r="D807">
            <v>5</v>
          </cell>
          <cell r="E807">
            <v>21</v>
          </cell>
        </row>
        <row r="808">
          <cell r="A808" t="str">
            <v>PSI</v>
          </cell>
          <cell r="B808" t="str">
            <v>201510</v>
          </cell>
          <cell r="C808">
            <v>86</v>
          </cell>
          <cell r="D808">
            <v>16</v>
          </cell>
          <cell r="E808">
            <v>70</v>
          </cell>
        </row>
        <row r="809">
          <cell r="A809" t="str">
            <v>PSI</v>
          </cell>
          <cell r="B809" t="str">
            <v>201520</v>
          </cell>
          <cell r="C809">
            <v>31</v>
          </cell>
          <cell r="D809">
            <v>14</v>
          </cell>
          <cell r="E809">
            <v>17</v>
          </cell>
        </row>
        <row r="810">
          <cell r="A810" t="str">
            <v>PSI</v>
          </cell>
          <cell r="B810" t="str">
            <v>201610</v>
          </cell>
          <cell r="C810">
            <v>67</v>
          </cell>
          <cell r="D810">
            <v>17</v>
          </cell>
          <cell r="E810">
            <v>47</v>
          </cell>
        </row>
        <row r="811">
          <cell r="A811" t="str">
            <v>PSI</v>
          </cell>
          <cell r="B811" t="str">
            <v>201620</v>
          </cell>
          <cell r="C811">
            <v>25</v>
          </cell>
          <cell r="D811">
            <v>8</v>
          </cell>
          <cell r="E811">
            <v>15</v>
          </cell>
        </row>
        <row r="812">
          <cell r="A812" t="str">
            <v>PSI</v>
          </cell>
          <cell r="B812" t="str">
            <v>201710</v>
          </cell>
          <cell r="C812">
            <v>44</v>
          </cell>
          <cell r="D812">
            <v>14</v>
          </cell>
          <cell r="E812">
            <v>27</v>
          </cell>
        </row>
        <row r="813">
          <cell r="A813" t="str">
            <v>PSI</v>
          </cell>
          <cell r="B813" t="str">
            <v>201720</v>
          </cell>
          <cell r="C813">
            <v>25</v>
          </cell>
          <cell r="D813">
            <v>8</v>
          </cell>
          <cell r="E813">
            <v>17</v>
          </cell>
        </row>
        <row r="814">
          <cell r="A814" t="str">
            <v>PSI</v>
          </cell>
          <cell r="B814" t="str">
            <v>201810</v>
          </cell>
          <cell r="C814">
            <v>37</v>
          </cell>
          <cell r="D814">
            <v>8</v>
          </cell>
          <cell r="E814">
            <v>26</v>
          </cell>
        </row>
        <row r="815">
          <cell r="A815" t="str">
            <v>PSI</v>
          </cell>
          <cell r="B815" t="str">
            <v>201820</v>
          </cell>
          <cell r="C815">
            <v>33</v>
          </cell>
          <cell r="D815">
            <v>10</v>
          </cell>
          <cell r="E815">
            <v>17</v>
          </cell>
        </row>
        <row r="816">
          <cell r="A816" t="str">
            <v>PSI</v>
          </cell>
          <cell r="B816" t="str">
            <v>201910</v>
          </cell>
          <cell r="C816">
            <v>19</v>
          </cell>
          <cell r="D816">
            <v>3</v>
          </cell>
          <cell r="E816">
            <v>11</v>
          </cell>
        </row>
        <row r="817">
          <cell r="A817" t="str">
            <v>PSI</v>
          </cell>
          <cell r="B817" t="str">
            <v>201920</v>
          </cell>
          <cell r="C817">
            <v>21</v>
          </cell>
          <cell r="D817">
            <v>4</v>
          </cell>
          <cell r="E817">
            <v>1</v>
          </cell>
        </row>
        <row r="818">
          <cell r="A818" t="str">
            <v>PSI</v>
          </cell>
          <cell r="B818" t="str">
            <v>202010</v>
          </cell>
          <cell r="C818">
            <v>36</v>
          </cell>
          <cell r="D818">
            <v>9</v>
          </cell>
          <cell r="E818">
            <v>0</v>
          </cell>
        </row>
        <row r="819">
          <cell r="A819" t="str">
            <v>PSI</v>
          </cell>
          <cell r="B819" t="str">
            <v>202020</v>
          </cell>
          <cell r="C819">
            <v>15</v>
          </cell>
          <cell r="D819">
            <v>3</v>
          </cell>
          <cell r="E819">
            <v>0</v>
          </cell>
        </row>
        <row r="820">
          <cell r="A820" t="str">
            <v>PSI</v>
          </cell>
          <cell r="B820" t="str">
            <v>202110</v>
          </cell>
          <cell r="C820">
            <v>18</v>
          </cell>
          <cell r="D820">
            <v>5</v>
          </cell>
          <cell r="E820">
            <v>0</v>
          </cell>
        </row>
        <row r="821">
          <cell r="A821" t="str">
            <v>PSI</v>
          </cell>
          <cell r="B821" t="str">
            <v>202120</v>
          </cell>
          <cell r="C821">
            <v>16</v>
          </cell>
          <cell r="D821">
            <v>3</v>
          </cell>
          <cell r="E821">
            <v>0</v>
          </cell>
        </row>
        <row r="822">
          <cell r="A822" t="str">
            <v>PSI</v>
          </cell>
          <cell r="B822" t="str">
            <v>202210</v>
          </cell>
          <cell r="C822">
            <v>36</v>
          </cell>
          <cell r="D822">
            <v>3</v>
          </cell>
          <cell r="E822">
            <v>0</v>
          </cell>
        </row>
        <row r="823">
          <cell r="A823" t="str">
            <v>PSI</v>
          </cell>
          <cell r="B823" t="str">
            <v>202220</v>
          </cell>
          <cell r="C823">
            <v>26</v>
          </cell>
          <cell r="D823">
            <v>5</v>
          </cell>
          <cell r="E823">
            <v>0</v>
          </cell>
        </row>
        <row r="824">
          <cell r="A824" t="str">
            <v>PSI</v>
          </cell>
          <cell r="B824" t="str">
            <v>202310</v>
          </cell>
          <cell r="C824">
            <v>32</v>
          </cell>
          <cell r="D824">
            <v>6</v>
          </cell>
          <cell r="E824">
            <v>0</v>
          </cell>
        </row>
        <row r="825">
          <cell r="A825" t="str">
            <v>PSI</v>
          </cell>
          <cell r="B825" t="str">
            <v>202320</v>
          </cell>
          <cell r="C825">
            <v>27</v>
          </cell>
          <cell r="D825">
            <v>5</v>
          </cell>
          <cell r="E825">
            <v>0</v>
          </cell>
        </row>
        <row r="826">
          <cell r="A826" t="str">
            <v>QUF</v>
          </cell>
          <cell r="B826" t="str">
            <v>200820</v>
          </cell>
          <cell r="C826">
            <v>48</v>
          </cell>
          <cell r="D826">
            <v>14</v>
          </cell>
          <cell r="E826">
            <v>34</v>
          </cell>
        </row>
        <row r="827">
          <cell r="A827" t="str">
            <v>QUF</v>
          </cell>
          <cell r="B827" t="str">
            <v>200910</v>
          </cell>
          <cell r="C827">
            <v>37</v>
          </cell>
          <cell r="D827">
            <v>16</v>
          </cell>
          <cell r="E827">
            <v>21</v>
          </cell>
        </row>
        <row r="828">
          <cell r="A828" t="str">
            <v>QUF</v>
          </cell>
          <cell r="B828" t="str">
            <v>200920</v>
          </cell>
          <cell r="C828">
            <v>34</v>
          </cell>
          <cell r="D828">
            <v>17</v>
          </cell>
          <cell r="E828">
            <v>17</v>
          </cell>
        </row>
        <row r="829">
          <cell r="A829" t="str">
            <v>QUF</v>
          </cell>
          <cell r="B829" t="str">
            <v>201010</v>
          </cell>
          <cell r="C829">
            <v>29</v>
          </cell>
          <cell r="D829">
            <v>10</v>
          </cell>
          <cell r="E829">
            <v>19</v>
          </cell>
        </row>
        <row r="830">
          <cell r="A830" t="str">
            <v>QUF</v>
          </cell>
          <cell r="B830" t="str">
            <v>201020</v>
          </cell>
          <cell r="C830">
            <v>40</v>
          </cell>
          <cell r="D830">
            <v>17</v>
          </cell>
          <cell r="E830">
            <v>23</v>
          </cell>
        </row>
        <row r="831">
          <cell r="A831" t="str">
            <v>QUF</v>
          </cell>
          <cell r="B831" t="str">
            <v>201110</v>
          </cell>
          <cell r="C831">
            <v>38</v>
          </cell>
          <cell r="D831">
            <v>22</v>
          </cell>
          <cell r="E831">
            <v>16</v>
          </cell>
        </row>
        <row r="832">
          <cell r="A832" t="str">
            <v>QUF</v>
          </cell>
          <cell r="B832" t="str">
            <v>201120</v>
          </cell>
          <cell r="C832">
            <v>44</v>
          </cell>
          <cell r="D832">
            <v>14</v>
          </cell>
          <cell r="E832">
            <v>30</v>
          </cell>
        </row>
        <row r="833">
          <cell r="A833" t="str">
            <v>QUF</v>
          </cell>
          <cell r="B833" t="str">
            <v>201210</v>
          </cell>
          <cell r="C833">
            <v>29</v>
          </cell>
          <cell r="D833">
            <v>12</v>
          </cell>
          <cell r="E833">
            <v>17</v>
          </cell>
        </row>
        <row r="834">
          <cell r="A834" t="str">
            <v>QUF</v>
          </cell>
          <cell r="B834" t="str">
            <v>201220</v>
          </cell>
          <cell r="C834">
            <v>55</v>
          </cell>
          <cell r="D834">
            <v>37</v>
          </cell>
          <cell r="E834">
            <v>18</v>
          </cell>
        </row>
        <row r="835">
          <cell r="A835" t="str">
            <v>QUF</v>
          </cell>
          <cell r="B835" t="str">
            <v>201310</v>
          </cell>
          <cell r="C835">
            <v>42</v>
          </cell>
          <cell r="D835">
            <v>23</v>
          </cell>
          <cell r="E835">
            <v>19</v>
          </cell>
        </row>
        <row r="836">
          <cell r="A836" t="str">
            <v>QUF</v>
          </cell>
          <cell r="B836" t="str">
            <v>201320</v>
          </cell>
          <cell r="C836">
            <v>44</v>
          </cell>
          <cell r="D836">
            <v>22</v>
          </cell>
          <cell r="E836">
            <v>22</v>
          </cell>
        </row>
        <row r="837">
          <cell r="A837" t="str">
            <v>QUF</v>
          </cell>
          <cell r="B837" t="str">
            <v>201410</v>
          </cell>
          <cell r="C837">
            <v>45</v>
          </cell>
          <cell r="D837">
            <v>21</v>
          </cell>
          <cell r="E837">
            <v>24</v>
          </cell>
        </row>
        <row r="838">
          <cell r="A838" t="str">
            <v>QUF</v>
          </cell>
          <cell r="B838" t="str">
            <v>201420</v>
          </cell>
          <cell r="C838">
            <v>71</v>
          </cell>
          <cell r="D838">
            <v>38</v>
          </cell>
          <cell r="E838">
            <v>33</v>
          </cell>
        </row>
        <row r="839">
          <cell r="A839" t="str">
            <v>QUF</v>
          </cell>
          <cell r="B839" t="str">
            <v>201510</v>
          </cell>
          <cell r="C839">
            <v>68</v>
          </cell>
          <cell r="D839">
            <v>22</v>
          </cell>
          <cell r="E839">
            <v>46</v>
          </cell>
        </row>
        <row r="840">
          <cell r="A840" t="str">
            <v>QUF</v>
          </cell>
          <cell r="B840" t="str">
            <v>201520</v>
          </cell>
          <cell r="C840">
            <v>38</v>
          </cell>
          <cell r="D840">
            <v>12</v>
          </cell>
          <cell r="E840">
            <v>26</v>
          </cell>
        </row>
        <row r="841">
          <cell r="A841" t="str">
            <v>QUF</v>
          </cell>
          <cell r="B841" t="str">
            <v>201610</v>
          </cell>
          <cell r="C841">
            <v>56</v>
          </cell>
          <cell r="D841">
            <v>19</v>
          </cell>
          <cell r="E841">
            <v>37</v>
          </cell>
        </row>
        <row r="842">
          <cell r="A842" t="str">
            <v>QUF</v>
          </cell>
          <cell r="B842" t="str">
            <v>201620</v>
          </cell>
          <cell r="C842">
            <v>48</v>
          </cell>
          <cell r="D842">
            <v>19</v>
          </cell>
          <cell r="E842">
            <v>29</v>
          </cell>
        </row>
        <row r="843">
          <cell r="A843" t="str">
            <v>QUF</v>
          </cell>
          <cell r="B843" t="str">
            <v>201710</v>
          </cell>
          <cell r="C843">
            <v>73</v>
          </cell>
          <cell r="D843">
            <v>23</v>
          </cell>
          <cell r="E843">
            <v>49</v>
          </cell>
        </row>
        <row r="844">
          <cell r="A844" t="str">
            <v>QUF</v>
          </cell>
          <cell r="B844" t="str">
            <v>201720</v>
          </cell>
          <cell r="C844">
            <v>49</v>
          </cell>
          <cell r="D844">
            <v>15</v>
          </cell>
          <cell r="E844">
            <v>33</v>
          </cell>
        </row>
        <row r="845">
          <cell r="A845" t="str">
            <v>QUF</v>
          </cell>
          <cell r="B845" t="str">
            <v>201810</v>
          </cell>
          <cell r="C845">
            <v>61</v>
          </cell>
          <cell r="D845">
            <v>15</v>
          </cell>
          <cell r="E845">
            <v>45</v>
          </cell>
        </row>
        <row r="846">
          <cell r="A846" t="str">
            <v>QUF</v>
          </cell>
          <cell r="B846" t="str">
            <v>201820</v>
          </cell>
          <cell r="C846">
            <v>39</v>
          </cell>
          <cell r="D846">
            <v>13</v>
          </cell>
          <cell r="E846">
            <v>19</v>
          </cell>
        </row>
        <row r="847">
          <cell r="A847" t="str">
            <v>QUF</v>
          </cell>
          <cell r="B847" t="str">
            <v>201910</v>
          </cell>
          <cell r="C847">
            <v>40</v>
          </cell>
          <cell r="D847">
            <v>8</v>
          </cell>
          <cell r="E847">
            <v>29</v>
          </cell>
        </row>
        <row r="848">
          <cell r="A848" t="str">
            <v>QUF</v>
          </cell>
          <cell r="B848" t="str">
            <v>201920</v>
          </cell>
          <cell r="C848">
            <v>44</v>
          </cell>
          <cell r="D848">
            <v>8</v>
          </cell>
          <cell r="E848">
            <v>1</v>
          </cell>
        </row>
        <row r="849">
          <cell r="A849" t="str">
            <v>QUF</v>
          </cell>
          <cell r="B849" t="str">
            <v>202010</v>
          </cell>
          <cell r="C849">
            <v>40</v>
          </cell>
          <cell r="D849">
            <v>6</v>
          </cell>
          <cell r="E849">
            <v>0</v>
          </cell>
        </row>
        <row r="850">
          <cell r="A850" t="str">
            <v>QUF</v>
          </cell>
          <cell r="B850" t="str">
            <v>202020</v>
          </cell>
          <cell r="C850">
            <v>47</v>
          </cell>
          <cell r="D850">
            <v>8</v>
          </cell>
          <cell r="E850">
            <v>0</v>
          </cell>
        </row>
        <row r="851">
          <cell r="A851" t="str">
            <v>QUF</v>
          </cell>
          <cell r="B851" t="str">
            <v>202110</v>
          </cell>
          <cell r="C851">
            <v>51</v>
          </cell>
          <cell r="D851">
            <v>5</v>
          </cell>
          <cell r="E851">
            <v>0</v>
          </cell>
        </row>
        <row r="852">
          <cell r="A852" t="str">
            <v>QUF</v>
          </cell>
          <cell r="B852" t="str">
            <v>202120</v>
          </cell>
          <cell r="C852">
            <v>40</v>
          </cell>
          <cell r="D852">
            <v>5</v>
          </cell>
          <cell r="E852">
            <v>0</v>
          </cell>
        </row>
        <row r="853">
          <cell r="A853" t="str">
            <v>QUF</v>
          </cell>
          <cell r="B853" t="str">
            <v>202210</v>
          </cell>
          <cell r="C853">
            <v>64</v>
          </cell>
          <cell r="D853">
            <v>16</v>
          </cell>
          <cell r="E853">
            <v>0</v>
          </cell>
        </row>
        <row r="854">
          <cell r="A854" t="str">
            <v>QUF</v>
          </cell>
          <cell r="B854" t="str">
            <v>202220</v>
          </cell>
          <cell r="C854">
            <v>46</v>
          </cell>
          <cell r="D854">
            <v>9</v>
          </cell>
          <cell r="E854">
            <v>0</v>
          </cell>
        </row>
        <row r="855">
          <cell r="A855" t="str">
            <v>QUF</v>
          </cell>
          <cell r="B855" t="str">
            <v>202310</v>
          </cell>
          <cell r="C855">
            <v>48</v>
          </cell>
          <cell r="D855">
            <v>7</v>
          </cell>
          <cell r="E855">
            <v>0</v>
          </cell>
        </row>
        <row r="856">
          <cell r="A856" t="str">
            <v>QUF</v>
          </cell>
          <cell r="B856" t="str">
            <v>202320</v>
          </cell>
          <cell r="C856">
            <v>60</v>
          </cell>
          <cell r="D856">
            <v>1</v>
          </cell>
          <cell r="E856">
            <v>0</v>
          </cell>
        </row>
        <row r="857">
          <cell r="A857" t="str">
            <v>QUI</v>
          </cell>
          <cell r="B857" t="str">
            <v>200820</v>
          </cell>
          <cell r="C857">
            <v>7</v>
          </cell>
          <cell r="D857">
            <v>5</v>
          </cell>
          <cell r="E857">
            <v>2</v>
          </cell>
        </row>
        <row r="858">
          <cell r="A858" t="str">
            <v>QUI</v>
          </cell>
          <cell r="B858" t="str">
            <v>200910</v>
          </cell>
          <cell r="C858">
            <v>6</v>
          </cell>
          <cell r="D858">
            <v>4</v>
          </cell>
          <cell r="E858">
            <v>2</v>
          </cell>
        </row>
        <row r="859">
          <cell r="A859" t="str">
            <v>QUI</v>
          </cell>
          <cell r="B859" t="str">
            <v>200920</v>
          </cell>
          <cell r="C859">
            <v>4</v>
          </cell>
          <cell r="D859">
            <v>1</v>
          </cell>
          <cell r="E859">
            <v>3</v>
          </cell>
        </row>
        <row r="860">
          <cell r="A860" t="str">
            <v>QUI</v>
          </cell>
          <cell r="B860" t="str">
            <v>201010</v>
          </cell>
          <cell r="C860">
            <v>1</v>
          </cell>
          <cell r="D860">
            <v>0</v>
          </cell>
          <cell r="E860">
            <v>1</v>
          </cell>
        </row>
        <row r="861">
          <cell r="A861" t="str">
            <v>QUI</v>
          </cell>
          <cell r="B861" t="str">
            <v>201020</v>
          </cell>
          <cell r="C861">
            <v>4</v>
          </cell>
          <cell r="D861">
            <v>1</v>
          </cell>
          <cell r="E861">
            <v>3</v>
          </cell>
        </row>
        <row r="862">
          <cell r="A862" t="str">
            <v>QUI</v>
          </cell>
          <cell r="B862" t="str">
            <v>201110</v>
          </cell>
          <cell r="C862">
            <v>5</v>
          </cell>
          <cell r="D862">
            <v>4</v>
          </cell>
          <cell r="E862">
            <v>1</v>
          </cell>
        </row>
        <row r="863">
          <cell r="A863" t="str">
            <v>QUI</v>
          </cell>
          <cell r="B863" t="str">
            <v>201120</v>
          </cell>
          <cell r="C863">
            <v>10</v>
          </cell>
          <cell r="D863">
            <v>9</v>
          </cell>
          <cell r="E863">
            <v>1</v>
          </cell>
        </row>
        <row r="864">
          <cell r="A864" t="str">
            <v>QUI</v>
          </cell>
          <cell r="B864" t="str">
            <v>201210</v>
          </cell>
          <cell r="C864">
            <v>16</v>
          </cell>
          <cell r="D864">
            <v>13</v>
          </cell>
          <cell r="E864">
            <v>3</v>
          </cell>
        </row>
        <row r="865">
          <cell r="A865" t="str">
            <v>QUI</v>
          </cell>
          <cell r="B865" t="str">
            <v>201220</v>
          </cell>
          <cell r="C865">
            <v>14</v>
          </cell>
          <cell r="D865">
            <v>7</v>
          </cell>
          <cell r="E865">
            <v>7</v>
          </cell>
        </row>
        <row r="866">
          <cell r="A866" t="str">
            <v>QUI</v>
          </cell>
          <cell r="B866" t="str">
            <v>201310</v>
          </cell>
          <cell r="C866">
            <v>9</v>
          </cell>
          <cell r="D866">
            <v>5</v>
          </cell>
          <cell r="E866">
            <v>4</v>
          </cell>
        </row>
        <row r="867">
          <cell r="A867" t="str">
            <v>QUI</v>
          </cell>
          <cell r="B867" t="str">
            <v>201320</v>
          </cell>
          <cell r="C867">
            <v>20</v>
          </cell>
          <cell r="D867">
            <v>13</v>
          </cell>
          <cell r="E867">
            <v>7</v>
          </cell>
        </row>
        <row r="868">
          <cell r="A868" t="str">
            <v>QUI</v>
          </cell>
          <cell r="B868" t="str">
            <v>201410</v>
          </cell>
          <cell r="C868">
            <v>6</v>
          </cell>
          <cell r="D868">
            <v>4</v>
          </cell>
          <cell r="E868">
            <v>2</v>
          </cell>
        </row>
        <row r="869">
          <cell r="A869" t="str">
            <v>QUI</v>
          </cell>
          <cell r="B869" t="str">
            <v>201420</v>
          </cell>
          <cell r="C869">
            <v>17</v>
          </cell>
          <cell r="D869">
            <v>10</v>
          </cell>
          <cell r="E869">
            <v>7</v>
          </cell>
        </row>
        <row r="870">
          <cell r="A870" t="str">
            <v>QUI</v>
          </cell>
          <cell r="B870" t="str">
            <v>201510</v>
          </cell>
          <cell r="C870">
            <v>29</v>
          </cell>
          <cell r="D870">
            <v>10</v>
          </cell>
          <cell r="E870">
            <v>19</v>
          </cell>
        </row>
        <row r="871">
          <cell r="A871" t="str">
            <v>QUI</v>
          </cell>
          <cell r="B871" t="str">
            <v>201520</v>
          </cell>
          <cell r="C871">
            <v>5</v>
          </cell>
          <cell r="D871">
            <v>4</v>
          </cell>
          <cell r="E871">
            <v>1</v>
          </cell>
        </row>
        <row r="872">
          <cell r="A872" t="str">
            <v>QUI</v>
          </cell>
          <cell r="B872" t="str">
            <v>201610</v>
          </cell>
          <cell r="C872">
            <v>19</v>
          </cell>
          <cell r="D872">
            <v>7</v>
          </cell>
          <cell r="E872">
            <v>11</v>
          </cell>
        </row>
        <row r="873">
          <cell r="A873" t="str">
            <v>QUI</v>
          </cell>
          <cell r="B873" t="str">
            <v>201620</v>
          </cell>
          <cell r="C873">
            <v>12</v>
          </cell>
          <cell r="D873">
            <v>5</v>
          </cell>
          <cell r="E873">
            <v>7</v>
          </cell>
        </row>
        <row r="874">
          <cell r="A874" t="str">
            <v>QUI</v>
          </cell>
          <cell r="B874" t="str">
            <v>201710</v>
          </cell>
          <cell r="C874">
            <v>18</v>
          </cell>
          <cell r="D874">
            <v>5</v>
          </cell>
          <cell r="E874">
            <v>12</v>
          </cell>
        </row>
        <row r="875">
          <cell r="A875" t="str">
            <v>QUI</v>
          </cell>
          <cell r="B875" t="str">
            <v>201720</v>
          </cell>
          <cell r="C875">
            <v>8</v>
          </cell>
          <cell r="D875">
            <v>1</v>
          </cell>
          <cell r="E875">
            <v>6</v>
          </cell>
        </row>
        <row r="876">
          <cell r="A876" t="str">
            <v>QUI</v>
          </cell>
          <cell r="B876" t="str">
            <v>201810</v>
          </cell>
          <cell r="C876">
            <v>12</v>
          </cell>
          <cell r="D876">
            <v>2</v>
          </cell>
          <cell r="E876">
            <v>8</v>
          </cell>
        </row>
        <row r="877">
          <cell r="A877" t="str">
            <v>QUI</v>
          </cell>
          <cell r="B877" t="str">
            <v>201820</v>
          </cell>
          <cell r="C877">
            <v>8</v>
          </cell>
          <cell r="D877">
            <v>2</v>
          </cell>
          <cell r="E877">
            <v>4</v>
          </cell>
        </row>
        <row r="878">
          <cell r="A878" t="str">
            <v>QUI</v>
          </cell>
          <cell r="B878" t="str">
            <v>201910</v>
          </cell>
          <cell r="C878">
            <v>6</v>
          </cell>
          <cell r="D878">
            <v>1</v>
          </cell>
          <cell r="E878">
            <v>4</v>
          </cell>
        </row>
        <row r="879">
          <cell r="A879" t="str">
            <v>QUI</v>
          </cell>
          <cell r="B879" t="str">
            <v>201920</v>
          </cell>
          <cell r="C879">
            <v>3</v>
          </cell>
          <cell r="D879">
            <v>3</v>
          </cell>
          <cell r="E879">
            <v>0</v>
          </cell>
        </row>
        <row r="880">
          <cell r="A880" t="str">
            <v>QUI</v>
          </cell>
          <cell r="B880" t="str">
            <v>202010</v>
          </cell>
          <cell r="C880">
            <v>15</v>
          </cell>
          <cell r="D880">
            <v>6</v>
          </cell>
          <cell r="E880">
            <v>0</v>
          </cell>
        </row>
        <row r="881">
          <cell r="A881" t="str">
            <v>QUI</v>
          </cell>
          <cell r="B881" t="str">
            <v>202020</v>
          </cell>
          <cell r="C881">
            <v>7</v>
          </cell>
          <cell r="D881">
            <v>1</v>
          </cell>
          <cell r="E881">
            <v>0</v>
          </cell>
        </row>
        <row r="882">
          <cell r="A882" t="str">
            <v>QUI</v>
          </cell>
          <cell r="B882" t="str">
            <v>202110</v>
          </cell>
          <cell r="C882">
            <v>9</v>
          </cell>
          <cell r="D882">
            <v>3</v>
          </cell>
          <cell r="E882">
            <v>0</v>
          </cell>
        </row>
        <row r="883">
          <cell r="A883" t="str">
            <v>QUI</v>
          </cell>
          <cell r="B883" t="str">
            <v>202120</v>
          </cell>
          <cell r="C883">
            <v>8</v>
          </cell>
          <cell r="D883">
            <v>4</v>
          </cell>
          <cell r="E883">
            <v>0</v>
          </cell>
        </row>
        <row r="884">
          <cell r="A884" t="str">
            <v>QUI</v>
          </cell>
          <cell r="B884" t="str">
            <v>202210</v>
          </cell>
          <cell r="C884">
            <v>13</v>
          </cell>
          <cell r="D884">
            <v>2</v>
          </cell>
          <cell r="E884">
            <v>0</v>
          </cell>
        </row>
        <row r="885">
          <cell r="A885" t="str">
            <v>QUI</v>
          </cell>
          <cell r="B885" t="str">
            <v>202220</v>
          </cell>
          <cell r="C885">
            <v>3</v>
          </cell>
          <cell r="D885">
            <v>0</v>
          </cell>
          <cell r="E885">
            <v>0</v>
          </cell>
        </row>
        <row r="886">
          <cell r="A886" t="str">
            <v>QUI</v>
          </cell>
          <cell r="B886" t="str">
            <v>202310</v>
          </cell>
          <cell r="C886">
            <v>10</v>
          </cell>
          <cell r="D886">
            <v>6</v>
          </cell>
          <cell r="E886">
            <v>0</v>
          </cell>
        </row>
        <row r="887">
          <cell r="A887" t="str">
            <v>QUI</v>
          </cell>
          <cell r="B887" t="str">
            <v>202320</v>
          </cell>
          <cell r="C887">
            <v>9</v>
          </cell>
          <cell r="D887">
            <v>0</v>
          </cell>
          <cell r="E887">
            <v>0</v>
          </cell>
        </row>
        <row r="888">
          <cell r="A888" t="str">
            <v>SIS</v>
          </cell>
          <cell r="B888" t="str">
            <v>198410</v>
          </cell>
          <cell r="C888">
            <v>52</v>
          </cell>
          <cell r="D888">
            <v>30</v>
          </cell>
          <cell r="E888">
            <v>22</v>
          </cell>
        </row>
        <row r="889">
          <cell r="A889" t="str">
            <v>SIS</v>
          </cell>
          <cell r="B889" t="str">
            <v>198420</v>
          </cell>
          <cell r="C889">
            <v>92</v>
          </cell>
          <cell r="D889">
            <v>48</v>
          </cell>
          <cell r="E889">
            <v>44</v>
          </cell>
        </row>
        <row r="890">
          <cell r="A890" t="str">
            <v>SIS</v>
          </cell>
          <cell r="B890" t="str">
            <v>198510</v>
          </cell>
          <cell r="C890">
            <v>81</v>
          </cell>
          <cell r="D890">
            <v>51</v>
          </cell>
          <cell r="E890">
            <v>30</v>
          </cell>
        </row>
        <row r="891">
          <cell r="A891" t="str">
            <v>SIS</v>
          </cell>
          <cell r="B891" t="str">
            <v>198520</v>
          </cell>
          <cell r="C891">
            <v>73</v>
          </cell>
          <cell r="D891">
            <v>40</v>
          </cell>
          <cell r="E891">
            <v>33</v>
          </cell>
        </row>
        <row r="892">
          <cell r="A892" t="str">
            <v>SIS</v>
          </cell>
          <cell r="B892" t="str">
            <v>198610</v>
          </cell>
          <cell r="C892">
            <v>56</v>
          </cell>
          <cell r="D892">
            <v>34</v>
          </cell>
          <cell r="E892">
            <v>22</v>
          </cell>
        </row>
        <row r="893">
          <cell r="A893" t="str">
            <v>SIS</v>
          </cell>
          <cell r="B893" t="str">
            <v>198620</v>
          </cell>
          <cell r="C893">
            <v>77</v>
          </cell>
          <cell r="D893">
            <v>51</v>
          </cell>
          <cell r="E893">
            <v>26</v>
          </cell>
        </row>
        <row r="894">
          <cell r="A894" t="str">
            <v>SIS</v>
          </cell>
          <cell r="B894" t="str">
            <v>198710</v>
          </cell>
          <cell r="C894">
            <v>55</v>
          </cell>
          <cell r="D894">
            <v>37</v>
          </cell>
          <cell r="E894">
            <v>18</v>
          </cell>
        </row>
        <row r="895">
          <cell r="A895" t="str">
            <v>SIS</v>
          </cell>
          <cell r="B895" t="str">
            <v>198720</v>
          </cell>
          <cell r="C895">
            <v>77</v>
          </cell>
          <cell r="D895">
            <v>54</v>
          </cell>
          <cell r="E895">
            <v>23</v>
          </cell>
        </row>
        <row r="896">
          <cell r="A896" t="str">
            <v>SIS</v>
          </cell>
          <cell r="B896" t="str">
            <v>198810</v>
          </cell>
          <cell r="C896">
            <v>45</v>
          </cell>
          <cell r="D896">
            <v>40</v>
          </cell>
          <cell r="E896">
            <v>5</v>
          </cell>
        </row>
        <row r="897">
          <cell r="A897" t="str">
            <v>SIS</v>
          </cell>
          <cell r="B897" t="str">
            <v>198820</v>
          </cell>
          <cell r="C897">
            <v>90</v>
          </cell>
          <cell r="D897">
            <v>64</v>
          </cell>
          <cell r="E897">
            <v>26</v>
          </cell>
        </row>
        <row r="898">
          <cell r="A898" t="str">
            <v>SIS</v>
          </cell>
          <cell r="B898" t="str">
            <v>198910</v>
          </cell>
          <cell r="C898">
            <v>66</v>
          </cell>
          <cell r="D898">
            <v>53</v>
          </cell>
          <cell r="E898">
            <v>13</v>
          </cell>
        </row>
        <row r="899">
          <cell r="A899" t="str">
            <v>SIS</v>
          </cell>
          <cell r="B899" t="str">
            <v>198920</v>
          </cell>
          <cell r="C899">
            <v>76</v>
          </cell>
          <cell r="D899">
            <v>52</v>
          </cell>
          <cell r="E899">
            <v>24</v>
          </cell>
        </row>
        <row r="900">
          <cell r="A900" t="str">
            <v>SIS</v>
          </cell>
          <cell r="B900" t="str">
            <v>199010</v>
          </cell>
          <cell r="C900">
            <v>55</v>
          </cell>
          <cell r="D900">
            <v>44</v>
          </cell>
          <cell r="E900">
            <v>11</v>
          </cell>
        </row>
        <row r="901">
          <cell r="A901" t="str">
            <v>SIS</v>
          </cell>
          <cell r="B901" t="str">
            <v>199020</v>
          </cell>
          <cell r="C901">
            <v>83</v>
          </cell>
          <cell r="D901">
            <v>50</v>
          </cell>
          <cell r="E901">
            <v>33</v>
          </cell>
        </row>
        <row r="902">
          <cell r="A902" t="str">
            <v>SIS</v>
          </cell>
          <cell r="B902" t="str">
            <v>199110</v>
          </cell>
          <cell r="C902">
            <v>42</v>
          </cell>
          <cell r="D902">
            <v>31</v>
          </cell>
          <cell r="E902">
            <v>11</v>
          </cell>
        </row>
        <row r="903">
          <cell r="A903" t="str">
            <v>SIS</v>
          </cell>
          <cell r="B903" t="str">
            <v>199120</v>
          </cell>
          <cell r="C903">
            <v>83</v>
          </cell>
          <cell r="D903">
            <v>56</v>
          </cell>
          <cell r="E903">
            <v>27</v>
          </cell>
        </row>
        <row r="904">
          <cell r="A904" t="str">
            <v>SIS</v>
          </cell>
          <cell r="B904" t="str">
            <v>199210</v>
          </cell>
          <cell r="C904">
            <v>43</v>
          </cell>
          <cell r="D904">
            <v>34</v>
          </cell>
          <cell r="E904">
            <v>9</v>
          </cell>
        </row>
        <row r="905">
          <cell r="A905" t="str">
            <v>SIS</v>
          </cell>
          <cell r="B905" t="str">
            <v>199220</v>
          </cell>
          <cell r="C905">
            <v>65</v>
          </cell>
          <cell r="D905">
            <v>44</v>
          </cell>
          <cell r="E905">
            <v>21</v>
          </cell>
        </row>
        <row r="906">
          <cell r="A906" t="str">
            <v>SIS</v>
          </cell>
          <cell r="B906" t="str">
            <v>199310</v>
          </cell>
          <cell r="C906">
            <v>31</v>
          </cell>
          <cell r="D906">
            <v>23</v>
          </cell>
          <cell r="E906">
            <v>8</v>
          </cell>
        </row>
        <row r="907">
          <cell r="A907" t="str">
            <v>SIS</v>
          </cell>
          <cell r="B907" t="str">
            <v>199320</v>
          </cell>
          <cell r="C907">
            <v>54</v>
          </cell>
          <cell r="D907">
            <v>41</v>
          </cell>
          <cell r="E907">
            <v>13</v>
          </cell>
        </row>
        <row r="908">
          <cell r="A908" t="str">
            <v>SIS</v>
          </cell>
          <cell r="B908" t="str">
            <v>199410</v>
          </cell>
          <cell r="C908">
            <v>29</v>
          </cell>
          <cell r="D908">
            <v>21</v>
          </cell>
          <cell r="E908">
            <v>8</v>
          </cell>
        </row>
        <row r="909">
          <cell r="A909" t="str">
            <v>SIS</v>
          </cell>
          <cell r="B909" t="str">
            <v>199420</v>
          </cell>
          <cell r="C909">
            <v>66</v>
          </cell>
          <cell r="D909">
            <v>45</v>
          </cell>
          <cell r="E909">
            <v>21</v>
          </cell>
        </row>
        <row r="910">
          <cell r="A910" t="str">
            <v>SIS</v>
          </cell>
          <cell r="B910" t="str">
            <v>199510</v>
          </cell>
          <cell r="C910">
            <v>35</v>
          </cell>
          <cell r="D910">
            <v>29</v>
          </cell>
          <cell r="E910">
            <v>6</v>
          </cell>
        </row>
        <row r="911">
          <cell r="A911" t="str">
            <v>SIS</v>
          </cell>
          <cell r="B911" t="str">
            <v>199520</v>
          </cell>
          <cell r="C911">
            <v>53</v>
          </cell>
          <cell r="D911">
            <v>32</v>
          </cell>
          <cell r="E911">
            <v>21</v>
          </cell>
        </row>
        <row r="912">
          <cell r="A912" t="str">
            <v>SIS</v>
          </cell>
          <cell r="B912" t="str">
            <v>199610</v>
          </cell>
          <cell r="C912">
            <v>32</v>
          </cell>
          <cell r="D912">
            <v>21</v>
          </cell>
          <cell r="E912">
            <v>11</v>
          </cell>
        </row>
        <row r="913">
          <cell r="A913" t="str">
            <v>SIS</v>
          </cell>
          <cell r="B913" t="str">
            <v>199620</v>
          </cell>
          <cell r="C913">
            <v>67</v>
          </cell>
          <cell r="D913">
            <v>43</v>
          </cell>
          <cell r="E913">
            <v>24</v>
          </cell>
        </row>
        <row r="914">
          <cell r="A914" t="str">
            <v>SIS</v>
          </cell>
          <cell r="B914" t="str">
            <v>199710</v>
          </cell>
          <cell r="C914">
            <v>20</v>
          </cell>
          <cell r="D914">
            <v>15</v>
          </cell>
          <cell r="E914">
            <v>5</v>
          </cell>
        </row>
        <row r="915">
          <cell r="A915" t="str">
            <v>SIS</v>
          </cell>
          <cell r="B915" t="str">
            <v>199720</v>
          </cell>
          <cell r="C915">
            <v>47</v>
          </cell>
          <cell r="D915">
            <v>27</v>
          </cell>
          <cell r="E915">
            <v>20</v>
          </cell>
        </row>
        <row r="916">
          <cell r="A916" t="str">
            <v>SIS</v>
          </cell>
          <cell r="B916" t="str">
            <v>199810</v>
          </cell>
          <cell r="C916">
            <v>24</v>
          </cell>
          <cell r="D916">
            <v>16</v>
          </cell>
          <cell r="E916">
            <v>8</v>
          </cell>
        </row>
        <row r="917">
          <cell r="A917" t="str">
            <v>SIS</v>
          </cell>
          <cell r="B917" t="str">
            <v>199820</v>
          </cell>
          <cell r="C917">
            <v>33</v>
          </cell>
          <cell r="D917">
            <v>22</v>
          </cell>
          <cell r="E917">
            <v>11</v>
          </cell>
        </row>
        <row r="918">
          <cell r="A918" t="str">
            <v>SIS</v>
          </cell>
          <cell r="B918" t="str">
            <v>199910</v>
          </cell>
          <cell r="C918">
            <v>23</v>
          </cell>
          <cell r="D918">
            <v>15</v>
          </cell>
          <cell r="E918">
            <v>8</v>
          </cell>
        </row>
        <row r="919">
          <cell r="A919" t="str">
            <v>SIS</v>
          </cell>
          <cell r="B919" t="str">
            <v>199920</v>
          </cell>
          <cell r="C919">
            <v>27</v>
          </cell>
          <cell r="D919">
            <v>17</v>
          </cell>
          <cell r="E919">
            <v>10</v>
          </cell>
        </row>
        <row r="920">
          <cell r="A920" t="str">
            <v>SIS</v>
          </cell>
          <cell r="B920" t="str">
            <v>200010</v>
          </cell>
          <cell r="C920">
            <v>22</v>
          </cell>
          <cell r="D920">
            <v>19</v>
          </cell>
          <cell r="E920">
            <v>3</v>
          </cell>
        </row>
        <row r="921">
          <cell r="A921" t="str">
            <v>SIS</v>
          </cell>
          <cell r="B921" t="str">
            <v>200020</v>
          </cell>
          <cell r="C921">
            <v>39</v>
          </cell>
          <cell r="D921">
            <v>26</v>
          </cell>
          <cell r="E921">
            <v>13</v>
          </cell>
        </row>
        <row r="922">
          <cell r="A922" t="str">
            <v>SIS</v>
          </cell>
          <cell r="B922" t="str">
            <v>200110</v>
          </cell>
          <cell r="C922">
            <v>15</v>
          </cell>
          <cell r="D922">
            <v>13</v>
          </cell>
          <cell r="E922">
            <v>2</v>
          </cell>
        </row>
        <row r="923">
          <cell r="A923" t="str">
            <v>SIS</v>
          </cell>
          <cell r="B923" t="str">
            <v>200120</v>
          </cell>
          <cell r="C923">
            <v>45</v>
          </cell>
          <cell r="D923">
            <v>25</v>
          </cell>
          <cell r="E923">
            <v>20</v>
          </cell>
        </row>
        <row r="924">
          <cell r="A924" t="str">
            <v>SIS</v>
          </cell>
          <cell r="B924" t="str">
            <v>200210</v>
          </cell>
          <cell r="C924">
            <v>15</v>
          </cell>
          <cell r="D924">
            <v>12</v>
          </cell>
          <cell r="E924">
            <v>3</v>
          </cell>
        </row>
        <row r="925">
          <cell r="A925" t="str">
            <v>SIS</v>
          </cell>
          <cell r="B925" t="str">
            <v>200220</v>
          </cell>
          <cell r="C925">
            <v>43</v>
          </cell>
          <cell r="D925">
            <v>24</v>
          </cell>
          <cell r="E925">
            <v>19</v>
          </cell>
        </row>
        <row r="926">
          <cell r="A926" t="str">
            <v>SIS</v>
          </cell>
          <cell r="B926" t="str">
            <v>200310</v>
          </cell>
          <cell r="C926">
            <v>22</v>
          </cell>
          <cell r="D926">
            <v>9</v>
          </cell>
          <cell r="E926">
            <v>13</v>
          </cell>
        </row>
        <row r="927">
          <cell r="A927" t="str">
            <v>SIS</v>
          </cell>
          <cell r="B927" t="str">
            <v>200320</v>
          </cell>
          <cell r="C927">
            <v>42</v>
          </cell>
          <cell r="D927">
            <v>27</v>
          </cell>
          <cell r="E927">
            <v>15</v>
          </cell>
        </row>
        <row r="928">
          <cell r="A928" t="str">
            <v>SIS</v>
          </cell>
          <cell r="B928" t="str">
            <v>200410</v>
          </cell>
          <cell r="C928">
            <v>9</v>
          </cell>
          <cell r="D928">
            <v>4</v>
          </cell>
          <cell r="E928">
            <v>5</v>
          </cell>
        </row>
        <row r="929">
          <cell r="A929" t="str">
            <v>SIS</v>
          </cell>
          <cell r="B929" t="str">
            <v>200420</v>
          </cell>
          <cell r="C929">
            <v>36</v>
          </cell>
          <cell r="D929">
            <v>17</v>
          </cell>
          <cell r="E929">
            <v>19</v>
          </cell>
        </row>
        <row r="930">
          <cell r="A930" t="str">
            <v>SIS</v>
          </cell>
          <cell r="B930" t="str">
            <v>200510</v>
          </cell>
          <cell r="C930">
            <v>14</v>
          </cell>
          <cell r="D930">
            <v>10</v>
          </cell>
          <cell r="E930">
            <v>4</v>
          </cell>
        </row>
        <row r="931">
          <cell r="A931" t="str">
            <v>SIS</v>
          </cell>
          <cell r="B931" t="str">
            <v>200520</v>
          </cell>
          <cell r="C931">
            <v>32</v>
          </cell>
          <cell r="D931">
            <v>21</v>
          </cell>
          <cell r="E931">
            <v>11</v>
          </cell>
        </row>
        <row r="932">
          <cell r="A932" t="str">
            <v>SIS</v>
          </cell>
          <cell r="B932" t="str">
            <v>200610</v>
          </cell>
          <cell r="C932">
            <v>12</v>
          </cell>
          <cell r="D932">
            <v>8</v>
          </cell>
          <cell r="E932">
            <v>4</v>
          </cell>
        </row>
        <row r="933">
          <cell r="A933" t="str">
            <v>SIS</v>
          </cell>
          <cell r="B933" t="str">
            <v>200620</v>
          </cell>
          <cell r="C933">
            <v>42</v>
          </cell>
          <cell r="D933">
            <v>23</v>
          </cell>
          <cell r="E933">
            <v>19</v>
          </cell>
        </row>
        <row r="934">
          <cell r="A934" t="str">
            <v>SIS</v>
          </cell>
          <cell r="B934" t="str">
            <v>200710</v>
          </cell>
          <cell r="C934">
            <v>19</v>
          </cell>
          <cell r="D934">
            <v>13</v>
          </cell>
          <cell r="E934">
            <v>6</v>
          </cell>
        </row>
        <row r="935">
          <cell r="A935" t="str">
            <v>SIS</v>
          </cell>
          <cell r="B935" t="str">
            <v>200720</v>
          </cell>
          <cell r="C935">
            <v>44</v>
          </cell>
          <cell r="D935">
            <v>30</v>
          </cell>
          <cell r="E935">
            <v>14</v>
          </cell>
        </row>
        <row r="936">
          <cell r="A936" t="str">
            <v>SIS</v>
          </cell>
          <cell r="B936" t="str">
            <v>200810</v>
          </cell>
          <cell r="C936">
            <v>20</v>
          </cell>
          <cell r="D936">
            <v>12</v>
          </cell>
          <cell r="E936">
            <v>8</v>
          </cell>
        </row>
        <row r="937">
          <cell r="A937" t="str">
            <v>SIS</v>
          </cell>
          <cell r="B937" t="str">
            <v>200820</v>
          </cell>
          <cell r="C937">
            <v>28</v>
          </cell>
          <cell r="D937">
            <v>12</v>
          </cell>
          <cell r="E937">
            <v>16</v>
          </cell>
        </row>
        <row r="938">
          <cell r="A938" t="str">
            <v>SIS</v>
          </cell>
          <cell r="B938" t="str">
            <v>200910</v>
          </cell>
          <cell r="C938">
            <v>14</v>
          </cell>
          <cell r="D938">
            <v>7</v>
          </cell>
          <cell r="E938">
            <v>6</v>
          </cell>
        </row>
        <row r="939">
          <cell r="A939" t="str">
            <v>SIS</v>
          </cell>
          <cell r="B939" t="str">
            <v>200920</v>
          </cell>
          <cell r="C939">
            <v>34</v>
          </cell>
          <cell r="D939">
            <v>21</v>
          </cell>
          <cell r="E939">
            <v>13</v>
          </cell>
        </row>
        <row r="940">
          <cell r="A940" t="str">
            <v>SIS</v>
          </cell>
          <cell r="B940" t="str">
            <v>201010</v>
          </cell>
          <cell r="C940">
            <v>16</v>
          </cell>
          <cell r="D940">
            <v>9</v>
          </cell>
          <cell r="E940">
            <v>7</v>
          </cell>
        </row>
        <row r="941">
          <cell r="A941" t="str">
            <v>SIS</v>
          </cell>
          <cell r="B941" t="str">
            <v>201020</v>
          </cell>
          <cell r="C941">
            <v>25</v>
          </cell>
          <cell r="D941">
            <v>14</v>
          </cell>
          <cell r="E941">
            <v>11</v>
          </cell>
        </row>
        <row r="942">
          <cell r="A942" t="str">
            <v>SIS</v>
          </cell>
          <cell r="B942" t="str">
            <v>201110</v>
          </cell>
          <cell r="C942">
            <v>14</v>
          </cell>
          <cell r="D942">
            <v>8</v>
          </cell>
          <cell r="E942">
            <v>6</v>
          </cell>
        </row>
        <row r="943">
          <cell r="A943" t="str">
            <v>SIS</v>
          </cell>
          <cell r="B943" t="str">
            <v>201120</v>
          </cell>
          <cell r="C943">
            <v>22</v>
          </cell>
          <cell r="D943">
            <v>13</v>
          </cell>
          <cell r="E943">
            <v>9</v>
          </cell>
        </row>
        <row r="944">
          <cell r="A944" t="str">
            <v>SIS</v>
          </cell>
          <cell r="B944" t="str">
            <v>201210</v>
          </cell>
          <cell r="C944">
            <v>21</v>
          </cell>
          <cell r="D944">
            <v>13</v>
          </cell>
          <cell r="E944">
            <v>8</v>
          </cell>
        </row>
        <row r="945">
          <cell r="A945" t="str">
            <v>SIS</v>
          </cell>
          <cell r="B945" t="str">
            <v>201220</v>
          </cell>
          <cell r="C945">
            <v>19</v>
          </cell>
          <cell r="D945">
            <v>11</v>
          </cell>
          <cell r="E945">
            <v>8</v>
          </cell>
        </row>
        <row r="946">
          <cell r="A946" t="str">
            <v>SIS</v>
          </cell>
          <cell r="B946" t="str">
            <v>201310</v>
          </cell>
          <cell r="C946">
            <v>18</v>
          </cell>
          <cell r="D946">
            <v>9</v>
          </cell>
          <cell r="E946">
            <v>9</v>
          </cell>
        </row>
        <row r="947">
          <cell r="A947" t="str">
            <v>SIS</v>
          </cell>
          <cell r="B947" t="str">
            <v>201320</v>
          </cell>
          <cell r="C947">
            <v>20</v>
          </cell>
          <cell r="D947">
            <v>11</v>
          </cell>
          <cell r="E947">
            <v>9</v>
          </cell>
        </row>
        <row r="948">
          <cell r="A948" t="str">
            <v>SIS</v>
          </cell>
          <cell r="B948" t="str">
            <v>201410</v>
          </cell>
          <cell r="C948">
            <v>22</v>
          </cell>
          <cell r="D948">
            <v>15</v>
          </cell>
          <cell r="E948">
            <v>7</v>
          </cell>
        </row>
        <row r="949">
          <cell r="A949" t="str">
            <v>SIS</v>
          </cell>
          <cell r="B949" t="str">
            <v>201420</v>
          </cell>
          <cell r="C949">
            <v>26</v>
          </cell>
          <cell r="D949">
            <v>17</v>
          </cell>
          <cell r="E949">
            <v>9</v>
          </cell>
        </row>
        <row r="950">
          <cell r="A950" t="str">
            <v>SIS</v>
          </cell>
          <cell r="B950" t="str">
            <v>201510</v>
          </cell>
          <cell r="C950">
            <v>40</v>
          </cell>
          <cell r="D950">
            <v>21</v>
          </cell>
          <cell r="E950">
            <v>19</v>
          </cell>
        </row>
        <row r="951">
          <cell r="A951" t="str">
            <v>SIS</v>
          </cell>
          <cell r="B951" t="str">
            <v>201520</v>
          </cell>
          <cell r="C951">
            <v>29</v>
          </cell>
          <cell r="D951">
            <v>10</v>
          </cell>
          <cell r="E951">
            <v>19</v>
          </cell>
        </row>
        <row r="952">
          <cell r="A952" t="str">
            <v>SIS</v>
          </cell>
          <cell r="B952" t="str">
            <v>201610</v>
          </cell>
          <cell r="C952">
            <v>61</v>
          </cell>
          <cell r="D952">
            <v>30</v>
          </cell>
          <cell r="E952">
            <v>30</v>
          </cell>
        </row>
        <row r="953">
          <cell r="A953" t="str">
            <v>SIS</v>
          </cell>
          <cell r="B953" t="str">
            <v>201620</v>
          </cell>
          <cell r="C953">
            <v>54</v>
          </cell>
          <cell r="D953">
            <v>25</v>
          </cell>
          <cell r="E953">
            <v>29</v>
          </cell>
        </row>
        <row r="954">
          <cell r="A954" t="str">
            <v>SIS</v>
          </cell>
          <cell r="B954" t="str">
            <v>201710</v>
          </cell>
          <cell r="C954">
            <v>76</v>
          </cell>
          <cell r="D954">
            <v>25</v>
          </cell>
          <cell r="E954">
            <v>50</v>
          </cell>
        </row>
        <row r="955">
          <cell r="A955" t="str">
            <v>SIS</v>
          </cell>
          <cell r="B955" t="str">
            <v>201720</v>
          </cell>
          <cell r="C955">
            <v>27</v>
          </cell>
          <cell r="D955">
            <v>11</v>
          </cell>
          <cell r="E955">
            <v>16</v>
          </cell>
        </row>
        <row r="956">
          <cell r="A956" t="str">
            <v>SIS</v>
          </cell>
          <cell r="B956" t="str">
            <v>201810</v>
          </cell>
          <cell r="C956">
            <v>38</v>
          </cell>
          <cell r="D956">
            <v>15</v>
          </cell>
          <cell r="E956">
            <v>20</v>
          </cell>
        </row>
        <row r="957">
          <cell r="A957" t="str">
            <v>SIS</v>
          </cell>
          <cell r="B957" t="str">
            <v>201820</v>
          </cell>
          <cell r="C957">
            <v>34</v>
          </cell>
          <cell r="D957">
            <v>8</v>
          </cell>
          <cell r="E957">
            <v>21</v>
          </cell>
        </row>
        <row r="958">
          <cell r="A958" t="str">
            <v>SIS</v>
          </cell>
          <cell r="B958" t="str">
            <v>201910</v>
          </cell>
          <cell r="C958">
            <v>24</v>
          </cell>
          <cell r="D958">
            <v>6</v>
          </cell>
          <cell r="E958">
            <v>14</v>
          </cell>
        </row>
        <row r="959">
          <cell r="A959" t="str">
            <v>SIS</v>
          </cell>
          <cell r="B959" t="str">
            <v>201920</v>
          </cell>
          <cell r="C959">
            <v>30</v>
          </cell>
          <cell r="D959">
            <v>11</v>
          </cell>
          <cell r="E959">
            <v>2</v>
          </cell>
        </row>
        <row r="960">
          <cell r="A960" t="str">
            <v>SIS</v>
          </cell>
          <cell r="B960" t="str">
            <v>202010</v>
          </cell>
          <cell r="C960">
            <v>47</v>
          </cell>
          <cell r="D960">
            <v>5</v>
          </cell>
          <cell r="E960">
            <v>0</v>
          </cell>
        </row>
        <row r="961">
          <cell r="A961" t="str">
            <v>SIS</v>
          </cell>
          <cell r="B961" t="str">
            <v>202020</v>
          </cell>
          <cell r="C961">
            <v>37</v>
          </cell>
          <cell r="D961">
            <v>12</v>
          </cell>
          <cell r="E961">
            <v>2</v>
          </cell>
        </row>
        <row r="962">
          <cell r="A962" t="str">
            <v>SIS</v>
          </cell>
          <cell r="B962" t="str">
            <v>202110</v>
          </cell>
          <cell r="C962">
            <v>38</v>
          </cell>
          <cell r="D962">
            <v>10</v>
          </cell>
          <cell r="E962">
            <v>1</v>
          </cell>
        </row>
        <row r="963">
          <cell r="A963" t="str">
            <v>SIS</v>
          </cell>
          <cell r="B963" t="str">
            <v>202120</v>
          </cell>
          <cell r="C963">
            <v>49</v>
          </cell>
          <cell r="D963">
            <v>14</v>
          </cell>
          <cell r="E963">
            <v>0</v>
          </cell>
        </row>
        <row r="964">
          <cell r="A964" t="str">
            <v>SIS</v>
          </cell>
          <cell r="B964" t="str">
            <v>202210</v>
          </cell>
          <cell r="C964">
            <v>73</v>
          </cell>
          <cell r="D964">
            <v>12</v>
          </cell>
          <cell r="E964">
            <v>0</v>
          </cell>
        </row>
        <row r="965">
          <cell r="A965" t="str">
            <v>SIS</v>
          </cell>
          <cell r="B965" t="str">
            <v>202220</v>
          </cell>
          <cell r="C965">
            <v>77</v>
          </cell>
          <cell r="D965">
            <v>12</v>
          </cell>
          <cell r="E965">
            <v>0</v>
          </cell>
        </row>
        <row r="966">
          <cell r="A966" t="str">
            <v>SIS</v>
          </cell>
          <cell r="B966" t="str">
            <v>202310</v>
          </cell>
          <cell r="C966">
            <v>75</v>
          </cell>
          <cell r="D966">
            <v>13</v>
          </cell>
          <cell r="E966">
            <v>0</v>
          </cell>
        </row>
        <row r="967">
          <cell r="A967" t="str">
            <v>SIS</v>
          </cell>
          <cell r="B967" t="str">
            <v>202320</v>
          </cell>
          <cell r="C967">
            <v>102</v>
          </cell>
          <cell r="D967">
            <v>4</v>
          </cell>
          <cell r="E967">
            <v>0</v>
          </cell>
        </row>
        <row r="968">
          <cell r="A968" t="str">
            <v>SOC</v>
          </cell>
          <cell r="B968" t="str">
            <v>200620</v>
          </cell>
          <cell r="C968">
            <v>6</v>
          </cell>
          <cell r="D968">
            <v>4</v>
          </cell>
          <cell r="E968">
            <v>2</v>
          </cell>
        </row>
        <row r="969">
          <cell r="A969" t="str">
            <v>SOC</v>
          </cell>
          <cell r="B969" t="str">
            <v>200710</v>
          </cell>
          <cell r="C969">
            <v>1</v>
          </cell>
          <cell r="D969">
            <v>1</v>
          </cell>
          <cell r="E969">
            <v>0</v>
          </cell>
        </row>
        <row r="970">
          <cell r="A970" t="str">
            <v>SOC</v>
          </cell>
          <cell r="B970" t="str">
            <v>200720</v>
          </cell>
          <cell r="C970">
            <v>7</v>
          </cell>
          <cell r="D970">
            <v>2</v>
          </cell>
          <cell r="E970">
            <v>5</v>
          </cell>
        </row>
        <row r="971">
          <cell r="A971" t="str">
            <v>SOC</v>
          </cell>
          <cell r="B971" t="str">
            <v>200810</v>
          </cell>
          <cell r="C971">
            <v>8</v>
          </cell>
          <cell r="D971">
            <v>6</v>
          </cell>
          <cell r="E971">
            <v>2</v>
          </cell>
        </row>
        <row r="972">
          <cell r="A972" t="str">
            <v>SOC</v>
          </cell>
          <cell r="B972" t="str">
            <v>200820</v>
          </cell>
          <cell r="C972">
            <v>11</v>
          </cell>
          <cell r="D972">
            <v>4</v>
          </cell>
          <cell r="E972">
            <v>7</v>
          </cell>
        </row>
        <row r="973">
          <cell r="A973" t="str">
            <v>SOC</v>
          </cell>
          <cell r="B973" t="str">
            <v>200910</v>
          </cell>
          <cell r="C973">
            <v>7</v>
          </cell>
          <cell r="D973">
            <v>5</v>
          </cell>
          <cell r="E973">
            <v>2</v>
          </cell>
        </row>
        <row r="974">
          <cell r="A974" t="str">
            <v>SOC</v>
          </cell>
          <cell r="B974" t="str">
            <v>200920</v>
          </cell>
          <cell r="C974">
            <v>7</v>
          </cell>
          <cell r="D974">
            <v>4</v>
          </cell>
          <cell r="E974">
            <v>3</v>
          </cell>
        </row>
        <row r="975">
          <cell r="A975" t="str">
            <v>SOC</v>
          </cell>
          <cell r="B975" t="str">
            <v>201010</v>
          </cell>
          <cell r="C975">
            <v>7</v>
          </cell>
          <cell r="D975">
            <v>2</v>
          </cell>
          <cell r="E975">
            <v>5</v>
          </cell>
        </row>
        <row r="976">
          <cell r="A976" t="str">
            <v>SOC</v>
          </cell>
          <cell r="B976" t="str">
            <v>201020</v>
          </cell>
          <cell r="C976">
            <v>3</v>
          </cell>
          <cell r="D976">
            <v>0</v>
          </cell>
          <cell r="E976">
            <v>3</v>
          </cell>
        </row>
        <row r="977">
          <cell r="A977" t="str">
            <v>SOC</v>
          </cell>
          <cell r="B977" t="str">
            <v>201110</v>
          </cell>
          <cell r="C977">
            <v>3</v>
          </cell>
          <cell r="D977">
            <v>1</v>
          </cell>
          <cell r="E977">
            <v>2</v>
          </cell>
        </row>
        <row r="978">
          <cell r="A978" t="str">
            <v>SOC</v>
          </cell>
          <cell r="B978" t="str">
            <v>201120</v>
          </cell>
          <cell r="C978">
            <v>14</v>
          </cell>
          <cell r="D978">
            <v>7</v>
          </cell>
          <cell r="E978">
            <v>7</v>
          </cell>
        </row>
        <row r="979">
          <cell r="A979" t="str">
            <v>SOC</v>
          </cell>
          <cell r="B979" t="str">
            <v>201210</v>
          </cell>
          <cell r="C979">
            <v>5</v>
          </cell>
          <cell r="D979">
            <v>3</v>
          </cell>
          <cell r="E979">
            <v>2</v>
          </cell>
        </row>
        <row r="980">
          <cell r="A980" t="str">
            <v>SOC</v>
          </cell>
          <cell r="B980" t="str">
            <v>201220</v>
          </cell>
          <cell r="C980">
            <v>18</v>
          </cell>
          <cell r="D980">
            <v>6</v>
          </cell>
          <cell r="E980">
            <v>12</v>
          </cell>
        </row>
        <row r="981">
          <cell r="A981" t="str">
            <v>SOC</v>
          </cell>
          <cell r="B981" t="str">
            <v>201310</v>
          </cell>
          <cell r="C981">
            <v>7</v>
          </cell>
          <cell r="D981">
            <v>4</v>
          </cell>
          <cell r="E981">
            <v>3</v>
          </cell>
        </row>
        <row r="982">
          <cell r="A982" t="str">
            <v>SOC</v>
          </cell>
          <cell r="B982" t="str">
            <v>201320</v>
          </cell>
          <cell r="C982">
            <v>14</v>
          </cell>
          <cell r="D982">
            <v>3</v>
          </cell>
          <cell r="E982">
            <v>11</v>
          </cell>
        </row>
        <row r="983">
          <cell r="A983" t="str">
            <v>SOC</v>
          </cell>
          <cell r="B983" t="str">
            <v>201410</v>
          </cell>
          <cell r="C983">
            <v>7</v>
          </cell>
          <cell r="D983">
            <v>5</v>
          </cell>
          <cell r="E983">
            <v>2</v>
          </cell>
        </row>
        <row r="984">
          <cell r="A984" t="str">
            <v>SOC</v>
          </cell>
          <cell r="B984" t="str">
            <v>201420</v>
          </cell>
          <cell r="C984">
            <v>9</v>
          </cell>
          <cell r="D984">
            <v>5</v>
          </cell>
          <cell r="E984">
            <v>4</v>
          </cell>
        </row>
        <row r="985">
          <cell r="A985" t="str">
            <v>SOC</v>
          </cell>
          <cell r="B985" t="str">
            <v>201510</v>
          </cell>
          <cell r="C985">
            <v>19</v>
          </cell>
          <cell r="D985">
            <v>5</v>
          </cell>
          <cell r="E985">
            <v>12</v>
          </cell>
        </row>
        <row r="986">
          <cell r="A986" t="str">
            <v>SOC</v>
          </cell>
          <cell r="B986" t="str">
            <v>201520</v>
          </cell>
          <cell r="C986">
            <v>14</v>
          </cell>
          <cell r="D986">
            <v>5</v>
          </cell>
          <cell r="E986">
            <v>9</v>
          </cell>
        </row>
        <row r="987">
          <cell r="A987" t="str">
            <v>SOC</v>
          </cell>
          <cell r="B987" t="str">
            <v>201610</v>
          </cell>
          <cell r="C987">
            <v>9</v>
          </cell>
          <cell r="D987">
            <v>2</v>
          </cell>
          <cell r="E987">
            <v>6</v>
          </cell>
        </row>
        <row r="988">
          <cell r="A988" t="str">
            <v>SOC</v>
          </cell>
          <cell r="B988" t="str">
            <v>201620</v>
          </cell>
          <cell r="C988">
            <v>21</v>
          </cell>
          <cell r="D988">
            <v>6</v>
          </cell>
          <cell r="E988">
            <v>13</v>
          </cell>
        </row>
        <row r="989">
          <cell r="A989" t="str">
            <v>SOC</v>
          </cell>
          <cell r="B989" t="str">
            <v>201710</v>
          </cell>
          <cell r="C989">
            <v>21</v>
          </cell>
          <cell r="D989">
            <v>3</v>
          </cell>
          <cell r="E989">
            <v>18</v>
          </cell>
        </row>
        <row r="990">
          <cell r="A990" t="str">
            <v>SOC</v>
          </cell>
          <cell r="B990" t="str">
            <v>201720</v>
          </cell>
          <cell r="C990">
            <v>8</v>
          </cell>
          <cell r="D990">
            <v>4</v>
          </cell>
          <cell r="E990">
            <v>4</v>
          </cell>
        </row>
        <row r="991">
          <cell r="A991" t="str">
            <v>SOC</v>
          </cell>
          <cell r="B991" t="str">
            <v>201810</v>
          </cell>
          <cell r="C991">
            <v>6</v>
          </cell>
          <cell r="D991">
            <v>2</v>
          </cell>
          <cell r="E991">
            <v>4</v>
          </cell>
        </row>
        <row r="992">
          <cell r="A992" t="str">
            <v>SOC</v>
          </cell>
          <cell r="B992" t="str">
            <v>201820</v>
          </cell>
          <cell r="C992">
            <v>9</v>
          </cell>
          <cell r="D992">
            <v>4</v>
          </cell>
          <cell r="E992">
            <v>5</v>
          </cell>
        </row>
        <row r="993">
          <cell r="A993" t="str">
            <v>SOC</v>
          </cell>
          <cell r="B993" t="str">
            <v>201910</v>
          </cell>
          <cell r="C993">
            <v>2</v>
          </cell>
          <cell r="D993">
            <v>1</v>
          </cell>
          <cell r="E993">
            <v>1</v>
          </cell>
        </row>
        <row r="994">
          <cell r="A994" t="str">
            <v>SOC</v>
          </cell>
          <cell r="B994" t="str">
            <v>201920</v>
          </cell>
          <cell r="C994">
            <v>11</v>
          </cell>
          <cell r="D994">
            <v>2</v>
          </cell>
          <cell r="E994">
            <v>2</v>
          </cell>
        </row>
        <row r="995">
          <cell r="A995" t="str">
            <v>SOC</v>
          </cell>
          <cell r="B995" t="str">
            <v>202010</v>
          </cell>
          <cell r="C995">
            <v>6</v>
          </cell>
          <cell r="D995">
            <v>1</v>
          </cell>
          <cell r="E995">
            <v>1</v>
          </cell>
        </row>
        <row r="996">
          <cell r="A996" t="str">
            <v>SOC</v>
          </cell>
          <cell r="B996" t="str">
            <v>202020</v>
          </cell>
          <cell r="C996">
            <v>13</v>
          </cell>
          <cell r="D996">
            <v>2</v>
          </cell>
          <cell r="E996">
            <v>3</v>
          </cell>
        </row>
        <row r="997">
          <cell r="A997" t="str">
            <v>SOC</v>
          </cell>
          <cell r="B997" t="str">
            <v>202110</v>
          </cell>
          <cell r="C997">
            <v>2</v>
          </cell>
          <cell r="D997">
            <v>0</v>
          </cell>
          <cell r="E997">
            <v>0</v>
          </cell>
        </row>
        <row r="998">
          <cell r="A998" t="str">
            <v>SOC</v>
          </cell>
          <cell r="B998" t="str">
            <v>202120</v>
          </cell>
          <cell r="C998">
            <v>3</v>
          </cell>
          <cell r="D998">
            <v>0</v>
          </cell>
          <cell r="E998">
            <v>0</v>
          </cell>
        </row>
        <row r="999">
          <cell r="A999" t="str">
            <v>SOC</v>
          </cell>
          <cell r="B999" t="str">
            <v>202210</v>
          </cell>
          <cell r="C999">
            <v>17</v>
          </cell>
          <cell r="D999">
            <v>2</v>
          </cell>
          <cell r="E999">
            <v>0</v>
          </cell>
        </row>
        <row r="1000">
          <cell r="A1000" t="str">
            <v>SOC</v>
          </cell>
          <cell r="B1000" t="str">
            <v>202220</v>
          </cell>
          <cell r="C1000">
            <v>3</v>
          </cell>
          <cell r="D1000">
            <v>0</v>
          </cell>
          <cell r="E1000">
            <v>0</v>
          </cell>
        </row>
        <row r="1001">
          <cell r="A1001" t="str">
            <v>SOC</v>
          </cell>
          <cell r="B1001" t="str">
            <v>202310</v>
          </cell>
          <cell r="C1001">
            <v>8</v>
          </cell>
          <cell r="D1001">
            <v>0</v>
          </cell>
          <cell r="E1001">
            <v>0</v>
          </cell>
        </row>
        <row r="1002">
          <cell r="A1002" t="str">
            <v>SOC</v>
          </cell>
          <cell r="B1002" t="str">
            <v>202320</v>
          </cell>
          <cell r="C1002">
            <v>5</v>
          </cell>
          <cell r="D1002">
            <v>1</v>
          </cell>
          <cell r="E1002">
            <v>0</v>
          </cell>
        </row>
        <row r="1003">
          <cell r="A1003" t="str">
            <v>TEL</v>
          </cell>
          <cell r="B1003" t="str">
            <v>199820</v>
          </cell>
          <cell r="C1003">
            <v>45</v>
          </cell>
          <cell r="D1003">
            <v>28</v>
          </cell>
          <cell r="E1003">
            <v>17</v>
          </cell>
        </row>
        <row r="1004">
          <cell r="A1004" t="str">
            <v>TEL</v>
          </cell>
          <cell r="B1004" t="str">
            <v>199910</v>
          </cell>
          <cell r="C1004">
            <v>19</v>
          </cell>
          <cell r="D1004">
            <v>13</v>
          </cell>
          <cell r="E1004">
            <v>6</v>
          </cell>
        </row>
        <row r="1005">
          <cell r="A1005" t="str">
            <v>TEL</v>
          </cell>
          <cell r="B1005" t="str">
            <v>199920</v>
          </cell>
          <cell r="C1005">
            <v>51</v>
          </cell>
          <cell r="D1005">
            <v>31</v>
          </cell>
          <cell r="E1005">
            <v>20</v>
          </cell>
        </row>
        <row r="1006">
          <cell r="A1006" t="str">
            <v>TEL</v>
          </cell>
          <cell r="B1006" t="str">
            <v>200010</v>
          </cell>
          <cell r="C1006">
            <v>27</v>
          </cell>
          <cell r="D1006">
            <v>16</v>
          </cell>
          <cell r="E1006">
            <v>11</v>
          </cell>
        </row>
        <row r="1007">
          <cell r="A1007" t="str">
            <v>TEL</v>
          </cell>
          <cell r="B1007" t="str">
            <v>200020</v>
          </cell>
          <cell r="C1007">
            <v>67</v>
          </cell>
          <cell r="D1007">
            <v>41</v>
          </cell>
          <cell r="E1007">
            <v>26</v>
          </cell>
        </row>
        <row r="1008">
          <cell r="A1008" t="str">
            <v>TEL</v>
          </cell>
          <cell r="B1008" t="str">
            <v>200110</v>
          </cell>
          <cell r="C1008">
            <v>13</v>
          </cell>
          <cell r="D1008">
            <v>9</v>
          </cell>
          <cell r="E1008">
            <v>4</v>
          </cell>
        </row>
        <row r="1009">
          <cell r="A1009" t="str">
            <v>TEL</v>
          </cell>
          <cell r="B1009" t="str">
            <v>200120</v>
          </cell>
          <cell r="C1009">
            <v>42</v>
          </cell>
          <cell r="D1009">
            <v>28</v>
          </cell>
          <cell r="E1009">
            <v>14</v>
          </cell>
        </row>
        <row r="1010">
          <cell r="A1010" t="str">
            <v>TEL</v>
          </cell>
          <cell r="B1010" t="str">
            <v>200210</v>
          </cell>
          <cell r="C1010">
            <v>17</v>
          </cell>
          <cell r="D1010">
            <v>15</v>
          </cell>
          <cell r="E1010">
            <v>2</v>
          </cell>
        </row>
        <row r="1011">
          <cell r="A1011" t="str">
            <v>TEL</v>
          </cell>
          <cell r="B1011" t="str">
            <v>200220</v>
          </cell>
          <cell r="C1011">
            <v>44</v>
          </cell>
          <cell r="D1011">
            <v>29</v>
          </cell>
          <cell r="E1011">
            <v>15</v>
          </cell>
        </row>
        <row r="1012">
          <cell r="A1012" t="str">
            <v>TEL</v>
          </cell>
          <cell r="B1012" t="str">
            <v>200310</v>
          </cell>
          <cell r="C1012">
            <v>14</v>
          </cell>
          <cell r="D1012">
            <v>7</v>
          </cell>
          <cell r="E1012">
            <v>7</v>
          </cell>
        </row>
        <row r="1013">
          <cell r="A1013" t="str">
            <v>TEL</v>
          </cell>
          <cell r="B1013" t="str">
            <v>200320</v>
          </cell>
          <cell r="C1013">
            <v>45</v>
          </cell>
          <cell r="D1013">
            <v>28</v>
          </cell>
          <cell r="E1013">
            <v>17</v>
          </cell>
        </row>
        <row r="1014">
          <cell r="A1014" t="str">
            <v>TEL</v>
          </cell>
          <cell r="B1014" t="str">
            <v>200410</v>
          </cell>
          <cell r="C1014">
            <v>15</v>
          </cell>
          <cell r="D1014">
            <v>10</v>
          </cell>
          <cell r="E1014">
            <v>5</v>
          </cell>
        </row>
        <row r="1015">
          <cell r="A1015" t="str">
            <v>TEL</v>
          </cell>
          <cell r="B1015" t="str">
            <v>200420</v>
          </cell>
          <cell r="C1015">
            <v>33</v>
          </cell>
          <cell r="D1015">
            <v>22</v>
          </cell>
          <cell r="E1015">
            <v>11</v>
          </cell>
        </row>
        <row r="1016">
          <cell r="A1016" t="str">
            <v>TEL</v>
          </cell>
          <cell r="B1016" t="str">
            <v>200510</v>
          </cell>
          <cell r="C1016">
            <v>14</v>
          </cell>
          <cell r="D1016">
            <v>9</v>
          </cell>
          <cell r="E1016">
            <v>5</v>
          </cell>
        </row>
        <row r="1017">
          <cell r="A1017" t="str">
            <v>TEL</v>
          </cell>
          <cell r="B1017" t="str">
            <v>200520</v>
          </cell>
          <cell r="C1017">
            <v>28</v>
          </cell>
          <cell r="D1017">
            <v>18</v>
          </cell>
          <cell r="E1017">
            <v>10</v>
          </cell>
        </row>
        <row r="1018">
          <cell r="A1018" t="str">
            <v>TEL</v>
          </cell>
          <cell r="B1018" t="str">
            <v>200610</v>
          </cell>
          <cell r="C1018">
            <v>17</v>
          </cell>
          <cell r="D1018">
            <v>11</v>
          </cell>
          <cell r="E1018">
            <v>6</v>
          </cell>
        </row>
        <row r="1019">
          <cell r="A1019" t="str">
            <v>TEL</v>
          </cell>
          <cell r="B1019" t="str">
            <v>200620</v>
          </cell>
          <cell r="C1019">
            <v>31</v>
          </cell>
          <cell r="D1019">
            <v>23</v>
          </cell>
          <cell r="E1019">
            <v>8</v>
          </cell>
        </row>
        <row r="1020">
          <cell r="A1020" t="str">
            <v>TEL</v>
          </cell>
          <cell r="B1020" t="str">
            <v>200710</v>
          </cell>
          <cell r="C1020">
            <v>14</v>
          </cell>
          <cell r="D1020">
            <v>9</v>
          </cell>
          <cell r="E1020">
            <v>5</v>
          </cell>
        </row>
        <row r="1021">
          <cell r="A1021" t="str">
            <v>TEL</v>
          </cell>
          <cell r="B1021" t="str">
            <v>200720</v>
          </cell>
          <cell r="C1021">
            <v>25</v>
          </cell>
          <cell r="D1021">
            <v>12</v>
          </cell>
          <cell r="E1021">
            <v>13</v>
          </cell>
        </row>
        <row r="1022">
          <cell r="A1022" t="str">
            <v>TEL</v>
          </cell>
          <cell r="B1022" t="str">
            <v>200810</v>
          </cell>
          <cell r="C1022">
            <v>6</v>
          </cell>
          <cell r="D1022">
            <v>3</v>
          </cell>
          <cell r="E1022">
            <v>3</v>
          </cell>
        </row>
        <row r="1023">
          <cell r="A1023" t="str">
            <v>TEL</v>
          </cell>
          <cell r="B1023" t="str">
            <v>200820</v>
          </cell>
          <cell r="C1023">
            <v>31</v>
          </cell>
          <cell r="D1023">
            <v>17</v>
          </cell>
          <cell r="E1023">
            <v>14</v>
          </cell>
        </row>
        <row r="1024">
          <cell r="A1024" t="str">
            <v>TEL</v>
          </cell>
          <cell r="B1024" t="str">
            <v>200910</v>
          </cell>
          <cell r="C1024">
            <v>10</v>
          </cell>
          <cell r="D1024">
            <v>9</v>
          </cell>
          <cell r="E1024">
            <v>1</v>
          </cell>
        </row>
        <row r="1025">
          <cell r="A1025" t="str">
            <v>TEL</v>
          </cell>
          <cell r="B1025" t="str">
            <v>200920</v>
          </cell>
          <cell r="C1025">
            <v>12</v>
          </cell>
          <cell r="D1025">
            <v>8</v>
          </cell>
          <cell r="E1025">
            <v>4</v>
          </cell>
        </row>
        <row r="1026">
          <cell r="A1026" t="str">
            <v>TEL</v>
          </cell>
          <cell r="B1026" t="str">
            <v>201010</v>
          </cell>
          <cell r="C1026">
            <v>10</v>
          </cell>
          <cell r="D1026">
            <v>5</v>
          </cell>
          <cell r="E1026">
            <v>5</v>
          </cell>
        </row>
        <row r="1027">
          <cell r="A1027" t="str">
            <v>TEL</v>
          </cell>
          <cell r="B1027" t="str">
            <v>201020</v>
          </cell>
          <cell r="C1027">
            <v>16</v>
          </cell>
          <cell r="D1027">
            <v>7</v>
          </cell>
          <cell r="E1027">
            <v>9</v>
          </cell>
        </row>
        <row r="1028">
          <cell r="A1028" t="str">
            <v>TEL</v>
          </cell>
          <cell r="B1028" t="str">
            <v>201110</v>
          </cell>
          <cell r="C1028">
            <v>8</v>
          </cell>
          <cell r="D1028">
            <v>3</v>
          </cell>
          <cell r="E1028">
            <v>5</v>
          </cell>
        </row>
        <row r="1029">
          <cell r="A1029" t="str">
            <v>TEL</v>
          </cell>
          <cell r="B1029" t="str">
            <v>201120</v>
          </cell>
          <cell r="C1029">
            <v>17</v>
          </cell>
          <cell r="D1029">
            <v>10</v>
          </cell>
          <cell r="E1029">
            <v>7</v>
          </cell>
        </row>
        <row r="1030">
          <cell r="A1030" t="str">
            <v>TEL</v>
          </cell>
          <cell r="B1030" t="str">
            <v>201210</v>
          </cell>
          <cell r="C1030">
            <v>13</v>
          </cell>
          <cell r="D1030">
            <v>5</v>
          </cell>
          <cell r="E1030">
            <v>8</v>
          </cell>
        </row>
        <row r="1031">
          <cell r="A1031" t="str">
            <v>TEL</v>
          </cell>
          <cell r="B1031" t="str">
            <v>201220</v>
          </cell>
          <cell r="C1031">
            <v>10</v>
          </cell>
          <cell r="D1031">
            <v>2</v>
          </cell>
          <cell r="E1031">
            <v>8</v>
          </cell>
        </row>
        <row r="1032">
          <cell r="A1032" t="str">
            <v>TEL</v>
          </cell>
          <cell r="B1032" t="str">
            <v>201310</v>
          </cell>
          <cell r="C1032">
            <v>15</v>
          </cell>
          <cell r="D1032">
            <v>12</v>
          </cell>
          <cell r="E1032">
            <v>3</v>
          </cell>
        </row>
        <row r="1033">
          <cell r="A1033" t="str">
            <v>TEL</v>
          </cell>
          <cell r="B1033" t="str">
            <v>201320</v>
          </cell>
          <cell r="C1033">
            <v>13</v>
          </cell>
          <cell r="D1033">
            <v>6</v>
          </cell>
          <cell r="E1033">
            <v>7</v>
          </cell>
        </row>
        <row r="1034">
          <cell r="A1034" t="str">
            <v>TEL</v>
          </cell>
          <cell r="B1034" t="str">
            <v>201410</v>
          </cell>
          <cell r="C1034">
            <v>12</v>
          </cell>
          <cell r="D1034">
            <v>7</v>
          </cell>
          <cell r="E1034">
            <v>5</v>
          </cell>
        </row>
        <row r="1035">
          <cell r="A1035" t="str">
            <v>TEL</v>
          </cell>
          <cell r="B1035" t="str">
            <v>201420</v>
          </cell>
          <cell r="C1035">
            <v>15</v>
          </cell>
          <cell r="D1035">
            <v>5</v>
          </cell>
          <cell r="E1035">
            <v>10</v>
          </cell>
        </row>
        <row r="1036">
          <cell r="A1036" t="str">
            <v>TEL</v>
          </cell>
          <cell r="B1036" t="str">
            <v>201510</v>
          </cell>
          <cell r="C1036">
            <v>20</v>
          </cell>
          <cell r="D1036">
            <v>10</v>
          </cell>
          <cell r="E1036">
            <v>10</v>
          </cell>
        </row>
        <row r="1037">
          <cell r="A1037" t="str">
            <v>TEL</v>
          </cell>
          <cell r="B1037" t="str">
            <v>201520</v>
          </cell>
          <cell r="C1037">
            <v>10</v>
          </cell>
          <cell r="D1037">
            <v>2</v>
          </cell>
          <cell r="E1037">
            <v>8</v>
          </cell>
        </row>
        <row r="1038">
          <cell r="A1038" t="str">
            <v>TEL</v>
          </cell>
          <cell r="B1038" t="str">
            <v>201610</v>
          </cell>
          <cell r="C1038">
            <v>24</v>
          </cell>
          <cell r="D1038">
            <v>9</v>
          </cell>
          <cell r="E1038">
            <v>15</v>
          </cell>
        </row>
        <row r="1039">
          <cell r="A1039" t="str">
            <v>TEL</v>
          </cell>
          <cell r="B1039" t="str">
            <v>201620</v>
          </cell>
          <cell r="C1039">
            <v>10</v>
          </cell>
          <cell r="D1039">
            <v>5</v>
          </cell>
          <cell r="E1039">
            <v>5</v>
          </cell>
        </row>
        <row r="1040">
          <cell r="A1040" t="str">
            <v>TEL</v>
          </cell>
          <cell r="B1040" t="str">
            <v>201710</v>
          </cell>
          <cell r="C1040">
            <v>25</v>
          </cell>
          <cell r="D1040">
            <v>12</v>
          </cell>
          <cell r="E1040">
            <v>12</v>
          </cell>
        </row>
        <row r="1041">
          <cell r="A1041" t="str">
            <v>TEL</v>
          </cell>
          <cell r="B1041" t="str">
            <v>201720</v>
          </cell>
          <cell r="C1041">
            <v>11</v>
          </cell>
          <cell r="D1041">
            <v>6</v>
          </cell>
          <cell r="E1041">
            <v>2</v>
          </cell>
        </row>
        <row r="1042">
          <cell r="A1042" t="str">
            <v>TEL</v>
          </cell>
          <cell r="B1042" t="str">
            <v>201810</v>
          </cell>
          <cell r="C1042">
            <v>12</v>
          </cell>
          <cell r="D1042">
            <v>6</v>
          </cell>
          <cell r="E1042">
            <v>5</v>
          </cell>
        </row>
        <row r="1043">
          <cell r="A1043" t="str">
            <v>TEL</v>
          </cell>
          <cell r="B1043" t="str">
            <v>201820</v>
          </cell>
          <cell r="C1043">
            <v>16</v>
          </cell>
          <cell r="D1043">
            <v>6</v>
          </cell>
          <cell r="E1043">
            <v>8</v>
          </cell>
        </row>
        <row r="1044">
          <cell r="A1044" t="str">
            <v>TEL</v>
          </cell>
          <cell r="B1044" t="str">
            <v>201910</v>
          </cell>
          <cell r="C1044">
            <v>10</v>
          </cell>
          <cell r="D1044">
            <v>3</v>
          </cell>
          <cell r="E1044">
            <v>7</v>
          </cell>
        </row>
        <row r="1045">
          <cell r="A1045" t="str">
            <v>TEL</v>
          </cell>
          <cell r="B1045" t="str">
            <v>201920</v>
          </cell>
          <cell r="C1045">
            <v>13</v>
          </cell>
          <cell r="D1045">
            <v>4</v>
          </cell>
          <cell r="E1045">
            <v>1</v>
          </cell>
        </row>
        <row r="1046">
          <cell r="A1046" t="str">
            <v>TEL</v>
          </cell>
          <cell r="B1046" t="str">
            <v>202010</v>
          </cell>
          <cell r="C1046">
            <v>21</v>
          </cell>
          <cell r="D1046">
            <v>3</v>
          </cell>
          <cell r="E1046">
            <v>0</v>
          </cell>
        </row>
        <row r="1047">
          <cell r="A1047" t="str">
            <v>TEL</v>
          </cell>
          <cell r="B1047" t="str">
            <v>202020</v>
          </cell>
          <cell r="C1047">
            <v>9</v>
          </cell>
          <cell r="D1047">
            <v>4</v>
          </cell>
          <cell r="E1047">
            <v>1</v>
          </cell>
        </row>
        <row r="1048">
          <cell r="A1048" t="str">
            <v>TEL</v>
          </cell>
          <cell r="B1048" t="str">
            <v>202110</v>
          </cell>
          <cell r="C1048">
            <v>6</v>
          </cell>
          <cell r="D1048">
            <v>0</v>
          </cell>
          <cell r="E1048">
            <v>0</v>
          </cell>
        </row>
        <row r="1049">
          <cell r="A1049" t="str">
            <v>TEL</v>
          </cell>
          <cell r="B1049" t="str">
            <v>202120</v>
          </cell>
          <cell r="C1049">
            <v>5</v>
          </cell>
          <cell r="D1049">
            <v>0</v>
          </cell>
          <cell r="E1049">
            <v>0</v>
          </cell>
        </row>
        <row r="1050">
          <cell r="A1050" t="str">
            <v>TEL</v>
          </cell>
          <cell r="B1050" t="str">
            <v>202210</v>
          </cell>
          <cell r="C1050">
            <v>18</v>
          </cell>
          <cell r="D1050">
            <v>4</v>
          </cell>
          <cell r="E1050">
            <v>0</v>
          </cell>
        </row>
        <row r="1051">
          <cell r="A1051" t="str">
            <v>TEL</v>
          </cell>
          <cell r="B1051" t="str">
            <v>202220</v>
          </cell>
          <cell r="C1051">
            <v>11</v>
          </cell>
          <cell r="D1051">
            <v>3</v>
          </cell>
          <cell r="E1051">
            <v>0</v>
          </cell>
        </row>
        <row r="1052">
          <cell r="A1052" t="str">
            <v>TEL</v>
          </cell>
          <cell r="B1052" t="str">
            <v>202310</v>
          </cell>
          <cell r="C1052">
            <v>20</v>
          </cell>
          <cell r="D1052">
            <v>1</v>
          </cell>
          <cell r="E1052">
            <v>0</v>
          </cell>
        </row>
        <row r="1053">
          <cell r="A1053" t="str">
            <v>TEL</v>
          </cell>
          <cell r="B1053" t="str">
            <v>202320</v>
          </cell>
          <cell r="C1053">
            <v>16</v>
          </cell>
          <cell r="D1053">
            <v>0</v>
          </cell>
          <cell r="E1053">
            <v>0</v>
          </cell>
        </row>
      </sheetData>
      <sheetData sheetId="9">
        <row r="1">
          <cell r="A1" t="str">
            <v>Programa</v>
          </cell>
          <cell r="B1" t="str">
            <v>Periodo de ingreso - programa</v>
          </cell>
          <cell r="C1" t="str">
            <v>No. Estudiantes</v>
          </cell>
          <cell r="D1" t="str">
            <v>No. Retirados Programa</v>
          </cell>
          <cell r="E1" t="str">
            <v>No. Graduados Programa</v>
          </cell>
        </row>
        <row r="2">
          <cell r="A2" t="str">
            <v>ADD</v>
          </cell>
          <cell r="B2" t="str">
            <v>198720</v>
          </cell>
          <cell r="C2">
            <v>1</v>
          </cell>
          <cell r="D2">
            <v>1</v>
          </cell>
          <cell r="E2">
            <v>0</v>
          </cell>
        </row>
        <row r="3">
          <cell r="A3" t="str">
            <v>ADD</v>
          </cell>
          <cell r="B3" t="str">
            <v>199310</v>
          </cell>
          <cell r="C3">
            <v>1</v>
          </cell>
          <cell r="D3">
            <v>1</v>
          </cell>
          <cell r="E3">
            <v>0</v>
          </cell>
        </row>
        <row r="4">
          <cell r="A4" t="str">
            <v>ADD</v>
          </cell>
          <cell r="B4" t="str">
            <v>199410</v>
          </cell>
          <cell r="C4">
            <v>2</v>
          </cell>
          <cell r="D4">
            <v>1</v>
          </cell>
          <cell r="E4">
            <v>1</v>
          </cell>
        </row>
        <row r="5">
          <cell r="A5" t="str">
            <v>ADD</v>
          </cell>
          <cell r="B5" t="str">
            <v>199510</v>
          </cell>
          <cell r="C5">
            <v>2</v>
          </cell>
          <cell r="D5">
            <v>0</v>
          </cell>
          <cell r="E5">
            <v>2</v>
          </cell>
        </row>
        <row r="6">
          <cell r="A6" t="str">
            <v>ADD</v>
          </cell>
          <cell r="B6" t="str">
            <v>199520</v>
          </cell>
          <cell r="C6">
            <v>3</v>
          </cell>
          <cell r="D6">
            <v>0</v>
          </cell>
          <cell r="E6">
            <v>3</v>
          </cell>
        </row>
        <row r="7">
          <cell r="A7" t="str">
            <v>ADD</v>
          </cell>
          <cell r="B7" t="str">
            <v>199610</v>
          </cell>
          <cell r="C7">
            <v>1</v>
          </cell>
          <cell r="D7">
            <v>1</v>
          </cell>
          <cell r="E7">
            <v>0</v>
          </cell>
        </row>
        <row r="8">
          <cell r="A8" t="str">
            <v>ADD</v>
          </cell>
          <cell r="B8" t="str">
            <v>199620</v>
          </cell>
          <cell r="C8">
            <v>12</v>
          </cell>
          <cell r="D8">
            <v>8</v>
          </cell>
          <cell r="E8">
            <v>4</v>
          </cell>
        </row>
        <row r="9">
          <cell r="A9" t="str">
            <v>ADD</v>
          </cell>
          <cell r="B9" t="str">
            <v>199710</v>
          </cell>
          <cell r="C9">
            <v>4</v>
          </cell>
          <cell r="D9">
            <v>2</v>
          </cell>
          <cell r="E9">
            <v>2</v>
          </cell>
        </row>
        <row r="10">
          <cell r="A10" t="str">
            <v>ADD</v>
          </cell>
          <cell r="B10" t="str">
            <v>199720</v>
          </cell>
          <cell r="C10">
            <v>12</v>
          </cell>
          <cell r="D10">
            <v>5</v>
          </cell>
          <cell r="E10">
            <v>7</v>
          </cell>
        </row>
        <row r="11">
          <cell r="A11" t="str">
            <v>ADD</v>
          </cell>
          <cell r="B11" t="str">
            <v>199810</v>
          </cell>
          <cell r="C11">
            <v>6</v>
          </cell>
          <cell r="D11">
            <v>5</v>
          </cell>
          <cell r="E11">
            <v>1</v>
          </cell>
        </row>
        <row r="12">
          <cell r="A12" t="str">
            <v>ADD</v>
          </cell>
          <cell r="B12" t="str">
            <v>199820</v>
          </cell>
          <cell r="C12">
            <v>3</v>
          </cell>
          <cell r="D12">
            <v>2</v>
          </cell>
          <cell r="E12">
            <v>1</v>
          </cell>
        </row>
        <row r="13">
          <cell r="A13" t="str">
            <v>ADD</v>
          </cell>
          <cell r="B13" t="str">
            <v>199910</v>
          </cell>
          <cell r="C13">
            <v>5</v>
          </cell>
          <cell r="D13">
            <v>3</v>
          </cell>
          <cell r="E13">
            <v>2</v>
          </cell>
        </row>
        <row r="14">
          <cell r="A14" t="str">
            <v>ADD</v>
          </cell>
          <cell r="B14" t="str">
            <v>199920</v>
          </cell>
          <cell r="C14">
            <v>5</v>
          </cell>
          <cell r="D14">
            <v>2</v>
          </cell>
          <cell r="E14">
            <v>3</v>
          </cell>
        </row>
        <row r="15">
          <cell r="A15" t="str">
            <v>ADD</v>
          </cell>
          <cell r="B15" t="str">
            <v>200010</v>
          </cell>
          <cell r="C15">
            <v>4</v>
          </cell>
          <cell r="D15">
            <v>1</v>
          </cell>
          <cell r="E15">
            <v>3</v>
          </cell>
        </row>
        <row r="16">
          <cell r="A16" t="str">
            <v>ADD</v>
          </cell>
          <cell r="B16" t="str">
            <v>200020</v>
          </cell>
          <cell r="C16">
            <v>2</v>
          </cell>
          <cell r="D16">
            <v>1</v>
          </cell>
          <cell r="E16">
            <v>1</v>
          </cell>
        </row>
        <row r="17">
          <cell r="A17" t="str">
            <v>ADD</v>
          </cell>
          <cell r="B17" t="str">
            <v>200120</v>
          </cell>
          <cell r="C17">
            <v>3</v>
          </cell>
          <cell r="D17">
            <v>2</v>
          </cell>
          <cell r="E17">
            <v>1</v>
          </cell>
        </row>
        <row r="18">
          <cell r="A18" t="str">
            <v>ADD</v>
          </cell>
          <cell r="B18" t="str">
            <v>200210</v>
          </cell>
          <cell r="C18">
            <v>5</v>
          </cell>
          <cell r="D18">
            <v>2</v>
          </cell>
          <cell r="E18">
            <v>3</v>
          </cell>
        </row>
        <row r="19">
          <cell r="A19" t="str">
            <v>ADD</v>
          </cell>
          <cell r="B19" t="str">
            <v>200220</v>
          </cell>
          <cell r="C19">
            <v>6</v>
          </cell>
          <cell r="D19">
            <v>6</v>
          </cell>
          <cell r="E19">
            <v>0</v>
          </cell>
        </row>
        <row r="20">
          <cell r="A20" t="str">
            <v>ADD</v>
          </cell>
          <cell r="B20" t="str">
            <v>200310</v>
          </cell>
          <cell r="C20">
            <v>7</v>
          </cell>
          <cell r="D20">
            <v>4</v>
          </cell>
          <cell r="E20">
            <v>3</v>
          </cell>
        </row>
        <row r="21">
          <cell r="A21" t="str">
            <v>ADD</v>
          </cell>
          <cell r="B21" t="str">
            <v>200320</v>
          </cell>
          <cell r="C21">
            <v>11</v>
          </cell>
          <cell r="D21">
            <v>7</v>
          </cell>
          <cell r="E21">
            <v>4</v>
          </cell>
        </row>
        <row r="22">
          <cell r="A22" t="str">
            <v>ADD</v>
          </cell>
          <cell r="B22" t="str">
            <v>200410</v>
          </cell>
          <cell r="C22">
            <v>5</v>
          </cell>
          <cell r="D22">
            <v>3</v>
          </cell>
          <cell r="E22">
            <v>2</v>
          </cell>
        </row>
        <row r="23">
          <cell r="A23" t="str">
            <v>ADD</v>
          </cell>
          <cell r="B23" t="str">
            <v>200420</v>
          </cell>
          <cell r="C23">
            <v>19</v>
          </cell>
          <cell r="D23">
            <v>12</v>
          </cell>
          <cell r="E23">
            <v>7</v>
          </cell>
        </row>
        <row r="24">
          <cell r="A24" t="str">
            <v>ADD</v>
          </cell>
          <cell r="B24" t="str">
            <v>200510</v>
          </cell>
          <cell r="C24">
            <v>7</v>
          </cell>
          <cell r="D24">
            <v>5</v>
          </cell>
          <cell r="E24">
            <v>2</v>
          </cell>
        </row>
        <row r="25">
          <cell r="A25" t="str">
            <v>ADD</v>
          </cell>
          <cell r="B25" t="str">
            <v>200520</v>
          </cell>
          <cell r="C25">
            <v>15</v>
          </cell>
          <cell r="D25">
            <v>10</v>
          </cell>
          <cell r="E25">
            <v>5</v>
          </cell>
        </row>
        <row r="26">
          <cell r="A26" t="str">
            <v>ADD</v>
          </cell>
          <cell r="B26" t="str">
            <v>200610</v>
          </cell>
          <cell r="C26">
            <v>12</v>
          </cell>
          <cell r="D26">
            <v>6</v>
          </cell>
          <cell r="E26">
            <v>6</v>
          </cell>
        </row>
        <row r="27">
          <cell r="A27" t="str">
            <v>ADD</v>
          </cell>
          <cell r="B27" t="str">
            <v>200620</v>
          </cell>
          <cell r="C27">
            <v>22</v>
          </cell>
          <cell r="D27">
            <v>14</v>
          </cell>
          <cell r="E27">
            <v>8</v>
          </cell>
        </row>
        <row r="28">
          <cell r="A28" t="str">
            <v>ADD</v>
          </cell>
          <cell r="B28" t="str">
            <v>200710</v>
          </cell>
          <cell r="C28">
            <v>9</v>
          </cell>
          <cell r="D28">
            <v>7</v>
          </cell>
          <cell r="E28">
            <v>2</v>
          </cell>
        </row>
        <row r="29">
          <cell r="A29" t="str">
            <v>ADD</v>
          </cell>
          <cell r="B29" t="str">
            <v>200720</v>
          </cell>
          <cell r="C29">
            <v>27</v>
          </cell>
          <cell r="D29">
            <v>14</v>
          </cell>
          <cell r="E29">
            <v>13</v>
          </cell>
        </row>
        <row r="30">
          <cell r="A30" t="str">
            <v>ADD</v>
          </cell>
          <cell r="B30" t="str">
            <v>200810</v>
          </cell>
          <cell r="C30">
            <v>15</v>
          </cell>
          <cell r="D30">
            <v>8</v>
          </cell>
          <cell r="E30">
            <v>7</v>
          </cell>
        </row>
        <row r="31">
          <cell r="A31" t="str">
            <v>ADD</v>
          </cell>
          <cell r="B31" t="str">
            <v>200820</v>
          </cell>
          <cell r="C31">
            <v>24</v>
          </cell>
          <cell r="D31">
            <v>12</v>
          </cell>
          <cell r="E31">
            <v>12</v>
          </cell>
        </row>
        <row r="32">
          <cell r="A32" t="str">
            <v>ADD</v>
          </cell>
          <cell r="B32" t="str">
            <v>200910</v>
          </cell>
          <cell r="C32">
            <v>17</v>
          </cell>
          <cell r="D32">
            <v>10</v>
          </cell>
          <cell r="E32">
            <v>7</v>
          </cell>
        </row>
        <row r="33">
          <cell r="A33" t="str">
            <v>ADD</v>
          </cell>
          <cell r="B33" t="str">
            <v>200920</v>
          </cell>
          <cell r="C33">
            <v>17</v>
          </cell>
          <cell r="D33">
            <v>8</v>
          </cell>
          <cell r="E33">
            <v>9</v>
          </cell>
        </row>
        <row r="34">
          <cell r="A34" t="str">
            <v>ADD</v>
          </cell>
          <cell r="B34" t="str">
            <v>201010</v>
          </cell>
          <cell r="C34">
            <v>17</v>
          </cell>
          <cell r="D34">
            <v>7</v>
          </cell>
          <cell r="E34">
            <v>10</v>
          </cell>
        </row>
        <row r="35">
          <cell r="A35" t="str">
            <v>ADD</v>
          </cell>
          <cell r="B35" t="str">
            <v>201020</v>
          </cell>
          <cell r="C35">
            <v>17</v>
          </cell>
          <cell r="D35">
            <v>7</v>
          </cell>
          <cell r="E35">
            <v>10</v>
          </cell>
        </row>
        <row r="36">
          <cell r="A36" t="str">
            <v>ADD</v>
          </cell>
          <cell r="B36" t="str">
            <v>201110</v>
          </cell>
          <cell r="C36">
            <v>17</v>
          </cell>
          <cell r="D36">
            <v>10</v>
          </cell>
          <cell r="E36">
            <v>7</v>
          </cell>
        </row>
        <row r="37">
          <cell r="A37" t="str">
            <v>ADD</v>
          </cell>
          <cell r="B37" t="str">
            <v>201120</v>
          </cell>
          <cell r="C37">
            <v>26</v>
          </cell>
          <cell r="D37">
            <v>9</v>
          </cell>
          <cell r="E37">
            <v>17</v>
          </cell>
        </row>
        <row r="38">
          <cell r="A38" t="str">
            <v>ADD</v>
          </cell>
          <cell r="B38" t="str">
            <v>201210</v>
          </cell>
          <cell r="C38">
            <v>16</v>
          </cell>
          <cell r="D38">
            <v>6</v>
          </cell>
          <cell r="E38">
            <v>10</v>
          </cell>
        </row>
        <row r="39">
          <cell r="A39" t="str">
            <v>ADD</v>
          </cell>
          <cell r="B39" t="str">
            <v>201220</v>
          </cell>
          <cell r="C39">
            <v>14</v>
          </cell>
          <cell r="D39">
            <v>4</v>
          </cell>
          <cell r="E39">
            <v>10</v>
          </cell>
        </row>
        <row r="40">
          <cell r="A40" t="str">
            <v>ADD</v>
          </cell>
          <cell r="B40" t="str">
            <v>201310</v>
          </cell>
          <cell r="C40">
            <v>24</v>
          </cell>
          <cell r="D40">
            <v>7</v>
          </cell>
          <cell r="E40">
            <v>17</v>
          </cell>
        </row>
        <row r="41">
          <cell r="A41" t="str">
            <v>ADD</v>
          </cell>
          <cell r="B41" t="str">
            <v>201320</v>
          </cell>
          <cell r="C41">
            <v>18</v>
          </cell>
          <cell r="D41">
            <v>7</v>
          </cell>
          <cell r="E41">
            <v>11</v>
          </cell>
        </row>
        <row r="42">
          <cell r="A42" t="str">
            <v>ADD</v>
          </cell>
          <cell r="B42" t="str">
            <v>201410</v>
          </cell>
          <cell r="C42">
            <v>30</v>
          </cell>
          <cell r="D42">
            <v>11</v>
          </cell>
          <cell r="E42">
            <v>19</v>
          </cell>
        </row>
        <row r="43">
          <cell r="A43" t="str">
            <v>ADD</v>
          </cell>
          <cell r="B43" t="str">
            <v>201420</v>
          </cell>
          <cell r="C43">
            <v>29</v>
          </cell>
          <cell r="D43">
            <v>12</v>
          </cell>
          <cell r="E43">
            <v>17</v>
          </cell>
        </row>
        <row r="44">
          <cell r="A44" t="str">
            <v>ADD</v>
          </cell>
          <cell r="B44" t="str">
            <v>201510</v>
          </cell>
          <cell r="C44">
            <v>24</v>
          </cell>
          <cell r="D44">
            <v>9</v>
          </cell>
          <cell r="E44">
            <v>15</v>
          </cell>
        </row>
        <row r="45">
          <cell r="A45" t="str">
            <v>ADD</v>
          </cell>
          <cell r="B45" t="str">
            <v>201520</v>
          </cell>
          <cell r="C45">
            <v>29</v>
          </cell>
          <cell r="D45">
            <v>10</v>
          </cell>
          <cell r="E45">
            <v>19</v>
          </cell>
        </row>
        <row r="46">
          <cell r="A46" t="str">
            <v>ADD</v>
          </cell>
          <cell r="B46" t="str">
            <v>201610</v>
          </cell>
          <cell r="C46">
            <v>40</v>
          </cell>
          <cell r="D46">
            <v>19</v>
          </cell>
          <cell r="E46">
            <v>21</v>
          </cell>
        </row>
        <row r="47">
          <cell r="A47" t="str">
            <v>ADD</v>
          </cell>
          <cell r="B47" t="str">
            <v>201620</v>
          </cell>
          <cell r="C47">
            <v>32</v>
          </cell>
          <cell r="D47">
            <v>8</v>
          </cell>
          <cell r="E47">
            <v>23</v>
          </cell>
        </row>
        <row r="48">
          <cell r="A48" t="str">
            <v>ADD</v>
          </cell>
          <cell r="B48" t="str">
            <v>201710</v>
          </cell>
          <cell r="C48">
            <v>34</v>
          </cell>
          <cell r="D48">
            <v>8</v>
          </cell>
          <cell r="E48">
            <v>26</v>
          </cell>
        </row>
        <row r="49">
          <cell r="A49" t="str">
            <v>ADD</v>
          </cell>
          <cell r="B49" t="str">
            <v>201720</v>
          </cell>
          <cell r="C49">
            <v>23</v>
          </cell>
          <cell r="D49">
            <v>7</v>
          </cell>
          <cell r="E49">
            <v>13</v>
          </cell>
        </row>
        <row r="50">
          <cell r="A50" t="str">
            <v>ADD</v>
          </cell>
          <cell r="B50" t="str">
            <v>201810</v>
          </cell>
          <cell r="C50">
            <v>27</v>
          </cell>
          <cell r="D50">
            <v>9</v>
          </cell>
          <cell r="E50">
            <v>13</v>
          </cell>
        </row>
        <row r="51">
          <cell r="A51" t="str">
            <v>ADD</v>
          </cell>
          <cell r="B51" t="str">
            <v>201820</v>
          </cell>
          <cell r="C51">
            <v>24</v>
          </cell>
          <cell r="D51">
            <v>6</v>
          </cell>
          <cell r="E51">
            <v>15</v>
          </cell>
        </row>
        <row r="52">
          <cell r="A52" t="str">
            <v>ADD</v>
          </cell>
          <cell r="B52" t="str">
            <v>201910</v>
          </cell>
          <cell r="C52">
            <v>15</v>
          </cell>
          <cell r="D52">
            <v>4</v>
          </cell>
          <cell r="E52">
            <v>6</v>
          </cell>
        </row>
        <row r="53">
          <cell r="A53" t="str">
            <v>ADD</v>
          </cell>
          <cell r="B53" t="str">
            <v>201920</v>
          </cell>
          <cell r="C53">
            <v>12</v>
          </cell>
          <cell r="D53">
            <v>3</v>
          </cell>
          <cell r="E53">
            <v>1</v>
          </cell>
        </row>
        <row r="54">
          <cell r="A54" t="str">
            <v>ADD</v>
          </cell>
          <cell r="B54" t="str">
            <v>202010</v>
          </cell>
          <cell r="C54">
            <v>11</v>
          </cell>
          <cell r="D54">
            <v>2</v>
          </cell>
          <cell r="E54">
            <v>0</v>
          </cell>
        </row>
        <row r="55">
          <cell r="A55" t="str">
            <v>ADD</v>
          </cell>
          <cell r="B55" t="str">
            <v>202020</v>
          </cell>
          <cell r="C55">
            <v>10</v>
          </cell>
          <cell r="D55">
            <v>0</v>
          </cell>
          <cell r="E55">
            <v>1</v>
          </cell>
        </row>
        <row r="56">
          <cell r="A56" t="str">
            <v>ADD</v>
          </cell>
          <cell r="B56" t="str">
            <v>202110</v>
          </cell>
          <cell r="C56">
            <v>14</v>
          </cell>
          <cell r="D56">
            <v>1</v>
          </cell>
          <cell r="E56">
            <v>0</v>
          </cell>
        </row>
        <row r="57">
          <cell r="A57" t="str">
            <v>ADD</v>
          </cell>
          <cell r="B57" t="str">
            <v>202120</v>
          </cell>
          <cell r="C57">
            <v>16</v>
          </cell>
          <cell r="D57">
            <v>5</v>
          </cell>
          <cell r="E57">
            <v>0</v>
          </cell>
        </row>
        <row r="58">
          <cell r="A58" t="str">
            <v>ADD</v>
          </cell>
          <cell r="B58" t="str">
            <v>202210</v>
          </cell>
          <cell r="C58">
            <v>33</v>
          </cell>
          <cell r="D58">
            <v>11</v>
          </cell>
          <cell r="E58">
            <v>0</v>
          </cell>
        </row>
        <row r="59">
          <cell r="A59" t="str">
            <v>ADD</v>
          </cell>
          <cell r="B59" t="str">
            <v>202220</v>
          </cell>
          <cell r="C59">
            <v>18</v>
          </cell>
          <cell r="D59">
            <v>3</v>
          </cell>
          <cell r="E59">
            <v>0</v>
          </cell>
        </row>
        <row r="60">
          <cell r="A60" t="str">
            <v>ADD</v>
          </cell>
          <cell r="B60" t="str">
            <v>202310</v>
          </cell>
          <cell r="C60">
            <v>24</v>
          </cell>
          <cell r="D60">
            <v>4</v>
          </cell>
          <cell r="E60">
            <v>0</v>
          </cell>
        </row>
        <row r="61">
          <cell r="A61" t="str">
            <v>ADD</v>
          </cell>
          <cell r="B61" t="str">
            <v>202320</v>
          </cell>
          <cell r="C61">
            <v>20</v>
          </cell>
          <cell r="D61">
            <v>0</v>
          </cell>
          <cell r="E61">
            <v>0</v>
          </cell>
        </row>
        <row r="62">
          <cell r="A62" t="str">
            <v>ADN</v>
          </cell>
          <cell r="B62" t="str">
            <v>198820</v>
          </cell>
          <cell r="C62">
            <v>1</v>
          </cell>
          <cell r="D62">
            <v>0</v>
          </cell>
          <cell r="E62">
            <v>1</v>
          </cell>
        </row>
        <row r="63">
          <cell r="A63" t="str">
            <v>ADN</v>
          </cell>
          <cell r="B63" t="str">
            <v>199010</v>
          </cell>
          <cell r="C63">
            <v>1</v>
          </cell>
          <cell r="D63">
            <v>0</v>
          </cell>
          <cell r="E63">
            <v>1</v>
          </cell>
        </row>
        <row r="64">
          <cell r="A64" t="str">
            <v>ADN</v>
          </cell>
          <cell r="B64" t="str">
            <v>199220</v>
          </cell>
          <cell r="C64">
            <v>1</v>
          </cell>
          <cell r="D64">
            <v>1</v>
          </cell>
          <cell r="E64">
            <v>0</v>
          </cell>
        </row>
        <row r="65">
          <cell r="A65" t="str">
            <v>ADN</v>
          </cell>
          <cell r="B65" t="str">
            <v>199310</v>
          </cell>
          <cell r="C65">
            <v>1</v>
          </cell>
          <cell r="D65">
            <v>0</v>
          </cell>
          <cell r="E65">
            <v>1</v>
          </cell>
        </row>
        <row r="66">
          <cell r="A66" t="str">
            <v>ADN</v>
          </cell>
          <cell r="B66" t="str">
            <v>199420</v>
          </cell>
          <cell r="C66">
            <v>6</v>
          </cell>
          <cell r="D66">
            <v>2</v>
          </cell>
          <cell r="E66">
            <v>4</v>
          </cell>
        </row>
        <row r="67">
          <cell r="A67" t="str">
            <v>ADN</v>
          </cell>
          <cell r="B67" t="str">
            <v>199510</v>
          </cell>
          <cell r="C67">
            <v>5</v>
          </cell>
          <cell r="D67">
            <v>0</v>
          </cell>
          <cell r="E67">
            <v>5</v>
          </cell>
        </row>
        <row r="68">
          <cell r="A68" t="str">
            <v>ADN</v>
          </cell>
          <cell r="B68" t="str">
            <v>199520</v>
          </cell>
          <cell r="C68">
            <v>5</v>
          </cell>
          <cell r="D68">
            <v>0</v>
          </cell>
          <cell r="E68">
            <v>5</v>
          </cell>
        </row>
        <row r="69">
          <cell r="A69" t="str">
            <v>ADN</v>
          </cell>
          <cell r="B69" t="str">
            <v>199610</v>
          </cell>
          <cell r="C69">
            <v>2</v>
          </cell>
          <cell r="D69">
            <v>0</v>
          </cell>
          <cell r="E69">
            <v>2</v>
          </cell>
        </row>
        <row r="70">
          <cell r="A70" t="str">
            <v>ADN</v>
          </cell>
          <cell r="B70" t="str">
            <v>199620</v>
          </cell>
          <cell r="C70">
            <v>12</v>
          </cell>
          <cell r="D70">
            <v>8</v>
          </cell>
          <cell r="E70">
            <v>4</v>
          </cell>
        </row>
        <row r="71">
          <cell r="A71" t="str">
            <v>ADN</v>
          </cell>
          <cell r="B71" t="str">
            <v>199710</v>
          </cell>
          <cell r="C71">
            <v>11</v>
          </cell>
          <cell r="D71">
            <v>5</v>
          </cell>
          <cell r="E71">
            <v>6</v>
          </cell>
        </row>
        <row r="72">
          <cell r="A72" t="str">
            <v>ADN</v>
          </cell>
          <cell r="B72" t="str">
            <v>199720</v>
          </cell>
          <cell r="C72">
            <v>13</v>
          </cell>
          <cell r="D72">
            <v>8</v>
          </cell>
          <cell r="E72">
            <v>5</v>
          </cell>
        </row>
        <row r="73">
          <cell r="A73" t="str">
            <v>ADN</v>
          </cell>
          <cell r="B73" t="str">
            <v>199810</v>
          </cell>
          <cell r="C73">
            <v>11</v>
          </cell>
          <cell r="D73">
            <v>7</v>
          </cell>
          <cell r="E73">
            <v>4</v>
          </cell>
        </row>
        <row r="74">
          <cell r="A74" t="str">
            <v>ADN</v>
          </cell>
          <cell r="B74" t="str">
            <v>199820</v>
          </cell>
          <cell r="C74">
            <v>15</v>
          </cell>
          <cell r="D74">
            <v>10</v>
          </cell>
          <cell r="E74">
            <v>5</v>
          </cell>
        </row>
        <row r="75">
          <cell r="A75" t="str">
            <v>ADN</v>
          </cell>
          <cell r="B75" t="str">
            <v>199910</v>
          </cell>
          <cell r="C75">
            <v>5</v>
          </cell>
          <cell r="D75">
            <v>4</v>
          </cell>
          <cell r="E75">
            <v>1</v>
          </cell>
        </row>
        <row r="76">
          <cell r="A76" t="str">
            <v>ADN</v>
          </cell>
          <cell r="B76" t="str">
            <v>199920</v>
          </cell>
          <cell r="C76">
            <v>7</v>
          </cell>
          <cell r="D76">
            <v>4</v>
          </cell>
          <cell r="E76">
            <v>3</v>
          </cell>
        </row>
        <row r="77">
          <cell r="A77" t="str">
            <v>ADN</v>
          </cell>
          <cell r="B77" t="str">
            <v>200010</v>
          </cell>
          <cell r="C77">
            <v>6</v>
          </cell>
          <cell r="D77">
            <v>3</v>
          </cell>
          <cell r="E77">
            <v>3</v>
          </cell>
        </row>
        <row r="78">
          <cell r="A78" t="str">
            <v>ADN</v>
          </cell>
          <cell r="B78" t="str">
            <v>200020</v>
          </cell>
          <cell r="C78">
            <v>13</v>
          </cell>
          <cell r="D78">
            <v>8</v>
          </cell>
          <cell r="E78">
            <v>5</v>
          </cell>
        </row>
        <row r="79">
          <cell r="A79" t="str">
            <v>ADN</v>
          </cell>
          <cell r="B79" t="str">
            <v>200110</v>
          </cell>
          <cell r="C79">
            <v>9</v>
          </cell>
          <cell r="D79">
            <v>7</v>
          </cell>
          <cell r="E79">
            <v>2</v>
          </cell>
        </row>
        <row r="80">
          <cell r="A80" t="str">
            <v>ADN</v>
          </cell>
          <cell r="B80" t="str">
            <v>200120</v>
          </cell>
          <cell r="C80">
            <v>17</v>
          </cell>
          <cell r="D80">
            <v>7</v>
          </cell>
          <cell r="E80">
            <v>10</v>
          </cell>
        </row>
        <row r="81">
          <cell r="A81" t="str">
            <v>ADN</v>
          </cell>
          <cell r="B81" t="str">
            <v>200210</v>
          </cell>
          <cell r="C81">
            <v>27</v>
          </cell>
          <cell r="D81">
            <v>14</v>
          </cell>
          <cell r="E81">
            <v>13</v>
          </cell>
        </row>
        <row r="82">
          <cell r="A82" t="str">
            <v>ADN</v>
          </cell>
          <cell r="B82" t="str">
            <v>200220</v>
          </cell>
          <cell r="C82">
            <v>30</v>
          </cell>
          <cell r="D82">
            <v>17</v>
          </cell>
          <cell r="E82">
            <v>13</v>
          </cell>
        </row>
        <row r="83">
          <cell r="A83" t="str">
            <v>ADN</v>
          </cell>
          <cell r="B83" t="str">
            <v>200310</v>
          </cell>
          <cell r="C83">
            <v>25</v>
          </cell>
          <cell r="D83">
            <v>18</v>
          </cell>
          <cell r="E83">
            <v>7</v>
          </cell>
        </row>
        <row r="84">
          <cell r="A84" t="str">
            <v>ADN</v>
          </cell>
          <cell r="B84" t="str">
            <v>200320</v>
          </cell>
          <cell r="C84">
            <v>42</v>
          </cell>
          <cell r="D84">
            <v>26</v>
          </cell>
          <cell r="E84">
            <v>16</v>
          </cell>
        </row>
        <row r="85">
          <cell r="A85" t="str">
            <v>ADN</v>
          </cell>
          <cell r="B85" t="str">
            <v>200410</v>
          </cell>
          <cell r="C85">
            <v>26</v>
          </cell>
          <cell r="D85">
            <v>11</v>
          </cell>
          <cell r="E85">
            <v>15</v>
          </cell>
        </row>
        <row r="86">
          <cell r="A86" t="str">
            <v>ADN</v>
          </cell>
          <cell r="B86" t="str">
            <v>200420</v>
          </cell>
          <cell r="C86">
            <v>38</v>
          </cell>
          <cell r="D86">
            <v>26</v>
          </cell>
          <cell r="E86">
            <v>12</v>
          </cell>
        </row>
        <row r="87">
          <cell r="A87" t="str">
            <v>ADN</v>
          </cell>
          <cell r="B87" t="str">
            <v>200510</v>
          </cell>
          <cell r="C87">
            <v>16</v>
          </cell>
          <cell r="D87">
            <v>14</v>
          </cell>
          <cell r="E87">
            <v>2</v>
          </cell>
        </row>
        <row r="88">
          <cell r="A88" t="str">
            <v>ADN</v>
          </cell>
          <cell r="B88" t="str">
            <v>200520</v>
          </cell>
          <cell r="C88">
            <v>47</v>
          </cell>
          <cell r="D88">
            <v>34</v>
          </cell>
          <cell r="E88">
            <v>13</v>
          </cell>
        </row>
        <row r="89">
          <cell r="A89" t="str">
            <v>ADN</v>
          </cell>
          <cell r="B89" t="str">
            <v>200610</v>
          </cell>
          <cell r="C89">
            <v>35</v>
          </cell>
          <cell r="D89">
            <v>22</v>
          </cell>
          <cell r="E89">
            <v>13</v>
          </cell>
        </row>
        <row r="90">
          <cell r="A90" t="str">
            <v>ADN</v>
          </cell>
          <cell r="B90" t="str">
            <v>200620</v>
          </cell>
          <cell r="C90">
            <v>46</v>
          </cell>
          <cell r="D90">
            <v>27</v>
          </cell>
          <cell r="E90">
            <v>19</v>
          </cell>
        </row>
        <row r="91">
          <cell r="A91" t="str">
            <v>ADN</v>
          </cell>
          <cell r="B91" t="str">
            <v>200710</v>
          </cell>
          <cell r="C91">
            <v>28</v>
          </cell>
          <cell r="D91">
            <v>17</v>
          </cell>
          <cell r="E91">
            <v>11</v>
          </cell>
        </row>
        <row r="92">
          <cell r="A92" t="str">
            <v>ADN</v>
          </cell>
          <cell r="B92" t="str">
            <v>200720</v>
          </cell>
          <cell r="C92">
            <v>37</v>
          </cell>
          <cell r="D92">
            <v>28</v>
          </cell>
          <cell r="E92">
            <v>9</v>
          </cell>
        </row>
        <row r="93">
          <cell r="A93" t="str">
            <v>ADN</v>
          </cell>
          <cell r="B93" t="str">
            <v>200810</v>
          </cell>
          <cell r="C93">
            <v>21</v>
          </cell>
          <cell r="D93">
            <v>14</v>
          </cell>
          <cell r="E93">
            <v>7</v>
          </cell>
        </row>
        <row r="94">
          <cell r="A94" t="str">
            <v>ADN</v>
          </cell>
          <cell r="B94" t="str">
            <v>200820</v>
          </cell>
          <cell r="C94">
            <v>37</v>
          </cell>
          <cell r="D94">
            <v>28</v>
          </cell>
          <cell r="E94">
            <v>9</v>
          </cell>
        </row>
        <row r="95">
          <cell r="A95" t="str">
            <v>ADN</v>
          </cell>
          <cell r="B95" t="str">
            <v>200910</v>
          </cell>
          <cell r="C95">
            <v>21</v>
          </cell>
          <cell r="D95">
            <v>15</v>
          </cell>
          <cell r="E95">
            <v>6</v>
          </cell>
        </row>
        <row r="96">
          <cell r="A96" t="str">
            <v>ADN</v>
          </cell>
          <cell r="B96" t="str">
            <v>200920</v>
          </cell>
          <cell r="C96">
            <v>10</v>
          </cell>
          <cell r="D96">
            <v>8</v>
          </cell>
          <cell r="E96">
            <v>2</v>
          </cell>
        </row>
        <row r="97">
          <cell r="A97" t="str">
            <v>ADN</v>
          </cell>
          <cell r="B97" t="str">
            <v>201010</v>
          </cell>
          <cell r="C97">
            <v>11</v>
          </cell>
          <cell r="D97">
            <v>7</v>
          </cell>
          <cell r="E97">
            <v>4</v>
          </cell>
        </row>
        <row r="98">
          <cell r="A98" t="str">
            <v>ADN</v>
          </cell>
          <cell r="B98" t="str">
            <v>201020</v>
          </cell>
          <cell r="C98">
            <v>9</v>
          </cell>
          <cell r="D98">
            <v>6</v>
          </cell>
          <cell r="E98">
            <v>3</v>
          </cell>
        </row>
        <row r="99">
          <cell r="A99" t="str">
            <v>ADN</v>
          </cell>
          <cell r="B99" t="str">
            <v>201110</v>
          </cell>
          <cell r="C99">
            <v>23</v>
          </cell>
          <cell r="D99">
            <v>13</v>
          </cell>
          <cell r="E99">
            <v>10</v>
          </cell>
        </row>
        <row r="100">
          <cell r="A100" t="str">
            <v>ADN</v>
          </cell>
          <cell r="B100" t="str">
            <v>201120</v>
          </cell>
          <cell r="C100">
            <v>16</v>
          </cell>
          <cell r="D100">
            <v>9</v>
          </cell>
          <cell r="E100">
            <v>7</v>
          </cell>
        </row>
        <row r="101">
          <cell r="A101" t="str">
            <v>ADN</v>
          </cell>
          <cell r="B101" t="str">
            <v>201210</v>
          </cell>
          <cell r="C101">
            <v>12</v>
          </cell>
          <cell r="D101">
            <v>6</v>
          </cell>
          <cell r="E101">
            <v>6</v>
          </cell>
        </row>
        <row r="102">
          <cell r="A102" t="str">
            <v>ADN</v>
          </cell>
          <cell r="B102" t="str">
            <v>201220</v>
          </cell>
          <cell r="C102">
            <v>16</v>
          </cell>
          <cell r="D102">
            <v>8</v>
          </cell>
          <cell r="E102">
            <v>8</v>
          </cell>
        </row>
        <row r="103">
          <cell r="A103" t="str">
            <v>ADN</v>
          </cell>
          <cell r="B103" t="str">
            <v>201310</v>
          </cell>
          <cell r="C103">
            <v>4</v>
          </cell>
          <cell r="D103">
            <v>1</v>
          </cell>
          <cell r="E103">
            <v>3</v>
          </cell>
        </row>
        <row r="104">
          <cell r="A104" t="str">
            <v>ADN</v>
          </cell>
          <cell r="B104" t="str">
            <v>201320</v>
          </cell>
          <cell r="C104">
            <v>5</v>
          </cell>
          <cell r="D104">
            <v>3</v>
          </cell>
          <cell r="E104">
            <v>2</v>
          </cell>
        </row>
        <row r="105">
          <cell r="A105" t="str">
            <v>ADN</v>
          </cell>
          <cell r="B105" t="str">
            <v>201410</v>
          </cell>
          <cell r="C105">
            <v>4</v>
          </cell>
          <cell r="D105">
            <v>2</v>
          </cell>
          <cell r="E105">
            <v>2</v>
          </cell>
        </row>
        <row r="106">
          <cell r="A106" t="str">
            <v>ADN</v>
          </cell>
          <cell r="B106" t="str">
            <v>201420</v>
          </cell>
          <cell r="C106">
            <v>1</v>
          </cell>
          <cell r="D106">
            <v>0</v>
          </cell>
          <cell r="E106">
            <v>1</v>
          </cell>
        </row>
        <row r="107">
          <cell r="A107" t="str">
            <v>ADN</v>
          </cell>
          <cell r="B107" t="str">
            <v>201510</v>
          </cell>
          <cell r="C107">
            <v>2</v>
          </cell>
          <cell r="D107">
            <v>1</v>
          </cell>
          <cell r="E107">
            <v>1</v>
          </cell>
        </row>
        <row r="108">
          <cell r="A108" t="str">
            <v>ADN</v>
          </cell>
          <cell r="B108" t="str">
            <v>201520</v>
          </cell>
          <cell r="C108">
            <v>1</v>
          </cell>
          <cell r="D108">
            <v>0</v>
          </cell>
          <cell r="E108">
            <v>1</v>
          </cell>
        </row>
        <row r="109">
          <cell r="A109" t="str">
            <v>ANT</v>
          </cell>
          <cell r="B109" t="str">
            <v>200620</v>
          </cell>
          <cell r="C109">
            <v>6</v>
          </cell>
          <cell r="D109">
            <v>4</v>
          </cell>
          <cell r="E109">
            <v>2</v>
          </cell>
        </row>
        <row r="110">
          <cell r="A110" t="str">
            <v>ANT</v>
          </cell>
          <cell r="B110" t="str">
            <v>200710</v>
          </cell>
          <cell r="C110">
            <v>2</v>
          </cell>
          <cell r="D110">
            <v>1</v>
          </cell>
          <cell r="E110">
            <v>1</v>
          </cell>
        </row>
        <row r="111">
          <cell r="A111" t="str">
            <v>ANT</v>
          </cell>
          <cell r="B111" t="str">
            <v>200720</v>
          </cell>
          <cell r="C111">
            <v>4</v>
          </cell>
          <cell r="D111">
            <v>1</v>
          </cell>
          <cell r="E111">
            <v>3</v>
          </cell>
        </row>
        <row r="112">
          <cell r="A112" t="str">
            <v>ANT</v>
          </cell>
          <cell r="B112" t="str">
            <v>200810</v>
          </cell>
          <cell r="C112">
            <v>2</v>
          </cell>
          <cell r="D112">
            <v>1</v>
          </cell>
          <cell r="E112">
            <v>1</v>
          </cell>
        </row>
        <row r="113">
          <cell r="A113" t="str">
            <v>ANT</v>
          </cell>
          <cell r="B113" t="str">
            <v>200820</v>
          </cell>
          <cell r="C113">
            <v>2</v>
          </cell>
          <cell r="D113">
            <v>2</v>
          </cell>
          <cell r="E113">
            <v>0</v>
          </cell>
        </row>
        <row r="114">
          <cell r="A114" t="str">
            <v>ANT</v>
          </cell>
          <cell r="B114" t="str">
            <v>200910</v>
          </cell>
          <cell r="C114">
            <v>2</v>
          </cell>
          <cell r="D114">
            <v>1</v>
          </cell>
          <cell r="E114">
            <v>1</v>
          </cell>
        </row>
        <row r="115">
          <cell r="A115" t="str">
            <v>ANT</v>
          </cell>
          <cell r="B115" t="str">
            <v>200920</v>
          </cell>
          <cell r="C115">
            <v>3</v>
          </cell>
          <cell r="D115">
            <v>2</v>
          </cell>
          <cell r="E115">
            <v>1</v>
          </cell>
        </row>
        <row r="116">
          <cell r="A116" t="str">
            <v>ANT</v>
          </cell>
          <cell r="B116" t="str">
            <v>201010</v>
          </cell>
          <cell r="C116">
            <v>3</v>
          </cell>
          <cell r="D116">
            <v>0</v>
          </cell>
          <cell r="E116">
            <v>3</v>
          </cell>
        </row>
        <row r="117">
          <cell r="A117" t="str">
            <v>ANT</v>
          </cell>
          <cell r="B117" t="str">
            <v>201020</v>
          </cell>
          <cell r="C117">
            <v>3</v>
          </cell>
          <cell r="D117">
            <v>1</v>
          </cell>
          <cell r="E117">
            <v>2</v>
          </cell>
        </row>
        <row r="118">
          <cell r="A118" t="str">
            <v>ANT</v>
          </cell>
          <cell r="B118" t="str">
            <v>201110</v>
          </cell>
          <cell r="C118">
            <v>2</v>
          </cell>
          <cell r="D118">
            <v>1</v>
          </cell>
          <cell r="E118">
            <v>1</v>
          </cell>
        </row>
        <row r="119">
          <cell r="A119" t="str">
            <v>ANT</v>
          </cell>
          <cell r="B119" t="str">
            <v>201120</v>
          </cell>
          <cell r="C119">
            <v>4</v>
          </cell>
          <cell r="D119">
            <v>2</v>
          </cell>
          <cell r="E119">
            <v>2</v>
          </cell>
        </row>
        <row r="120">
          <cell r="A120" t="str">
            <v>ANT</v>
          </cell>
          <cell r="B120" t="str">
            <v>201210</v>
          </cell>
          <cell r="C120">
            <v>4</v>
          </cell>
          <cell r="D120">
            <v>1</v>
          </cell>
          <cell r="E120">
            <v>3</v>
          </cell>
        </row>
        <row r="121">
          <cell r="A121" t="str">
            <v>ANT</v>
          </cell>
          <cell r="B121" t="str">
            <v>201220</v>
          </cell>
          <cell r="C121">
            <v>4</v>
          </cell>
          <cell r="D121">
            <v>3</v>
          </cell>
          <cell r="E121">
            <v>1</v>
          </cell>
        </row>
        <row r="122">
          <cell r="A122" t="str">
            <v>ANT</v>
          </cell>
          <cell r="B122" t="str">
            <v>201310</v>
          </cell>
          <cell r="C122">
            <v>4</v>
          </cell>
          <cell r="D122">
            <v>1</v>
          </cell>
          <cell r="E122">
            <v>3</v>
          </cell>
        </row>
        <row r="123">
          <cell r="A123" t="str">
            <v>ANT</v>
          </cell>
          <cell r="B123" t="str">
            <v>201320</v>
          </cell>
          <cell r="C123">
            <v>11</v>
          </cell>
          <cell r="D123">
            <v>2</v>
          </cell>
          <cell r="E123">
            <v>8</v>
          </cell>
        </row>
        <row r="124">
          <cell r="A124" t="str">
            <v>ANT</v>
          </cell>
          <cell r="B124" t="str">
            <v>201410</v>
          </cell>
          <cell r="C124">
            <v>8</v>
          </cell>
          <cell r="D124">
            <v>1</v>
          </cell>
          <cell r="E124">
            <v>7</v>
          </cell>
        </row>
        <row r="125">
          <cell r="A125" t="str">
            <v>ANT</v>
          </cell>
          <cell r="B125" t="str">
            <v>201420</v>
          </cell>
          <cell r="C125">
            <v>6</v>
          </cell>
          <cell r="D125">
            <v>2</v>
          </cell>
          <cell r="E125">
            <v>4</v>
          </cell>
        </row>
        <row r="126">
          <cell r="A126" t="str">
            <v>ANT</v>
          </cell>
          <cell r="B126" t="str">
            <v>201510</v>
          </cell>
          <cell r="C126">
            <v>3</v>
          </cell>
          <cell r="D126">
            <v>2</v>
          </cell>
          <cell r="E126">
            <v>1</v>
          </cell>
        </row>
        <row r="127">
          <cell r="A127" t="str">
            <v>ANT</v>
          </cell>
          <cell r="B127" t="str">
            <v>201520</v>
          </cell>
          <cell r="C127">
            <v>3</v>
          </cell>
          <cell r="D127">
            <v>1</v>
          </cell>
          <cell r="E127">
            <v>2</v>
          </cell>
        </row>
        <row r="128">
          <cell r="A128" t="str">
            <v>ANT</v>
          </cell>
          <cell r="B128" t="str">
            <v>201610</v>
          </cell>
          <cell r="C128">
            <v>5</v>
          </cell>
          <cell r="D128">
            <v>1</v>
          </cell>
          <cell r="E128">
            <v>4</v>
          </cell>
        </row>
        <row r="129">
          <cell r="A129" t="str">
            <v>ANT</v>
          </cell>
          <cell r="B129" t="str">
            <v>201620</v>
          </cell>
          <cell r="C129">
            <v>3</v>
          </cell>
          <cell r="D129">
            <v>1</v>
          </cell>
          <cell r="E129">
            <v>2</v>
          </cell>
        </row>
        <row r="130">
          <cell r="A130" t="str">
            <v>ANT</v>
          </cell>
          <cell r="B130" t="str">
            <v>201710</v>
          </cell>
          <cell r="C130">
            <v>6</v>
          </cell>
          <cell r="D130">
            <v>3</v>
          </cell>
          <cell r="E130">
            <v>3</v>
          </cell>
        </row>
        <row r="131">
          <cell r="A131" t="str">
            <v>ANT</v>
          </cell>
          <cell r="B131" t="str">
            <v>201720</v>
          </cell>
          <cell r="C131">
            <v>5</v>
          </cell>
          <cell r="D131">
            <v>2</v>
          </cell>
          <cell r="E131">
            <v>3</v>
          </cell>
        </row>
        <row r="132">
          <cell r="A132" t="str">
            <v>ANT</v>
          </cell>
          <cell r="B132" t="str">
            <v>201810</v>
          </cell>
          <cell r="C132">
            <v>6</v>
          </cell>
          <cell r="D132">
            <v>4</v>
          </cell>
          <cell r="E132">
            <v>2</v>
          </cell>
        </row>
        <row r="133">
          <cell r="A133" t="str">
            <v>ANT</v>
          </cell>
          <cell r="B133" t="str">
            <v>201820</v>
          </cell>
          <cell r="C133">
            <v>3</v>
          </cell>
          <cell r="D133">
            <v>1</v>
          </cell>
          <cell r="E133">
            <v>1</v>
          </cell>
        </row>
        <row r="134">
          <cell r="A134" t="str">
            <v>ANT</v>
          </cell>
          <cell r="B134" t="str">
            <v>201910</v>
          </cell>
          <cell r="C134">
            <v>4</v>
          </cell>
          <cell r="D134">
            <v>1</v>
          </cell>
          <cell r="E134">
            <v>0</v>
          </cell>
        </row>
        <row r="135">
          <cell r="A135" t="str">
            <v>ANT</v>
          </cell>
          <cell r="B135" t="str">
            <v>201920</v>
          </cell>
          <cell r="C135">
            <v>1</v>
          </cell>
          <cell r="D135">
            <v>1</v>
          </cell>
          <cell r="E135">
            <v>0</v>
          </cell>
        </row>
        <row r="136">
          <cell r="A136" t="str">
            <v>ANT</v>
          </cell>
          <cell r="B136" t="str">
            <v>202010</v>
          </cell>
          <cell r="C136">
            <v>4</v>
          </cell>
          <cell r="D136">
            <v>1</v>
          </cell>
          <cell r="E136">
            <v>0</v>
          </cell>
        </row>
        <row r="137">
          <cell r="A137" t="str">
            <v>ANT</v>
          </cell>
          <cell r="B137" t="str">
            <v>202020</v>
          </cell>
          <cell r="C137">
            <v>8</v>
          </cell>
          <cell r="D137">
            <v>0</v>
          </cell>
          <cell r="E137">
            <v>0</v>
          </cell>
        </row>
        <row r="138">
          <cell r="A138" t="str">
            <v>ANT</v>
          </cell>
          <cell r="B138" t="str">
            <v>202110</v>
          </cell>
          <cell r="C138">
            <v>3</v>
          </cell>
          <cell r="D138">
            <v>2</v>
          </cell>
          <cell r="E138">
            <v>0</v>
          </cell>
        </row>
        <row r="139">
          <cell r="A139" t="str">
            <v>ANT</v>
          </cell>
          <cell r="B139" t="str">
            <v>202120</v>
          </cell>
          <cell r="C139">
            <v>2</v>
          </cell>
          <cell r="D139">
            <v>1</v>
          </cell>
          <cell r="E139">
            <v>0</v>
          </cell>
        </row>
        <row r="140">
          <cell r="A140" t="str">
            <v>ANT</v>
          </cell>
          <cell r="B140" t="str">
            <v>202210</v>
          </cell>
          <cell r="C140">
            <v>10</v>
          </cell>
          <cell r="D140">
            <v>1</v>
          </cell>
          <cell r="E140">
            <v>0</v>
          </cell>
        </row>
        <row r="141">
          <cell r="A141" t="str">
            <v>ANT</v>
          </cell>
          <cell r="B141" t="str">
            <v>202220</v>
          </cell>
          <cell r="C141">
            <v>2</v>
          </cell>
          <cell r="D141">
            <v>0</v>
          </cell>
          <cell r="E141">
            <v>0</v>
          </cell>
        </row>
        <row r="142">
          <cell r="A142" t="str">
            <v>ANT</v>
          </cell>
          <cell r="B142" t="str">
            <v>202310</v>
          </cell>
          <cell r="C142">
            <v>10</v>
          </cell>
          <cell r="D142">
            <v>0</v>
          </cell>
          <cell r="E142">
            <v>0</v>
          </cell>
        </row>
        <row r="143">
          <cell r="A143" t="str">
            <v>ANT</v>
          </cell>
          <cell r="B143" t="str">
            <v>202320</v>
          </cell>
          <cell r="C143">
            <v>3</v>
          </cell>
          <cell r="D143">
            <v>0</v>
          </cell>
          <cell r="E143">
            <v>0</v>
          </cell>
        </row>
        <row r="144">
          <cell r="A144" t="str">
            <v>BIO</v>
          </cell>
          <cell r="B144" t="str">
            <v>200820</v>
          </cell>
          <cell r="C144">
            <v>8</v>
          </cell>
          <cell r="D144">
            <v>6</v>
          </cell>
          <cell r="E144">
            <v>2</v>
          </cell>
        </row>
        <row r="145">
          <cell r="A145" t="str">
            <v>BIO</v>
          </cell>
          <cell r="B145" t="str">
            <v>200910</v>
          </cell>
          <cell r="C145">
            <v>6</v>
          </cell>
          <cell r="D145">
            <v>1</v>
          </cell>
          <cell r="E145">
            <v>5</v>
          </cell>
        </row>
        <row r="146">
          <cell r="A146" t="str">
            <v>BIO</v>
          </cell>
          <cell r="B146" t="str">
            <v>200920</v>
          </cell>
          <cell r="C146">
            <v>2</v>
          </cell>
          <cell r="D146">
            <v>1</v>
          </cell>
          <cell r="E146">
            <v>1</v>
          </cell>
        </row>
        <row r="147">
          <cell r="A147" t="str">
            <v>BIO</v>
          </cell>
          <cell r="B147" t="str">
            <v>201010</v>
          </cell>
          <cell r="C147">
            <v>3</v>
          </cell>
          <cell r="D147">
            <v>3</v>
          </cell>
          <cell r="E147">
            <v>0</v>
          </cell>
        </row>
        <row r="148">
          <cell r="A148" t="str">
            <v>BIO</v>
          </cell>
          <cell r="B148" t="str">
            <v>201020</v>
          </cell>
          <cell r="C148">
            <v>4</v>
          </cell>
          <cell r="D148">
            <v>3</v>
          </cell>
          <cell r="E148">
            <v>1</v>
          </cell>
        </row>
        <row r="149">
          <cell r="A149" t="str">
            <v>BIO</v>
          </cell>
          <cell r="B149" t="str">
            <v>201110</v>
          </cell>
          <cell r="C149">
            <v>7</v>
          </cell>
          <cell r="D149">
            <v>6</v>
          </cell>
          <cell r="E149">
            <v>1</v>
          </cell>
        </row>
        <row r="150">
          <cell r="A150" t="str">
            <v>BIO</v>
          </cell>
          <cell r="B150" t="str">
            <v>201120</v>
          </cell>
          <cell r="C150">
            <v>8</v>
          </cell>
          <cell r="D150">
            <v>4</v>
          </cell>
          <cell r="E150">
            <v>4</v>
          </cell>
        </row>
        <row r="151">
          <cell r="A151" t="str">
            <v>BIO</v>
          </cell>
          <cell r="B151" t="str">
            <v>201210</v>
          </cell>
          <cell r="C151">
            <v>10</v>
          </cell>
          <cell r="D151">
            <v>4</v>
          </cell>
          <cell r="E151">
            <v>6</v>
          </cell>
        </row>
        <row r="152">
          <cell r="A152" t="str">
            <v>BIO</v>
          </cell>
          <cell r="B152" t="str">
            <v>201220</v>
          </cell>
          <cell r="C152">
            <v>7</v>
          </cell>
          <cell r="D152">
            <v>2</v>
          </cell>
          <cell r="E152">
            <v>5</v>
          </cell>
        </row>
        <row r="153">
          <cell r="A153" t="str">
            <v>BIO</v>
          </cell>
          <cell r="B153" t="str">
            <v>201310</v>
          </cell>
          <cell r="C153">
            <v>13</v>
          </cell>
          <cell r="D153">
            <v>7</v>
          </cell>
          <cell r="E153">
            <v>6</v>
          </cell>
        </row>
        <row r="154">
          <cell r="A154" t="str">
            <v>BIO</v>
          </cell>
          <cell r="B154" t="str">
            <v>201320</v>
          </cell>
          <cell r="C154">
            <v>18</v>
          </cell>
          <cell r="D154">
            <v>10</v>
          </cell>
          <cell r="E154">
            <v>8</v>
          </cell>
        </row>
        <row r="155">
          <cell r="A155" t="str">
            <v>BIO</v>
          </cell>
          <cell r="B155" t="str">
            <v>201410</v>
          </cell>
          <cell r="C155">
            <v>13</v>
          </cell>
          <cell r="D155">
            <v>8</v>
          </cell>
          <cell r="E155">
            <v>5</v>
          </cell>
        </row>
        <row r="156">
          <cell r="A156" t="str">
            <v>BIO</v>
          </cell>
          <cell r="B156" t="str">
            <v>201420</v>
          </cell>
          <cell r="C156">
            <v>15</v>
          </cell>
          <cell r="D156">
            <v>7</v>
          </cell>
          <cell r="E156">
            <v>8</v>
          </cell>
        </row>
        <row r="157">
          <cell r="A157" t="str">
            <v>BIO</v>
          </cell>
          <cell r="B157" t="str">
            <v>201510</v>
          </cell>
          <cell r="C157">
            <v>26</v>
          </cell>
          <cell r="D157">
            <v>10</v>
          </cell>
          <cell r="E157">
            <v>16</v>
          </cell>
        </row>
        <row r="158">
          <cell r="A158" t="str">
            <v>BIO</v>
          </cell>
          <cell r="B158" t="str">
            <v>201520</v>
          </cell>
          <cell r="C158">
            <v>14</v>
          </cell>
          <cell r="D158">
            <v>6</v>
          </cell>
          <cell r="E158">
            <v>8</v>
          </cell>
        </row>
        <row r="159">
          <cell r="A159" t="str">
            <v>BIO</v>
          </cell>
          <cell r="B159" t="str">
            <v>201610</v>
          </cell>
          <cell r="C159">
            <v>25</v>
          </cell>
          <cell r="D159">
            <v>10</v>
          </cell>
          <cell r="E159">
            <v>15</v>
          </cell>
        </row>
        <row r="160">
          <cell r="A160" t="str">
            <v>BIO</v>
          </cell>
          <cell r="B160" t="str">
            <v>201620</v>
          </cell>
          <cell r="C160">
            <v>9</v>
          </cell>
          <cell r="D160">
            <v>3</v>
          </cell>
          <cell r="E160">
            <v>6</v>
          </cell>
        </row>
        <row r="161">
          <cell r="A161" t="str">
            <v>BIO</v>
          </cell>
          <cell r="B161" t="str">
            <v>201710</v>
          </cell>
          <cell r="C161">
            <v>24</v>
          </cell>
          <cell r="D161">
            <v>7</v>
          </cell>
          <cell r="E161">
            <v>17</v>
          </cell>
        </row>
        <row r="162">
          <cell r="A162" t="str">
            <v>BIO</v>
          </cell>
          <cell r="B162" t="str">
            <v>201720</v>
          </cell>
          <cell r="C162">
            <v>7</v>
          </cell>
          <cell r="D162">
            <v>2</v>
          </cell>
          <cell r="E162">
            <v>5</v>
          </cell>
        </row>
        <row r="163">
          <cell r="A163" t="str">
            <v>BIO</v>
          </cell>
          <cell r="B163" t="str">
            <v>201810</v>
          </cell>
          <cell r="C163">
            <v>16</v>
          </cell>
          <cell r="D163">
            <v>8</v>
          </cell>
          <cell r="E163">
            <v>8</v>
          </cell>
        </row>
        <row r="164">
          <cell r="A164" t="str">
            <v>BIO</v>
          </cell>
          <cell r="B164" t="str">
            <v>201820</v>
          </cell>
          <cell r="C164">
            <v>6</v>
          </cell>
          <cell r="D164">
            <v>1</v>
          </cell>
          <cell r="E164">
            <v>5</v>
          </cell>
        </row>
        <row r="165">
          <cell r="A165" t="str">
            <v>BIO</v>
          </cell>
          <cell r="B165" t="str">
            <v>201910</v>
          </cell>
          <cell r="C165">
            <v>11</v>
          </cell>
          <cell r="D165">
            <v>3</v>
          </cell>
          <cell r="E165">
            <v>5</v>
          </cell>
        </row>
        <row r="166">
          <cell r="A166" t="str">
            <v>BIO</v>
          </cell>
          <cell r="B166" t="str">
            <v>201920</v>
          </cell>
          <cell r="C166">
            <v>8</v>
          </cell>
          <cell r="D166">
            <v>3</v>
          </cell>
          <cell r="E166">
            <v>1</v>
          </cell>
        </row>
        <row r="167">
          <cell r="A167" t="str">
            <v>BIO</v>
          </cell>
          <cell r="B167" t="str">
            <v>202010</v>
          </cell>
          <cell r="C167">
            <v>15</v>
          </cell>
          <cell r="D167">
            <v>4</v>
          </cell>
          <cell r="E167">
            <v>0</v>
          </cell>
        </row>
        <row r="168">
          <cell r="A168" t="str">
            <v>BIO</v>
          </cell>
          <cell r="B168" t="str">
            <v>202020</v>
          </cell>
          <cell r="C168">
            <v>12</v>
          </cell>
          <cell r="D168">
            <v>2</v>
          </cell>
          <cell r="E168">
            <v>0</v>
          </cell>
        </row>
        <row r="169">
          <cell r="A169" t="str">
            <v>BIO</v>
          </cell>
          <cell r="B169" t="str">
            <v>202110</v>
          </cell>
          <cell r="C169">
            <v>10</v>
          </cell>
          <cell r="D169">
            <v>3</v>
          </cell>
          <cell r="E169">
            <v>0</v>
          </cell>
        </row>
        <row r="170">
          <cell r="A170" t="str">
            <v>BIO</v>
          </cell>
          <cell r="B170" t="str">
            <v>202120</v>
          </cell>
          <cell r="C170">
            <v>3</v>
          </cell>
          <cell r="D170">
            <v>1</v>
          </cell>
          <cell r="E170">
            <v>0</v>
          </cell>
        </row>
        <row r="171">
          <cell r="A171" t="str">
            <v>BIO</v>
          </cell>
          <cell r="B171" t="str">
            <v>202210</v>
          </cell>
          <cell r="C171">
            <v>24</v>
          </cell>
          <cell r="D171">
            <v>4</v>
          </cell>
          <cell r="E171">
            <v>0</v>
          </cell>
        </row>
        <row r="172">
          <cell r="A172" t="str">
            <v>BIO</v>
          </cell>
          <cell r="B172" t="str">
            <v>202220</v>
          </cell>
          <cell r="C172">
            <v>10</v>
          </cell>
          <cell r="D172">
            <v>2</v>
          </cell>
          <cell r="E172">
            <v>0</v>
          </cell>
        </row>
        <row r="173">
          <cell r="A173" t="str">
            <v>BIO</v>
          </cell>
          <cell r="B173" t="str">
            <v>202310</v>
          </cell>
          <cell r="C173">
            <v>19</v>
          </cell>
          <cell r="D173">
            <v>3</v>
          </cell>
          <cell r="E173">
            <v>0</v>
          </cell>
        </row>
        <row r="174">
          <cell r="A174" t="str">
            <v>BIO</v>
          </cell>
          <cell r="B174" t="str">
            <v>202320</v>
          </cell>
          <cell r="C174">
            <v>8</v>
          </cell>
          <cell r="D174">
            <v>0</v>
          </cell>
          <cell r="E174">
            <v>0</v>
          </cell>
        </row>
        <row r="175">
          <cell r="A175" t="str">
            <v>CIP</v>
          </cell>
          <cell r="B175" t="str">
            <v>200620</v>
          </cell>
          <cell r="C175">
            <v>5</v>
          </cell>
          <cell r="D175">
            <v>5</v>
          </cell>
          <cell r="E175">
            <v>0</v>
          </cell>
        </row>
        <row r="176">
          <cell r="A176" t="str">
            <v>CIP</v>
          </cell>
          <cell r="B176" t="str">
            <v>200720</v>
          </cell>
          <cell r="C176">
            <v>9</v>
          </cell>
          <cell r="D176">
            <v>4</v>
          </cell>
          <cell r="E176">
            <v>5</v>
          </cell>
        </row>
        <row r="177">
          <cell r="A177" t="str">
            <v>CIP</v>
          </cell>
          <cell r="B177" t="str">
            <v>200810</v>
          </cell>
          <cell r="C177">
            <v>5</v>
          </cell>
          <cell r="D177">
            <v>1</v>
          </cell>
          <cell r="E177">
            <v>4</v>
          </cell>
        </row>
        <row r="178">
          <cell r="A178" t="str">
            <v>CIP</v>
          </cell>
          <cell r="B178" t="str">
            <v>200820</v>
          </cell>
          <cell r="C178">
            <v>6</v>
          </cell>
          <cell r="D178">
            <v>3</v>
          </cell>
          <cell r="E178">
            <v>3</v>
          </cell>
        </row>
        <row r="179">
          <cell r="A179" t="str">
            <v>CIP</v>
          </cell>
          <cell r="B179" t="str">
            <v>200910</v>
          </cell>
          <cell r="C179">
            <v>6</v>
          </cell>
          <cell r="D179">
            <v>5</v>
          </cell>
          <cell r="E179">
            <v>1</v>
          </cell>
        </row>
        <row r="180">
          <cell r="A180" t="str">
            <v>CIP</v>
          </cell>
          <cell r="B180" t="str">
            <v>200920</v>
          </cell>
          <cell r="C180">
            <v>12</v>
          </cell>
          <cell r="D180">
            <v>4</v>
          </cell>
          <cell r="E180">
            <v>8</v>
          </cell>
        </row>
        <row r="181">
          <cell r="A181" t="str">
            <v>CIP</v>
          </cell>
          <cell r="B181" t="str">
            <v>201010</v>
          </cell>
          <cell r="C181">
            <v>3</v>
          </cell>
          <cell r="D181">
            <v>1</v>
          </cell>
          <cell r="E181">
            <v>2</v>
          </cell>
        </row>
        <row r="182">
          <cell r="A182" t="str">
            <v>CIP</v>
          </cell>
          <cell r="B182" t="str">
            <v>201020</v>
          </cell>
          <cell r="C182">
            <v>9</v>
          </cell>
          <cell r="D182">
            <v>8</v>
          </cell>
          <cell r="E182">
            <v>1</v>
          </cell>
        </row>
        <row r="183">
          <cell r="A183" t="str">
            <v>CIP</v>
          </cell>
          <cell r="B183" t="str">
            <v>201110</v>
          </cell>
          <cell r="C183">
            <v>4</v>
          </cell>
          <cell r="D183">
            <v>3</v>
          </cell>
          <cell r="E183">
            <v>1</v>
          </cell>
        </row>
        <row r="184">
          <cell r="A184" t="str">
            <v>CIP</v>
          </cell>
          <cell r="B184" t="str">
            <v>201120</v>
          </cell>
          <cell r="C184">
            <v>12</v>
          </cell>
          <cell r="D184">
            <v>1</v>
          </cell>
          <cell r="E184">
            <v>11</v>
          </cell>
        </row>
        <row r="185">
          <cell r="A185" t="str">
            <v>CIP</v>
          </cell>
          <cell r="B185" t="str">
            <v>201210</v>
          </cell>
          <cell r="C185">
            <v>13</v>
          </cell>
          <cell r="D185">
            <v>8</v>
          </cell>
          <cell r="E185">
            <v>5</v>
          </cell>
        </row>
        <row r="186">
          <cell r="A186" t="str">
            <v>CIP</v>
          </cell>
          <cell r="B186" t="str">
            <v>201220</v>
          </cell>
          <cell r="C186">
            <v>11</v>
          </cell>
          <cell r="D186">
            <v>8</v>
          </cell>
          <cell r="E186">
            <v>3</v>
          </cell>
        </row>
        <row r="187">
          <cell r="A187" t="str">
            <v>CIP</v>
          </cell>
          <cell r="B187" t="str">
            <v>201310</v>
          </cell>
          <cell r="C187">
            <v>8</v>
          </cell>
          <cell r="D187">
            <v>1</v>
          </cell>
          <cell r="E187">
            <v>7</v>
          </cell>
        </row>
        <row r="188">
          <cell r="A188" t="str">
            <v>CIP</v>
          </cell>
          <cell r="B188" t="str">
            <v>201320</v>
          </cell>
          <cell r="C188">
            <v>6</v>
          </cell>
          <cell r="D188">
            <v>3</v>
          </cell>
          <cell r="E188">
            <v>3</v>
          </cell>
        </row>
        <row r="189">
          <cell r="A189" t="str">
            <v>CIP</v>
          </cell>
          <cell r="B189" t="str">
            <v>201410</v>
          </cell>
          <cell r="C189">
            <v>16</v>
          </cell>
          <cell r="D189">
            <v>9</v>
          </cell>
          <cell r="E189">
            <v>7</v>
          </cell>
        </row>
        <row r="190">
          <cell r="A190" t="str">
            <v>CIP</v>
          </cell>
          <cell r="B190" t="str">
            <v>201420</v>
          </cell>
          <cell r="C190">
            <v>22</v>
          </cell>
          <cell r="D190">
            <v>7</v>
          </cell>
          <cell r="E190">
            <v>14</v>
          </cell>
        </row>
        <row r="191">
          <cell r="A191" t="str">
            <v>CIP</v>
          </cell>
          <cell r="B191" t="str">
            <v>201510</v>
          </cell>
          <cell r="C191">
            <v>25</v>
          </cell>
          <cell r="D191">
            <v>10</v>
          </cell>
          <cell r="E191">
            <v>14</v>
          </cell>
        </row>
        <row r="192">
          <cell r="A192" t="str">
            <v>CIP</v>
          </cell>
          <cell r="B192" t="str">
            <v>201520</v>
          </cell>
          <cell r="C192">
            <v>10</v>
          </cell>
          <cell r="D192">
            <v>5</v>
          </cell>
          <cell r="E192">
            <v>4</v>
          </cell>
        </row>
        <row r="193">
          <cell r="A193" t="str">
            <v>CIP</v>
          </cell>
          <cell r="B193" t="str">
            <v>201610</v>
          </cell>
          <cell r="C193">
            <v>16</v>
          </cell>
          <cell r="D193">
            <v>3</v>
          </cell>
          <cell r="E193">
            <v>13</v>
          </cell>
        </row>
        <row r="194">
          <cell r="A194" t="str">
            <v>CIP</v>
          </cell>
          <cell r="B194" t="str">
            <v>201620</v>
          </cell>
          <cell r="C194">
            <v>15</v>
          </cell>
          <cell r="D194">
            <v>8</v>
          </cell>
          <cell r="E194">
            <v>7</v>
          </cell>
        </row>
        <row r="195">
          <cell r="A195" t="str">
            <v>CIP</v>
          </cell>
          <cell r="B195" t="str">
            <v>201710</v>
          </cell>
          <cell r="C195">
            <v>13</v>
          </cell>
          <cell r="D195">
            <v>2</v>
          </cell>
          <cell r="E195">
            <v>11</v>
          </cell>
        </row>
        <row r="196">
          <cell r="A196" t="str">
            <v>CIP</v>
          </cell>
          <cell r="B196" t="str">
            <v>201720</v>
          </cell>
          <cell r="C196">
            <v>9</v>
          </cell>
          <cell r="D196">
            <v>2</v>
          </cell>
          <cell r="E196">
            <v>5</v>
          </cell>
        </row>
        <row r="197">
          <cell r="A197" t="str">
            <v>CIP</v>
          </cell>
          <cell r="B197" t="str">
            <v>201810</v>
          </cell>
          <cell r="C197">
            <v>6</v>
          </cell>
          <cell r="D197">
            <v>2</v>
          </cell>
          <cell r="E197">
            <v>3</v>
          </cell>
        </row>
        <row r="198">
          <cell r="A198" t="str">
            <v>CIP</v>
          </cell>
          <cell r="B198" t="str">
            <v>201820</v>
          </cell>
          <cell r="C198">
            <v>5</v>
          </cell>
          <cell r="D198">
            <v>0</v>
          </cell>
          <cell r="E198">
            <v>2</v>
          </cell>
        </row>
        <row r="199">
          <cell r="A199" t="str">
            <v>CIP</v>
          </cell>
          <cell r="B199" t="str">
            <v>201910</v>
          </cell>
          <cell r="C199">
            <v>14</v>
          </cell>
          <cell r="D199">
            <v>2</v>
          </cell>
          <cell r="E199">
            <v>5</v>
          </cell>
        </row>
        <row r="200">
          <cell r="A200" t="str">
            <v>CIP</v>
          </cell>
          <cell r="B200" t="str">
            <v>201920</v>
          </cell>
          <cell r="C200">
            <v>7</v>
          </cell>
          <cell r="D200">
            <v>1</v>
          </cell>
          <cell r="E200">
            <v>1</v>
          </cell>
        </row>
        <row r="201">
          <cell r="A201" t="str">
            <v>CIP</v>
          </cell>
          <cell r="B201" t="str">
            <v>202010</v>
          </cell>
          <cell r="C201">
            <v>11</v>
          </cell>
          <cell r="D201">
            <v>2</v>
          </cell>
          <cell r="E201">
            <v>0</v>
          </cell>
        </row>
        <row r="202">
          <cell r="A202" t="str">
            <v>CIP</v>
          </cell>
          <cell r="B202" t="str">
            <v>202020</v>
          </cell>
          <cell r="C202">
            <v>18</v>
          </cell>
          <cell r="D202">
            <v>1</v>
          </cell>
          <cell r="E202">
            <v>3</v>
          </cell>
        </row>
        <row r="203">
          <cell r="A203" t="str">
            <v>CIP</v>
          </cell>
          <cell r="B203" t="str">
            <v>202110</v>
          </cell>
          <cell r="C203">
            <v>10</v>
          </cell>
          <cell r="D203">
            <v>4</v>
          </cell>
          <cell r="E203">
            <v>0</v>
          </cell>
        </row>
        <row r="204">
          <cell r="A204" t="str">
            <v>CIP</v>
          </cell>
          <cell r="B204" t="str">
            <v>202120</v>
          </cell>
          <cell r="C204">
            <v>9</v>
          </cell>
          <cell r="D204">
            <v>2</v>
          </cell>
          <cell r="E204">
            <v>0</v>
          </cell>
        </row>
        <row r="205">
          <cell r="A205" t="str">
            <v>CIP</v>
          </cell>
          <cell r="B205" t="str">
            <v>202210</v>
          </cell>
          <cell r="C205">
            <v>21</v>
          </cell>
          <cell r="D205">
            <v>4</v>
          </cell>
          <cell r="E205">
            <v>0</v>
          </cell>
        </row>
        <row r="206">
          <cell r="A206" t="str">
            <v>CIP</v>
          </cell>
          <cell r="B206" t="str">
            <v>202220</v>
          </cell>
          <cell r="C206">
            <v>8</v>
          </cell>
          <cell r="D206">
            <v>1</v>
          </cell>
          <cell r="E206">
            <v>0</v>
          </cell>
        </row>
        <row r="207">
          <cell r="A207" t="str">
            <v>CIP</v>
          </cell>
          <cell r="B207" t="str">
            <v>202310</v>
          </cell>
          <cell r="C207">
            <v>18</v>
          </cell>
          <cell r="D207">
            <v>1</v>
          </cell>
          <cell r="E207">
            <v>0</v>
          </cell>
        </row>
        <row r="208">
          <cell r="A208" t="str">
            <v>CIP</v>
          </cell>
          <cell r="B208" t="str">
            <v>202320</v>
          </cell>
          <cell r="C208">
            <v>8</v>
          </cell>
          <cell r="D208">
            <v>1</v>
          </cell>
          <cell r="E208">
            <v>0</v>
          </cell>
        </row>
        <row r="209">
          <cell r="A209" t="str">
            <v>COF</v>
          </cell>
          <cell r="B209" t="str">
            <v>200010</v>
          </cell>
          <cell r="C209">
            <v>3</v>
          </cell>
          <cell r="D209">
            <v>0</v>
          </cell>
          <cell r="E209">
            <v>3</v>
          </cell>
        </row>
        <row r="210">
          <cell r="A210" t="str">
            <v>COF</v>
          </cell>
          <cell r="B210" t="str">
            <v>200020</v>
          </cell>
          <cell r="C210">
            <v>6</v>
          </cell>
          <cell r="D210">
            <v>3</v>
          </cell>
          <cell r="E210">
            <v>3</v>
          </cell>
        </row>
        <row r="211">
          <cell r="A211" t="str">
            <v>COF</v>
          </cell>
          <cell r="B211" t="str">
            <v>200110</v>
          </cell>
          <cell r="C211">
            <v>3</v>
          </cell>
          <cell r="D211">
            <v>2</v>
          </cell>
          <cell r="E211">
            <v>1</v>
          </cell>
        </row>
        <row r="212">
          <cell r="A212" t="str">
            <v>COF</v>
          </cell>
          <cell r="B212" t="str">
            <v>200120</v>
          </cell>
          <cell r="C212">
            <v>4</v>
          </cell>
          <cell r="D212">
            <v>3</v>
          </cell>
          <cell r="E212">
            <v>1</v>
          </cell>
        </row>
        <row r="213">
          <cell r="A213" t="str">
            <v>COF</v>
          </cell>
          <cell r="B213" t="str">
            <v>200210</v>
          </cell>
          <cell r="C213">
            <v>4</v>
          </cell>
          <cell r="D213">
            <v>2</v>
          </cell>
          <cell r="E213">
            <v>2</v>
          </cell>
        </row>
        <row r="214">
          <cell r="A214" t="str">
            <v>COF</v>
          </cell>
          <cell r="B214" t="str">
            <v>200220</v>
          </cell>
          <cell r="C214">
            <v>6</v>
          </cell>
          <cell r="D214">
            <v>5</v>
          </cell>
          <cell r="E214">
            <v>1</v>
          </cell>
        </row>
        <row r="215">
          <cell r="A215" t="str">
            <v>COF</v>
          </cell>
          <cell r="B215" t="str">
            <v>200310</v>
          </cell>
          <cell r="C215">
            <v>5</v>
          </cell>
          <cell r="D215">
            <v>4</v>
          </cell>
          <cell r="E215">
            <v>1</v>
          </cell>
        </row>
        <row r="216">
          <cell r="A216" t="str">
            <v>COF</v>
          </cell>
          <cell r="B216" t="str">
            <v>200320</v>
          </cell>
          <cell r="C216">
            <v>10</v>
          </cell>
          <cell r="D216">
            <v>5</v>
          </cell>
          <cell r="E216">
            <v>5</v>
          </cell>
        </row>
        <row r="217">
          <cell r="A217" t="str">
            <v>COF</v>
          </cell>
          <cell r="B217" t="str">
            <v>200410</v>
          </cell>
          <cell r="C217">
            <v>5</v>
          </cell>
          <cell r="D217">
            <v>2</v>
          </cell>
          <cell r="E217">
            <v>3</v>
          </cell>
        </row>
        <row r="218">
          <cell r="A218" t="str">
            <v>COF</v>
          </cell>
          <cell r="B218" t="str">
            <v>200420</v>
          </cell>
          <cell r="C218">
            <v>6</v>
          </cell>
          <cell r="D218">
            <v>1</v>
          </cell>
          <cell r="E218">
            <v>5</v>
          </cell>
        </row>
        <row r="219">
          <cell r="A219" t="str">
            <v>COF</v>
          </cell>
          <cell r="B219" t="str">
            <v>200510</v>
          </cell>
          <cell r="C219">
            <v>6</v>
          </cell>
          <cell r="D219">
            <v>5</v>
          </cell>
          <cell r="E219">
            <v>1</v>
          </cell>
        </row>
        <row r="220">
          <cell r="A220" t="str">
            <v>COF</v>
          </cell>
          <cell r="B220" t="str">
            <v>200520</v>
          </cell>
          <cell r="C220">
            <v>12</v>
          </cell>
          <cell r="D220">
            <v>5</v>
          </cell>
          <cell r="E220">
            <v>7</v>
          </cell>
        </row>
        <row r="221">
          <cell r="A221" t="str">
            <v>COF</v>
          </cell>
          <cell r="B221" t="str">
            <v>200610</v>
          </cell>
          <cell r="C221">
            <v>3</v>
          </cell>
          <cell r="D221">
            <v>2</v>
          </cell>
          <cell r="E221">
            <v>1</v>
          </cell>
        </row>
        <row r="222">
          <cell r="A222" t="str">
            <v>COF</v>
          </cell>
          <cell r="B222" t="str">
            <v>200620</v>
          </cell>
          <cell r="C222">
            <v>23</v>
          </cell>
          <cell r="D222">
            <v>10</v>
          </cell>
          <cell r="E222">
            <v>13</v>
          </cell>
        </row>
        <row r="223">
          <cell r="A223" t="str">
            <v>COF</v>
          </cell>
          <cell r="B223" t="str">
            <v>200710</v>
          </cell>
          <cell r="C223">
            <v>10</v>
          </cell>
          <cell r="D223">
            <v>4</v>
          </cell>
          <cell r="E223">
            <v>6</v>
          </cell>
        </row>
        <row r="224">
          <cell r="A224" t="str">
            <v>COF</v>
          </cell>
          <cell r="B224" t="str">
            <v>200720</v>
          </cell>
          <cell r="C224">
            <v>17</v>
          </cell>
          <cell r="D224">
            <v>4</v>
          </cell>
          <cell r="E224">
            <v>13</v>
          </cell>
        </row>
        <row r="225">
          <cell r="A225" t="str">
            <v>COF</v>
          </cell>
          <cell r="B225" t="str">
            <v>200810</v>
          </cell>
          <cell r="C225">
            <v>5</v>
          </cell>
          <cell r="D225">
            <v>2</v>
          </cell>
          <cell r="E225">
            <v>3</v>
          </cell>
        </row>
        <row r="226">
          <cell r="A226" t="str">
            <v>COF</v>
          </cell>
          <cell r="B226" t="str">
            <v>200820</v>
          </cell>
          <cell r="C226">
            <v>14</v>
          </cell>
          <cell r="D226">
            <v>5</v>
          </cell>
          <cell r="E226">
            <v>9</v>
          </cell>
        </row>
        <row r="227">
          <cell r="A227" t="str">
            <v>COF</v>
          </cell>
          <cell r="B227" t="str">
            <v>200910</v>
          </cell>
          <cell r="C227">
            <v>12</v>
          </cell>
          <cell r="D227">
            <v>3</v>
          </cell>
          <cell r="E227">
            <v>9</v>
          </cell>
        </row>
        <row r="228">
          <cell r="A228" t="str">
            <v>COF</v>
          </cell>
          <cell r="B228" t="str">
            <v>200920</v>
          </cell>
          <cell r="C228">
            <v>19</v>
          </cell>
          <cell r="D228">
            <v>3</v>
          </cell>
          <cell r="E228">
            <v>16</v>
          </cell>
        </row>
        <row r="229">
          <cell r="A229" t="str">
            <v>COF</v>
          </cell>
          <cell r="B229" t="str">
            <v>201010</v>
          </cell>
          <cell r="C229">
            <v>12</v>
          </cell>
          <cell r="D229">
            <v>9</v>
          </cell>
          <cell r="E229">
            <v>3</v>
          </cell>
        </row>
        <row r="230">
          <cell r="A230" t="str">
            <v>COF</v>
          </cell>
          <cell r="B230" t="str">
            <v>201020</v>
          </cell>
          <cell r="C230">
            <v>7</v>
          </cell>
          <cell r="D230">
            <v>2</v>
          </cell>
          <cell r="E230">
            <v>5</v>
          </cell>
        </row>
        <row r="231">
          <cell r="A231" t="str">
            <v>COF</v>
          </cell>
          <cell r="B231" t="str">
            <v>201110</v>
          </cell>
          <cell r="C231">
            <v>16</v>
          </cell>
          <cell r="D231">
            <v>5</v>
          </cell>
          <cell r="E231">
            <v>11</v>
          </cell>
        </row>
        <row r="232">
          <cell r="A232" t="str">
            <v>COF</v>
          </cell>
          <cell r="B232" t="str">
            <v>201120</v>
          </cell>
          <cell r="C232">
            <v>12</v>
          </cell>
          <cell r="D232">
            <v>3</v>
          </cell>
          <cell r="E232">
            <v>9</v>
          </cell>
        </row>
        <row r="233">
          <cell r="A233" t="str">
            <v>COF</v>
          </cell>
          <cell r="B233" t="str">
            <v>201210</v>
          </cell>
          <cell r="C233">
            <v>23</v>
          </cell>
          <cell r="D233">
            <v>8</v>
          </cell>
          <cell r="E233">
            <v>15</v>
          </cell>
        </row>
        <row r="234">
          <cell r="A234" t="str">
            <v>COF</v>
          </cell>
          <cell r="B234" t="str">
            <v>201220</v>
          </cell>
          <cell r="C234">
            <v>16</v>
          </cell>
          <cell r="D234">
            <v>3</v>
          </cell>
          <cell r="E234">
            <v>13</v>
          </cell>
        </row>
        <row r="235">
          <cell r="A235" t="str">
            <v>COF</v>
          </cell>
          <cell r="B235" t="str">
            <v>201310</v>
          </cell>
          <cell r="C235">
            <v>14</v>
          </cell>
          <cell r="D235">
            <v>5</v>
          </cell>
          <cell r="E235">
            <v>9</v>
          </cell>
        </row>
        <row r="236">
          <cell r="A236" t="str">
            <v>COF</v>
          </cell>
          <cell r="B236" t="str">
            <v>201320</v>
          </cell>
          <cell r="C236">
            <v>9</v>
          </cell>
          <cell r="D236">
            <v>3</v>
          </cell>
          <cell r="E236">
            <v>6</v>
          </cell>
        </row>
        <row r="237">
          <cell r="A237" t="str">
            <v>COF</v>
          </cell>
          <cell r="B237" t="str">
            <v>201410</v>
          </cell>
          <cell r="C237">
            <v>17</v>
          </cell>
          <cell r="D237">
            <v>5</v>
          </cell>
          <cell r="E237">
            <v>12</v>
          </cell>
        </row>
        <row r="238">
          <cell r="A238" t="str">
            <v>COF</v>
          </cell>
          <cell r="B238" t="str">
            <v>201420</v>
          </cell>
          <cell r="C238">
            <v>14</v>
          </cell>
          <cell r="D238">
            <v>4</v>
          </cell>
          <cell r="E238">
            <v>10</v>
          </cell>
        </row>
        <row r="239">
          <cell r="A239" t="str">
            <v>COF</v>
          </cell>
          <cell r="B239" t="str">
            <v>201510</v>
          </cell>
          <cell r="C239">
            <v>40</v>
          </cell>
          <cell r="D239">
            <v>5</v>
          </cell>
          <cell r="E239">
            <v>35</v>
          </cell>
        </row>
        <row r="240">
          <cell r="A240" t="str">
            <v>COF</v>
          </cell>
          <cell r="B240" t="str">
            <v>201520</v>
          </cell>
          <cell r="C240">
            <v>7</v>
          </cell>
          <cell r="D240">
            <v>2</v>
          </cell>
          <cell r="E240">
            <v>5</v>
          </cell>
        </row>
        <row r="241">
          <cell r="A241" t="str">
            <v>COF</v>
          </cell>
          <cell r="B241" t="str">
            <v>201610</v>
          </cell>
          <cell r="C241">
            <v>41</v>
          </cell>
          <cell r="D241">
            <v>12</v>
          </cell>
          <cell r="E241">
            <v>29</v>
          </cell>
        </row>
        <row r="242">
          <cell r="A242" t="str">
            <v>COF</v>
          </cell>
          <cell r="B242" t="str">
            <v>201620</v>
          </cell>
          <cell r="C242">
            <v>10</v>
          </cell>
          <cell r="D242">
            <v>6</v>
          </cell>
          <cell r="E242">
            <v>4</v>
          </cell>
        </row>
        <row r="243">
          <cell r="A243" t="str">
            <v>COF</v>
          </cell>
          <cell r="B243" t="str">
            <v>201710</v>
          </cell>
          <cell r="C243">
            <v>24</v>
          </cell>
          <cell r="D243">
            <v>3</v>
          </cell>
          <cell r="E243">
            <v>21</v>
          </cell>
        </row>
        <row r="244">
          <cell r="A244" t="str">
            <v>COF</v>
          </cell>
          <cell r="B244" t="str">
            <v>201720</v>
          </cell>
          <cell r="C244">
            <v>8</v>
          </cell>
          <cell r="D244">
            <v>2</v>
          </cell>
          <cell r="E244">
            <v>6</v>
          </cell>
        </row>
        <row r="245">
          <cell r="A245" t="str">
            <v>COF</v>
          </cell>
          <cell r="B245" t="str">
            <v>201810</v>
          </cell>
          <cell r="C245">
            <v>12</v>
          </cell>
          <cell r="D245">
            <v>2</v>
          </cell>
          <cell r="E245">
            <v>10</v>
          </cell>
        </row>
        <row r="246">
          <cell r="A246" t="str">
            <v>COF</v>
          </cell>
          <cell r="B246" t="str">
            <v>201820</v>
          </cell>
          <cell r="C246">
            <v>11</v>
          </cell>
          <cell r="D246">
            <v>1</v>
          </cell>
          <cell r="E246">
            <v>8</v>
          </cell>
        </row>
        <row r="247">
          <cell r="A247" t="str">
            <v>COF</v>
          </cell>
          <cell r="B247" t="str">
            <v>201910</v>
          </cell>
          <cell r="C247">
            <v>5</v>
          </cell>
          <cell r="D247">
            <v>0</v>
          </cell>
          <cell r="E247">
            <v>4</v>
          </cell>
        </row>
        <row r="248">
          <cell r="A248" t="str">
            <v>COF</v>
          </cell>
          <cell r="B248" t="str">
            <v>201920</v>
          </cell>
          <cell r="C248">
            <v>3</v>
          </cell>
          <cell r="D248">
            <v>1</v>
          </cell>
          <cell r="E248">
            <v>1</v>
          </cell>
        </row>
        <row r="249">
          <cell r="A249" t="str">
            <v>COF</v>
          </cell>
          <cell r="B249" t="str">
            <v>202010</v>
          </cell>
          <cell r="C249">
            <v>7</v>
          </cell>
          <cell r="D249">
            <v>2</v>
          </cell>
          <cell r="E249">
            <v>0</v>
          </cell>
        </row>
        <row r="250">
          <cell r="A250" t="str">
            <v>COF</v>
          </cell>
          <cell r="B250" t="str">
            <v>202020</v>
          </cell>
          <cell r="C250">
            <v>4</v>
          </cell>
          <cell r="D250">
            <v>0</v>
          </cell>
          <cell r="E250">
            <v>1</v>
          </cell>
        </row>
        <row r="251">
          <cell r="A251" t="str">
            <v>COF</v>
          </cell>
          <cell r="B251" t="str">
            <v>202110</v>
          </cell>
          <cell r="C251">
            <v>3</v>
          </cell>
          <cell r="D251">
            <v>1</v>
          </cell>
          <cell r="E251">
            <v>0</v>
          </cell>
        </row>
        <row r="252">
          <cell r="A252" t="str">
            <v>COF</v>
          </cell>
          <cell r="B252" t="str">
            <v>202120</v>
          </cell>
          <cell r="C252">
            <v>2</v>
          </cell>
          <cell r="D252">
            <v>0</v>
          </cell>
          <cell r="E252">
            <v>0</v>
          </cell>
        </row>
        <row r="253">
          <cell r="A253" t="str">
            <v>COF</v>
          </cell>
          <cell r="B253" t="str">
            <v>202210</v>
          </cell>
          <cell r="C253">
            <v>24</v>
          </cell>
          <cell r="D253">
            <v>3</v>
          </cell>
          <cell r="E253">
            <v>0</v>
          </cell>
        </row>
        <row r="254">
          <cell r="A254" t="str">
            <v>COF</v>
          </cell>
          <cell r="B254" t="str">
            <v>202220</v>
          </cell>
          <cell r="C254">
            <v>6</v>
          </cell>
          <cell r="D254">
            <v>2</v>
          </cell>
          <cell r="E254">
            <v>0</v>
          </cell>
        </row>
        <row r="255">
          <cell r="A255" t="str">
            <v>COF</v>
          </cell>
          <cell r="B255" t="str">
            <v>202310</v>
          </cell>
          <cell r="C255">
            <v>12</v>
          </cell>
          <cell r="D255">
            <v>2</v>
          </cell>
          <cell r="E255">
            <v>0</v>
          </cell>
        </row>
        <row r="256">
          <cell r="A256" t="str">
            <v>COM</v>
          </cell>
          <cell r="B256" t="str">
            <v>202010</v>
          </cell>
          <cell r="C256">
            <v>13</v>
          </cell>
          <cell r="D256">
            <v>5</v>
          </cell>
          <cell r="E256">
            <v>0</v>
          </cell>
        </row>
        <row r="257">
          <cell r="A257" t="str">
            <v>COM</v>
          </cell>
          <cell r="B257" t="str">
            <v>202020</v>
          </cell>
          <cell r="C257">
            <v>10</v>
          </cell>
          <cell r="D257">
            <v>3</v>
          </cell>
          <cell r="E257">
            <v>0</v>
          </cell>
        </row>
        <row r="258">
          <cell r="A258" t="str">
            <v>COM</v>
          </cell>
          <cell r="B258" t="str">
            <v>202110</v>
          </cell>
          <cell r="C258">
            <v>2</v>
          </cell>
          <cell r="D258">
            <v>1</v>
          </cell>
          <cell r="E258">
            <v>0</v>
          </cell>
        </row>
        <row r="259">
          <cell r="A259" t="str">
            <v>COM</v>
          </cell>
          <cell r="B259" t="str">
            <v>202120</v>
          </cell>
          <cell r="C259">
            <v>3</v>
          </cell>
          <cell r="D259">
            <v>0</v>
          </cell>
          <cell r="E259">
            <v>0</v>
          </cell>
        </row>
        <row r="260">
          <cell r="A260" t="str">
            <v>COM</v>
          </cell>
          <cell r="B260" t="str">
            <v>202210</v>
          </cell>
          <cell r="C260">
            <v>18</v>
          </cell>
          <cell r="D260">
            <v>2</v>
          </cell>
          <cell r="E260">
            <v>0</v>
          </cell>
        </row>
        <row r="261">
          <cell r="A261" t="str">
            <v>COM</v>
          </cell>
          <cell r="B261" t="str">
            <v>202220</v>
          </cell>
          <cell r="C261">
            <v>8</v>
          </cell>
          <cell r="D261">
            <v>2</v>
          </cell>
          <cell r="E261">
            <v>0</v>
          </cell>
        </row>
        <row r="262">
          <cell r="A262" t="str">
            <v>COM</v>
          </cell>
          <cell r="B262" t="str">
            <v>202310</v>
          </cell>
          <cell r="C262">
            <v>10</v>
          </cell>
          <cell r="D262">
            <v>3</v>
          </cell>
          <cell r="E262">
            <v>0</v>
          </cell>
        </row>
        <row r="263">
          <cell r="A263" t="str">
            <v>COM</v>
          </cell>
          <cell r="B263" t="str">
            <v>202320</v>
          </cell>
          <cell r="C263">
            <v>13</v>
          </cell>
          <cell r="D263">
            <v>2</v>
          </cell>
          <cell r="E263">
            <v>0</v>
          </cell>
        </row>
        <row r="264">
          <cell r="A264" t="str">
            <v>DER</v>
          </cell>
          <cell r="B264" t="str">
            <v>200020</v>
          </cell>
          <cell r="C264">
            <v>4</v>
          </cell>
          <cell r="D264">
            <v>2</v>
          </cell>
          <cell r="E264">
            <v>2</v>
          </cell>
        </row>
        <row r="265">
          <cell r="A265" t="str">
            <v>DER</v>
          </cell>
          <cell r="B265" t="str">
            <v>200110</v>
          </cell>
          <cell r="C265">
            <v>1</v>
          </cell>
          <cell r="D265">
            <v>0</v>
          </cell>
          <cell r="E265">
            <v>1</v>
          </cell>
        </row>
        <row r="266">
          <cell r="A266" t="str">
            <v>DER</v>
          </cell>
          <cell r="B266" t="str">
            <v>200120</v>
          </cell>
          <cell r="C266">
            <v>4</v>
          </cell>
          <cell r="D266">
            <v>3</v>
          </cell>
          <cell r="E266">
            <v>1</v>
          </cell>
        </row>
        <row r="267">
          <cell r="A267" t="str">
            <v>DER</v>
          </cell>
          <cell r="B267" t="str">
            <v>200210</v>
          </cell>
          <cell r="C267">
            <v>5</v>
          </cell>
          <cell r="D267">
            <v>0</v>
          </cell>
          <cell r="E267">
            <v>5</v>
          </cell>
        </row>
        <row r="268">
          <cell r="A268" t="str">
            <v>DER</v>
          </cell>
          <cell r="B268" t="str">
            <v>200220</v>
          </cell>
          <cell r="C268">
            <v>2</v>
          </cell>
          <cell r="D268">
            <v>0</v>
          </cell>
          <cell r="E268">
            <v>2</v>
          </cell>
        </row>
        <row r="269">
          <cell r="A269" t="str">
            <v>DER</v>
          </cell>
          <cell r="B269" t="str">
            <v>200310</v>
          </cell>
          <cell r="C269">
            <v>8</v>
          </cell>
          <cell r="D269">
            <v>3</v>
          </cell>
          <cell r="E269">
            <v>5</v>
          </cell>
        </row>
        <row r="270">
          <cell r="A270" t="str">
            <v>DER</v>
          </cell>
          <cell r="B270" t="str">
            <v>200320</v>
          </cell>
          <cell r="C270">
            <v>9</v>
          </cell>
          <cell r="D270">
            <v>5</v>
          </cell>
          <cell r="E270">
            <v>4</v>
          </cell>
        </row>
        <row r="271">
          <cell r="A271" t="str">
            <v>DER</v>
          </cell>
          <cell r="B271" t="str">
            <v>200410</v>
          </cell>
          <cell r="C271">
            <v>3</v>
          </cell>
          <cell r="D271">
            <v>0</v>
          </cell>
          <cell r="E271">
            <v>3</v>
          </cell>
        </row>
        <row r="272">
          <cell r="A272" t="str">
            <v>DER</v>
          </cell>
          <cell r="B272" t="str">
            <v>200420</v>
          </cell>
          <cell r="C272">
            <v>12</v>
          </cell>
          <cell r="D272">
            <v>8</v>
          </cell>
          <cell r="E272">
            <v>4</v>
          </cell>
        </row>
        <row r="273">
          <cell r="A273" t="str">
            <v>DER</v>
          </cell>
          <cell r="B273" t="str">
            <v>200510</v>
          </cell>
          <cell r="C273">
            <v>2</v>
          </cell>
          <cell r="D273">
            <v>0</v>
          </cell>
          <cell r="E273">
            <v>2</v>
          </cell>
        </row>
        <row r="274">
          <cell r="A274" t="str">
            <v>DER</v>
          </cell>
          <cell r="B274" t="str">
            <v>200520</v>
          </cell>
          <cell r="C274">
            <v>12</v>
          </cell>
          <cell r="D274">
            <v>6</v>
          </cell>
          <cell r="E274">
            <v>6</v>
          </cell>
        </row>
        <row r="275">
          <cell r="A275" t="str">
            <v>DER</v>
          </cell>
          <cell r="B275" t="str">
            <v>200610</v>
          </cell>
          <cell r="C275">
            <v>6</v>
          </cell>
          <cell r="D275">
            <v>4</v>
          </cell>
          <cell r="E275">
            <v>2</v>
          </cell>
        </row>
        <row r="276">
          <cell r="A276" t="str">
            <v>DER</v>
          </cell>
          <cell r="B276" t="str">
            <v>200620</v>
          </cell>
          <cell r="C276">
            <v>12</v>
          </cell>
          <cell r="D276">
            <v>3</v>
          </cell>
          <cell r="E276">
            <v>9</v>
          </cell>
        </row>
        <row r="277">
          <cell r="A277" t="str">
            <v>DER</v>
          </cell>
          <cell r="B277" t="str">
            <v>200710</v>
          </cell>
          <cell r="C277">
            <v>6</v>
          </cell>
          <cell r="D277">
            <v>4</v>
          </cell>
          <cell r="E277">
            <v>2</v>
          </cell>
        </row>
        <row r="278">
          <cell r="A278" t="str">
            <v>DER</v>
          </cell>
          <cell r="B278" t="str">
            <v>200720</v>
          </cell>
          <cell r="C278">
            <v>8</v>
          </cell>
          <cell r="D278">
            <v>4</v>
          </cell>
          <cell r="E278">
            <v>4</v>
          </cell>
        </row>
        <row r="279">
          <cell r="A279" t="str">
            <v>DER</v>
          </cell>
          <cell r="B279" t="str">
            <v>200810</v>
          </cell>
          <cell r="C279">
            <v>13</v>
          </cell>
          <cell r="D279">
            <v>5</v>
          </cell>
          <cell r="E279">
            <v>8</v>
          </cell>
        </row>
        <row r="280">
          <cell r="A280" t="str">
            <v>DER</v>
          </cell>
          <cell r="B280" t="str">
            <v>200820</v>
          </cell>
          <cell r="C280">
            <v>26</v>
          </cell>
          <cell r="D280">
            <v>7</v>
          </cell>
          <cell r="E280">
            <v>19</v>
          </cell>
        </row>
        <row r="281">
          <cell r="A281" t="str">
            <v>DER</v>
          </cell>
          <cell r="B281" t="str">
            <v>200910</v>
          </cell>
          <cell r="C281">
            <v>7</v>
          </cell>
          <cell r="D281">
            <v>3</v>
          </cell>
          <cell r="E281">
            <v>4</v>
          </cell>
        </row>
        <row r="282">
          <cell r="A282" t="str">
            <v>DER</v>
          </cell>
          <cell r="B282" t="str">
            <v>200920</v>
          </cell>
          <cell r="C282">
            <v>14</v>
          </cell>
          <cell r="D282">
            <v>5</v>
          </cell>
          <cell r="E282">
            <v>9</v>
          </cell>
        </row>
        <row r="283">
          <cell r="A283" t="str">
            <v>DER</v>
          </cell>
          <cell r="B283" t="str">
            <v>201010</v>
          </cell>
          <cell r="C283">
            <v>7</v>
          </cell>
          <cell r="D283">
            <v>4</v>
          </cell>
          <cell r="E283">
            <v>3</v>
          </cell>
        </row>
        <row r="284">
          <cell r="A284" t="str">
            <v>DER</v>
          </cell>
          <cell r="B284" t="str">
            <v>201020</v>
          </cell>
          <cell r="C284">
            <v>11</v>
          </cell>
          <cell r="D284">
            <v>4</v>
          </cell>
          <cell r="E284">
            <v>7</v>
          </cell>
        </row>
        <row r="285">
          <cell r="A285" t="str">
            <v>DER</v>
          </cell>
          <cell r="B285" t="str">
            <v>201110</v>
          </cell>
          <cell r="C285">
            <v>12</v>
          </cell>
          <cell r="D285">
            <v>7</v>
          </cell>
          <cell r="E285">
            <v>5</v>
          </cell>
        </row>
        <row r="286">
          <cell r="A286" t="str">
            <v>DER</v>
          </cell>
          <cell r="B286" t="str">
            <v>201120</v>
          </cell>
          <cell r="C286">
            <v>24</v>
          </cell>
          <cell r="D286">
            <v>5</v>
          </cell>
          <cell r="E286">
            <v>19</v>
          </cell>
        </row>
        <row r="287">
          <cell r="A287" t="str">
            <v>DER</v>
          </cell>
          <cell r="B287" t="str">
            <v>201210</v>
          </cell>
          <cell r="C287">
            <v>18</v>
          </cell>
          <cell r="D287">
            <v>9</v>
          </cell>
          <cell r="E287">
            <v>9</v>
          </cell>
        </row>
        <row r="288">
          <cell r="A288" t="str">
            <v>DER</v>
          </cell>
          <cell r="B288" t="str">
            <v>201220</v>
          </cell>
          <cell r="C288">
            <v>23</v>
          </cell>
          <cell r="D288">
            <v>14</v>
          </cell>
          <cell r="E288">
            <v>9</v>
          </cell>
        </row>
        <row r="289">
          <cell r="A289" t="str">
            <v>DER</v>
          </cell>
          <cell r="B289" t="str">
            <v>201310</v>
          </cell>
          <cell r="C289">
            <v>23</v>
          </cell>
          <cell r="D289">
            <v>11</v>
          </cell>
          <cell r="E289">
            <v>11</v>
          </cell>
        </row>
        <row r="290">
          <cell r="A290" t="str">
            <v>DER</v>
          </cell>
          <cell r="B290" t="str">
            <v>201320</v>
          </cell>
          <cell r="C290">
            <v>18</v>
          </cell>
          <cell r="D290">
            <v>8</v>
          </cell>
          <cell r="E290">
            <v>10</v>
          </cell>
        </row>
        <row r="291">
          <cell r="A291" t="str">
            <v>DER</v>
          </cell>
          <cell r="B291" t="str">
            <v>201410</v>
          </cell>
          <cell r="C291">
            <v>26</v>
          </cell>
          <cell r="D291">
            <v>13</v>
          </cell>
          <cell r="E291">
            <v>13</v>
          </cell>
        </row>
        <row r="292">
          <cell r="A292" t="str">
            <v>DER</v>
          </cell>
          <cell r="B292" t="str">
            <v>201420</v>
          </cell>
          <cell r="C292">
            <v>16</v>
          </cell>
          <cell r="D292">
            <v>10</v>
          </cell>
          <cell r="E292">
            <v>5</v>
          </cell>
        </row>
        <row r="293">
          <cell r="A293" t="str">
            <v>DER</v>
          </cell>
          <cell r="B293" t="str">
            <v>201510</v>
          </cell>
          <cell r="C293">
            <v>71</v>
          </cell>
          <cell r="D293">
            <v>26</v>
          </cell>
          <cell r="E293">
            <v>42</v>
          </cell>
        </row>
        <row r="294">
          <cell r="A294" t="str">
            <v>DER</v>
          </cell>
          <cell r="B294" t="str">
            <v>201520</v>
          </cell>
          <cell r="C294">
            <v>22</v>
          </cell>
          <cell r="D294">
            <v>9</v>
          </cell>
          <cell r="E294">
            <v>13</v>
          </cell>
        </row>
        <row r="295">
          <cell r="A295" t="str">
            <v>DER</v>
          </cell>
          <cell r="B295" t="str">
            <v>201610</v>
          </cell>
          <cell r="C295">
            <v>80</v>
          </cell>
          <cell r="D295">
            <v>36</v>
          </cell>
          <cell r="E295">
            <v>43</v>
          </cell>
        </row>
        <row r="296">
          <cell r="A296" t="str">
            <v>DER</v>
          </cell>
          <cell r="B296" t="str">
            <v>201620</v>
          </cell>
          <cell r="C296">
            <v>19</v>
          </cell>
          <cell r="D296">
            <v>7</v>
          </cell>
          <cell r="E296">
            <v>11</v>
          </cell>
        </row>
        <row r="297">
          <cell r="A297" t="str">
            <v>DER</v>
          </cell>
          <cell r="B297" t="str">
            <v>201710</v>
          </cell>
          <cell r="C297">
            <v>56</v>
          </cell>
          <cell r="D297">
            <v>17</v>
          </cell>
          <cell r="E297">
            <v>36</v>
          </cell>
        </row>
        <row r="298">
          <cell r="A298" t="str">
            <v>DER</v>
          </cell>
          <cell r="B298" t="str">
            <v>201720</v>
          </cell>
          <cell r="C298">
            <v>25</v>
          </cell>
          <cell r="D298">
            <v>6</v>
          </cell>
          <cell r="E298">
            <v>18</v>
          </cell>
        </row>
        <row r="299">
          <cell r="A299" t="str">
            <v>DER</v>
          </cell>
          <cell r="B299" t="str">
            <v>201810</v>
          </cell>
          <cell r="C299">
            <v>38</v>
          </cell>
          <cell r="D299">
            <v>7</v>
          </cell>
          <cell r="E299">
            <v>23</v>
          </cell>
        </row>
        <row r="300">
          <cell r="A300" t="str">
            <v>DER</v>
          </cell>
          <cell r="B300" t="str">
            <v>201820</v>
          </cell>
          <cell r="C300">
            <v>19</v>
          </cell>
          <cell r="D300">
            <v>9</v>
          </cell>
          <cell r="E300">
            <v>3</v>
          </cell>
        </row>
        <row r="301">
          <cell r="A301" t="str">
            <v>DER</v>
          </cell>
          <cell r="B301" t="str">
            <v>201910</v>
          </cell>
          <cell r="C301">
            <v>21</v>
          </cell>
          <cell r="D301">
            <v>4</v>
          </cell>
          <cell r="E301">
            <v>12</v>
          </cell>
        </row>
        <row r="302">
          <cell r="A302" t="str">
            <v>DER</v>
          </cell>
          <cell r="B302" t="str">
            <v>201920</v>
          </cell>
          <cell r="C302">
            <v>14</v>
          </cell>
          <cell r="D302">
            <v>3</v>
          </cell>
          <cell r="E302">
            <v>1</v>
          </cell>
        </row>
        <row r="303">
          <cell r="A303" t="str">
            <v>DER</v>
          </cell>
          <cell r="B303" t="str">
            <v>202010</v>
          </cell>
          <cell r="C303">
            <v>23</v>
          </cell>
          <cell r="D303">
            <v>1</v>
          </cell>
          <cell r="E303">
            <v>0</v>
          </cell>
        </row>
        <row r="304">
          <cell r="A304" t="str">
            <v>DER</v>
          </cell>
          <cell r="B304" t="str">
            <v>202020</v>
          </cell>
          <cell r="C304">
            <v>24</v>
          </cell>
          <cell r="D304">
            <v>2</v>
          </cell>
          <cell r="E304">
            <v>2</v>
          </cell>
        </row>
        <row r="305">
          <cell r="A305" t="str">
            <v>DER</v>
          </cell>
          <cell r="B305" t="str">
            <v>202110</v>
          </cell>
          <cell r="C305">
            <v>28</v>
          </cell>
          <cell r="D305">
            <v>5</v>
          </cell>
          <cell r="E305">
            <v>0</v>
          </cell>
        </row>
        <row r="306">
          <cell r="A306" t="str">
            <v>DER</v>
          </cell>
          <cell r="B306" t="str">
            <v>202120</v>
          </cell>
          <cell r="C306">
            <v>10</v>
          </cell>
          <cell r="D306">
            <v>2</v>
          </cell>
          <cell r="E306">
            <v>0</v>
          </cell>
        </row>
        <row r="307">
          <cell r="A307" t="str">
            <v>DER</v>
          </cell>
          <cell r="B307" t="str">
            <v>202210</v>
          </cell>
          <cell r="C307">
            <v>37</v>
          </cell>
          <cell r="D307">
            <v>2</v>
          </cell>
          <cell r="E307">
            <v>0</v>
          </cell>
        </row>
        <row r="308">
          <cell r="A308" t="str">
            <v>DER</v>
          </cell>
          <cell r="B308" t="str">
            <v>202220</v>
          </cell>
          <cell r="C308">
            <v>22</v>
          </cell>
          <cell r="D308">
            <v>2</v>
          </cell>
          <cell r="E308">
            <v>0</v>
          </cell>
        </row>
        <row r="309">
          <cell r="A309" t="str">
            <v>DER</v>
          </cell>
          <cell r="B309" t="str">
            <v>202310</v>
          </cell>
          <cell r="C309">
            <v>28</v>
          </cell>
          <cell r="D309">
            <v>3</v>
          </cell>
          <cell r="E309">
            <v>0</v>
          </cell>
        </row>
        <row r="310">
          <cell r="A310" t="str">
            <v>DER</v>
          </cell>
          <cell r="B310" t="str">
            <v>202320</v>
          </cell>
          <cell r="C310">
            <v>19</v>
          </cell>
          <cell r="D310">
            <v>2</v>
          </cell>
          <cell r="E310">
            <v>0</v>
          </cell>
        </row>
        <row r="311">
          <cell r="A311" t="str">
            <v>DIS</v>
          </cell>
          <cell r="B311" t="str">
            <v>199820</v>
          </cell>
          <cell r="C311">
            <v>1</v>
          </cell>
          <cell r="D311">
            <v>1</v>
          </cell>
          <cell r="E311">
            <v>0</v>
          </cell>
        </row>
        <row r="312">
          <cell r="A312" t="str">
            <v>DIS</v>
          </cell>
          <cell r="B312" t="str">
            <v>199920</v>
          </cell>
          <cell r="C312">
            <v>2</v>
          </cell>
          <cell r="D312">
            <v>0</v>
          </cell>
          <cell r="E312">
            <v>2</v>
          </cell>
        </row>
        <row r="313">
          <cell r="A313" t="str">
            <v>DIS</v>
          </cell>
          <cell r="B313" t="str">
            <v>200010</v>
          </cell>
          <cell r="C313">
            <v>1</v>
          </cell>
          <cell r="D313">
            <v>0</v>
          </cell>
          <cell r="E313">
            <v>1</v>
          </cell>
        </row>
        <row r="314">
          <cell r="A314" t="str">
            <v>DIS</v>
          </cell>
          <cell r="B314" t="str">
            <v>200020</v>
          </cell>
          <cell r="C314">
            <v>3</v>
          </cell>
          <cell r="D314">
            <v>2</v>
          </cell>
          <cell r="E314">
            <v>1</v>
          </cell>
        </row>
        <row r="315">
          <cell r="A315" t="str">
            <v>DIS</v>
          </cell>
          <cell r="B315" t="str">
            <v>200110</v>
          </cell>
          <cell r="C315">
            <v>1</v>
          </cell>
          <cell r="D315">
            <v>1</v>
          </cell>
          <cell r="E315">
            <v>0</v>
          </cell>
        </row>
        <row r="316">
          <cell r="A316" t="str">
            <v>DIS</v>
          </cell>
          <cell r="B316" t="str">
            <v>200120</v>
          </cell>
          <cell r="C316">
            <v>2</v>
          </cell>
          <cell r="D316">
            <v>2</v>
          </cell>
          <cell r="E316">
            <v>0</v>
          </cell>
        </row>
        <row r="317">
          <cell r="A317" t="str">
            <v>DIS</v>
          </cell>
          <cell r="B317" t="str">
            <v>200210</v>
          </cell>
          <cell r="C317">
            <v>5</v>
          </cell>
          <cell r="D317">
            <v>2</v>
          </cell>
          <cell r="E317">
            <v>3</v>
          </cell>
        </row>
        <row r="318">
          <cell r="A318" t="str">
            <v>DIS</v>
          </cell>
          <cell r="B318" t="str">
            <v>200220</v>
          </cell>
          <cell r="C318">
            <v>4</v>
          </cell>
          <cell r="D318">
            <v>2</v>
          </cell>
          <cell r="E318">
            <v>2</v>
          </cell>
        </row>
        <row r="319">
          <cell r="A319" t="str">
            <v>DIS</v>
          </cell>
          <cell r="B319" t="str">
            <v>200310</v>
          </cell>
          <cell r="C319">
            <v>6</v>
          </cell>
          <cell r="D319">
            <v>3</v>
          </cell>
          <cell r="E319">
            <v>3</v>
          </cell>
        </row>
        <row r="320">
          <cell r="A320" t="str">
            <v>DIS</v>
          </cell>
          <cell r="B320" t="str">
            <v>200320</v>
          </cell>
          <cell r="C320">
            <v>6</v>
          </cell>
          <cell r="D320">
            <v>1</v>
          </cell>
          <cell r="E320">
            <v>5</v>
          </cell>
        </row>
        <row r="321">
          <cell r="A321" t="str">
            <v>DIS</v>
          </cell>
          <cell r="B321" t="str">
            <v>200410</v>
          </cell>
          <cell r="C321">
            <v>7</v>
          </cell>
          <cell r="D321">
            <v>0</v>
          </cell>
          <cell r="E321">
            <v>7</v>
          </cell>
        </row>
        <row r="322">
          <cell r="A322" t="str">
            <v>DIS</v>
          </cell>
          <cell r="B322" t="str">
            <v>200420</v>
          </cell>
          <cell r="C322">
            <v>4</v>
          </cell>
          <cell r="D322">
            <v>1</v>
          </cell>
          <cell r="E322">
            <v>3</v>
          </cell>
        </row>
        <row r="323">
          <cell r="A323" t="str">
            <v>DIS</v>
          </cell>
          <cell r="B323" t="str">
            <v>200510</v>
          </cell>
          <cell r="C323">
            <v>6</v>
          </cell>
          <cell r="D323">
            <v>5</v>
          </cell>
          <cell r="E323">
            <v>1</v>
          </cell>
        </row>
        <row r="324">
          <cell r="A324" t="str">
            <v>DIS</v>
          </cell>
          <cell r="B324" t="str">
            <v>200520</v>
          </cell>
          <cell r="C324">
            <v>5</v>
          </cell>
          <cell r="D324">
            <v>1</v>
          </cell>
          <cell r="E324">
            <v>4</v>
          </cell>
        </row>
        <row r="325">
          <cell r="A325" t="str">
            <v>DIS</v>
          </cell>
          <cell r="B325" t="str">
            <v>200610</v>
          </cell>
          <cell r="C325">
            <v>2</v>
          </cell>
          <cell r="D325">
            <v>0</v>
          </cell>
          <cell r="E325">
            <v>2</v>
          </cell>
        </row>
        <row r="326">
          <cell r="A326" t="str">
            <v>DIS</v>
          </cell>
          <cell r="B326" t="str">
            <v>200620</v>
          </cell>
          <cell r="C326">
            <v>8</v>
          </cell>
          <cell r="D326">
            <v>3</v>
          </cell>
          <cell r="E326">
            <v>5</v>
          </cell>
        </row>
        <row r="327">
          <cell r="A327" t="str">
            <v>DIS</v>
          </cell>
          <cell r="B327" t="str">
            <v>200710</v>
          </cell>
          <cell r="C327">
            <v>6</v>
          </cell>
          <cell r="D327">
            <v>1</v>
          </cell>
          <cell r="E327">
            <v>5</v>
          </cell>
        </row>
        <row r="328">
          <cell r="A328" t="str">
            <v>DIS</v>
          </cell>
          <cell r="B328" t="str">
            <v>200720</v>
          </cell>
          <cell r="C328">
            <v>5</v>
          </cell>
          <cell r="D328">
            <v>1</v>
          </cell>
          <cell r="E328">
            <v>4</v>
          </cell>
        </row>
        <row r="329">
          <cell r="A329" t="str">
            <v>DIS</v>
          </cell>
          <cell r="B329" t="str">
            <v>200810</v>
          </cell>
          <cell r="C329">
            <v>11</v>
          </cell>
          <cell r="D329">
            <v>3</v>
          </cell>
          <cell r="E329">
            <v>8</v>
          </cell>
        </row>
        <row r="330">
          <cell r="A330" t="str">
            <v>DIS</v>
          </cell>
          <cell r="B330" t="str">
            <v>200820</v>
          </cell>
          <cell r="C330">
            <v>3</v>
          </cell>
          <cell r="D330">
            <v>0</v>
          </cell>
          <cell r="E330">
            <v>3</v>
          </cell>
        </row>
        <row r="331">
          <cell r="A331" t="str">
            <v>DIS</v>
          </cell>
          <cell r="B331" t="str">
            <v>200910</v>
          </cell>
          <cell r="C331">
            <v>12</v>
          </cell>
          <cell r="D331">
            <v>3</v>
          </cell>
          <cell r="E331">
            <v>9</v>
          </cell>
        </row>
        <row r="332">
          <cell r="A332" t="str">
            <v>DIS</v>
          </cell>
          <cell r="B332" t="str">
            <v>200920</v>
          </cell>
          <cell r="C332">
            <v>7</v>
          </cell>
          <cell r="D332">
            <v>6</v>
          </cell>
          <cell r="E332">
            <v>1</v>
          </cell>
        </row>
        <row r="333">
          <cell r="A333" t="str">
            <v>DIS</v>
          </cell>
          <cell r="B333" t="str">
            <v>201010</v>
          </cell>
          <cell r="C333">
            <v>7</v>
          </cell>
          <cell r="D333">
            <v>4</v>
          </cell>
          <cell r="E333">
            <v>3</v>
          </cell>
        </row>
        <row r="334">
          <cell r="A334" t="str">
            <v>DIS</v>
          </cell>
          <cell r="B334" t="str">
            <v>201020</v>
          </cell>
          <cell r="C334">
            <v>8</v>
          </cell>
          <cell r="D334">
            <v>2</v>
          </cell>
          <cell r="E334">
            <v>6</v>
          </cell>
        </row>
        <row r="335">
          <cell r="A335" t="str">
            <v>DIS</v>
          </cell>
          <cell r="B335" t="str">
            <v>201110</v>
          </cell>
          <cell r="C335">
            <v>8</v>
          </cell>
          <cell r="D335">
            <v>3</v>
          </cell>
          <cell r="E335">
            <v>5</v>
          </cell>
        </row>
        <row r="336">
          <cell r="A336" t="str">
            <v>DIS</v>
          </cell>
          <cell r="B336" t="str">
            <v>201120</v>
          </cell>
          <cell r="C336">
            <v>8</v>
          </cell>
          <cell r="D336">
            <v>2</v>
          </cell>
          <cell r="E336">
            <v>6</v>
          </cell>
        </row>
        <row r="337">
          <cell r="A337" t="str">
            <v>DIS</v>
          </cell>
          <cell r="B337" t="str">
            <v>201210</v>
          </cell>
          <cell r="C337">
            <v>9</v>
          </cell>
          <cell r="D337">
            <v>3</v>
          </cell>
          <cell r="E337">
            <v>5</v>
          </cell>
        </row>
        <row r="338">
          <cell r="A338" t="str">
            <v>DIS</v>
          </cell>
          <cell r="B338" t="str">
            <v>201220</v>
          </cell>
          <cell r="C338">
            <v>12</v>
          </cell>
          <cell r="D338">
            <v>6</v>
          </cell>
          <cell r="E338">
            <v>6</v>
          </cell>
        </row>
        <row r="339">
          <cell r="A339" t="str">
            <v>DIS</v>
          </cell>
          <cell r="B339" t="str">
            <v>201310</v>
          </cell>
          <cell r="C339">
            <v>7</v>
          </cell>
          <cell r="D339">
            <v>3</v>
          </cell>
          <cell r="E339">
            <v>4</v>
          </cell>
        </row>
        <row r="340">
          <cell r="A340" t="str">
            <v>DIS</v>
          </cell>
          <cell r="B340" t="str">
            <v>201320</v>
          </cell>
          <cell r="C340">
            <v>16</v>
          </cell>
          <cell r="D340">
            <v>3</v>
          </cell>
          <cell r="E340">
            <v>13</v>
          </cell>
        </row>
        <row r="341">
          <cell r="A341" t="str">
            <v>DIS</v>
          </cell>
          <cell r="B341" t="str">
            <v>201410</v>
          </cell>
          <cell r="C341">
            <v>7</v>
          </cell>
          <cell r="D341">
            <v>3</v>
          </cell>
          <cell r="E341">
            <v>4</v>
          </cell>
        </row>
        <row r="342">
          <cell r="A342" t="str">
            <v>DIS</v>
          </cell>
          <cell r="B342" t="str">
            <v>201420</v>
          </cell>
          <cell r="C342">
            <v>14</v>
          </cell>
          <cell r="D342">
            <v>5</v>
          </cell>
          <cell r="E342">
            <v>9</v>
          </cell>
        </row>
        <row r="343">
          <cell r="A343" t="str">
            <v>DIS</v>
          </cell>
          <cell r="B343" t="str">
            <v>201510</v>
          </cell>
          <cell r="C343">
            <v>12</v>
          </cell>
          <cell r="D343">
            <v>3</v>
          </cell>
          <cell r="E343">
            <v>8</v>
          </cell>
        </row>
        <row r="344">
          <cell r="A344" t="str">
            <v>DIS</v>
          </cell>
          <cell r="B344" t="str">
            <v>201520</v>
          </cell>
          <cell r="C344">
            <v>14</v>
          </cell>
          <cell r="D344">
            <v>5</v>
          </cell>
          <cell r="E344">
            <v>9</v>
          </cell>
        </row>
        <row r="345">
          <cell r="A345" t="str">
            <v>DIS</v>
          </cell>
          <cell r="B345" t="str">
            <v>201610</v>
          </cell>
          <cell r="C345">
            <v>9</v>
          </cell>
          <cell r="D345">
            <v>4</v>
          </cell>
          <cell r="E345">
            <v>5</v>
          </cell>
        </row>
        <row r="346">
          <cell r="A346" t="str">
            <v>DIS</v>
          </cell>
          <cell r="B346" t="str">
            <v>201620</v>
          </cell>
          <cell r="C346">
            <v>5</v>
          </cell>
          <cell r="D346">
            <v>2</v>
          </cell>
          <cell r="E346">
            <v>3</v>
          </cell>
        </row>
        <row r="347">
          <cell r="A347" t="str">
            <v>DIS</v>
          </cell>
          <cell r="B347" t="str">
            <v>201710</v>
          </cell>
          <cell r="C347">
            <v>11</v>
          </cell>
          <cell r="D347">
            <v>4</v>
          </cell>
          <cell r="E347">
            <v>6</v>
          </cell>
        </row>
        <row r="348">
          <cell r="A348" t="str">
            <v>DIS</v>
          </cell>
          <cell r="B348" t="str">
            <v>201720</v>
          </cell>
          <cell r="C348">
            <v>8</v>
          </cell>
          <cell r="D348">
            <v>0</v>
          </cell>
          <cell r="E348">
            <v>7</v>
          </cell>
        </row>
        <row r="349">
          <cell r="A349" t="str">
            <v>DIS</v>
          </cell>
          <cell r="B349" t="str">
            <v>201810</v>
          </cell>
          <cell r="C349">
            <v>10</v>
          </cell>
          <cell r="D349">
            <v>2</v>
          </cell>
          <cell r="E349">
            <v>8</v>
          </cell>
        </row>
        <row r="350">
          <cell r="A350" t="str">
            <v>DIS</v>
          </cell>
          <cell r="B350" t="str">
            <v>201820</v>
          </cell>
          <cell r="C350">
            <v>4</v>
          </cell>
          <cell r="D350">
            <v>0</v>
          </cell>
          <cell r="E350">
            <v>3</v>
          </cell>
        </row>
        <row r="351">
          <cell r="A351" t="str">
            <v>DIS</v>
          </cell>
          <cell r="B351" t="str">
            <v>201910</v>
          </cell>
          <cell r="C351">
            <v>5</v>
          </cell>
          <cell r="D351">
            <v>1</v>
          </cell>
          <cell r="E351">
            <v>3</v>
          </cell>
        </row>
        <row r="352">
          <cell r="A352" t="str">
            <v>DIS</v>
          </cell>
          <cell r="B352" t="str">
            <v>201920</v>
          </cell>
          <cell r="C352">
            <v>4</v>
          </cell>
          <cell r="D352">
            <v>1</v>
          </cell>
          <cell r="E352">
            <v>0</v>
          </cell>
        </row>
        <row r="353">
          <cell r="A353" t="str">
            <v>DIS</v>
          </cell>
          <cell r="B353" t="str">
            <v>202010</v>
          </cell>
          <cell r="C353">
            <v>8</v>
          </cell>
          <cell r="D353">
            <v>1</v>
          </cell>
          <cell r="E353">
            <v>0</v>
          </cell>
        </row>
        <row r="354">
          <cell r="A354" t="str">
            <v>DIS</v>
          </cell>
          <cell r="B354" t="str">
            <v>202020</v>
          </cell>
          <cell r="C354">
            <v>1</v>
          </cell>
          <cell r="D354">
            <v>1</v>
          </cell>
          <cell r="E354">
            <v>0</v>
          </cell>
        </row>
        <row r="355">
          <cell r="A355" t="str">
            <v>DIS</v>
          </cell>
          <cell r="B355" t="str">
            <v>202110</v>
          </cell>
          <cell r="C355">
            <v>4</v>
          </cell>
          <cell r="D355">
            <v>1</v>
          </cell>
          <cell r="E355">
            <v>0</v>
          </cell>
        </row>
        <row r="356">
          <cell r="A356" t="str">
            <v>DIS</v>
          </cell>
          <cell r="B356" t="str">
            <v>202120</v>
          </cell>
          <cell r="C356">
            <v>2</v>
          </cell>
          <cell r="D356">
            <v>0</v>
          </cell>
          <cell r="E356">
            <v>0</v>
          </cell>
        </row>
        <row r="357">
          <cell r="A357" t="str">
            <v>DIS</v>
          </cell>
          <cell r="B357" t="str">
            <v>202210</v>
          </cell>
          <cell r="C357">
            <v>5</v>
          </cell>
          <cell r="D357">
            <v>1</v>
          </cell>
          <cell r="E357">
            <v>0</v>
          </cell>
        </row>
        <row r="358">
          <cell r="A358" t="str">
            <v>DIS</v>
          </cell>
          <cell r="B358" t="str">
            <v>202220</v>
          </cell>
          <cell r="C358">
            <v>3</v>
          </cell>
          <cell r="D358">
            <v>1</v>
          </cell>
          <cell r="E358">
            <v>0</v>
          </cell>
        </row>
        <row r="359">
          <cell r="A359" t="str">
            <v>DIS</v>
          </cell>
          <cell r="B359" t="str">
            <v>202310</v>
          </cell>
          <cell r="C359">
            <v>9</v>
          </cell>
          <cell r="D359">
            <v>2</v>
          </cell>
          <cell r="E359">
            <v>0</v>
          </cell>
        </row>
        <row r="360">
          <cell r="A360" t="str">
            <v>DIS</v>
          </cell>
          <cell r="B360" t="str">
            <v>202320</v>
          </cell>
          <cell r="C360">
            <v>5</v>
          </cell>
          <cell r="D360">
            <v>1</v>
          </cell>
          <cell r="E360">
            <v>0</v>
          </cell>
        </row>
        <row r="361">
          <cell r="A361" t="str">
            <v>DMI</v>
          </cell>
          <cell r="B361" t="str">
            <v>200520</v>
          </cell>
          <cell r="C361">
            <v>4</v>
          </cell>
          <cell r="D361">
            <v>1</v>
          </cell>
          <cell r="E361">
            <v>3</v>
          </cell>
        </row>
        <row r="362">
          <cell r="A362" t="str">
            <v>DMI</v>
          </cell>
          <cell r="B362" t="str">
            <v>200610</v>
          </cell>
          <cell r="C362">
            <v>9</v>
          </cell>
          <cell r="D362">
            <v>6</v>
          </cell>
          <cell r="E362">
            <v>3</v>
          </cell>
        </row>
        <row r="363">
          <cell r="A363" t="str">
            <v>DMI</v>
          </cell>
          <cell r="B363" t="str">
            <v>200620</v>
          </cell>
          <cell r="C363">
            <v>13</v>
          </cell>
          <cell r="D363">
            <v>4</v>
          </cell>
          <cell r="E363">
            <v>9</v>
          </cell>
        </row>
        <row r="364">
          <cell r="A364" t="str">
            <v>DMI</v>
          </cell>
          <cell r="B364" t="str">
            <v>200710</v>
          </cell>
          <cell r="C364">
            <v>8</v>
          </cell>
          <cell r="D364">
            <v>4</v>
          </cell>
          <cell r="E364">
            <v>4</v>
          </cell>
        </row>
        <row r="365">
          <cell r="A365" t="str">
            <v>DMI</v>
          </cell>
          <cell r="B365" t="str">
            <v>200720</v>
          </cell>
          <cell r="C365">
            <v>11</v>
          </cell>
          <cell r="D365">
            <v>4</v>
          </cell>
          <cell r="E365">
            <v>7</v>
          </cell>
        </row>
        <row r="366">
          <cell r="A366" t="str">
            <v>DMI</v>
          </cell>
          <cell r="B366" t="str">
            <v>200810</v>
          </cell>
          <cell r="C366">
            <v>7</v>
          </cell>
          <cell r="D366">
            <v>4</v>
          </cell>
          <cell r="E366">
            <v>3</v>
          </cell>
        </row>
        <row r="367">
          <cell r="A367" t="str">
            <v>DMI</v>
          </cell>
          <cell r="B367" t="str">
            <v>200820</v>
          </cell>
          <cell r="C367">
            <v>17</v>
          </cell>
          <cell r="D367">
            <v>9</v>
          </cell>
          <cell r="E367">
            <v>8</v>
          </cell>
        </row>
        <row r="368">
          <cell r="A368" t="str">
            <v>DMI</v>
          </cell>
          <cell r="B368" t="str">
            <v>200910</v>
          </cell>
          <cell r="C368">
            <v>10</v>
          </cell>
          <cell r="D368">
            <v>4</v>
          </cell>
          <cell r="E368">
            <v>6</v>
          </cell>
        </row>
        <row r="369">
          <cell r="A369" t="str">
            <v>DMI</v>
          </cell>
          <cell r="B369" t="str">
            <v>200920</v>
          </cell>
          <cell r="C369">
            <v>11</v>
          </cell>
          <cell r="D369">
            <v>3</v>
          </cell>
          <cell r="E369">
            <v>8</v>
          </cell>
        </row>
        <row r="370">
          <cell r="A370" t="str">
            <v>DMI</v>
          </cell>
          <cell r="B370" t="str">
            <v>201010</v>
          </cell>
          <cell r="C370">
            <v>10</v>
          </cell>
          <cell r="D370">
            <v>6</v>
          </cell>
          <cell r="E370">
            <v>4</v>
          </cell>
        </row>
        <row r="371">
          <cell r="A371" t="str">
            <v>DMI</v>
          </cell>
          <cell r="B371" t="str">
            <v>201020</v>
          </cell>
          <cell r="C371">
            <v>23</v>
          </cell>
          <cell r="D371">
            <v>12</v>
          </cell>
          <cell r="E371">
            <v>11</v>
          </cell>
        </row>
        <row r="372">
          <cell r="A372" t="str">
            <v>DMI</v>
          </cell>
          <cell r="B372" t="str">
            <v>201110</v>
          </cell>
          <cell r="C372">
            <v>10</v>
          </cell>
          <cell r="D372">
            <v>6</v>
          </cell>
          <cell r="E372">
            <v>4</v>
          </cell>
        </row>
        <row r="373">
          <cell r="A373" t="str">
            <v>DMI</v>
          </cell>
          <cell r="B373" t="str">
            <v>201120</v>
          </cell>
          <cell r="C373">
            <v>14</v>
          </cell>
          <cell r="D373">
            <v>8</v>
          </cell>
          <cell r="E373">
            <v>6</v>
          </cell>
        </row>
        <row r="374">
          <cell r="A374" t="str">
            <v>DMI</v>
          </cell>
          <cell r="B374" t="str">
            <v>201210</v>
          </cell>
          <cell r="C374">
            <v>16</v>
          </cell>
          <cell r="D374">
            <v>9</v>
          </cell>
          <cell r="E374">
            <v>7</v>
          </cell>
        </row>
        <row r="375">
          <cell r="A375" t="str">
            <v>DMI</v>
          </cell>
          <cell r="B375" t="str">
            <v>201220</v>
          </cell>
          <cell r="C375">
            <v>17</v>
          </cell>
          <cell r="D375">
            <v>5</v>
          </cell>
          <cell r="E375">
            <v>11</v>
          </cell>
        </row>
        <row r="376">
          <cell r="A376" t="str">
            <v>DMI</v>
          </cell>
          <cell r="B376" t="str">
            <v>201310</v>
          </cell>
          <cell r="C376">
            <v>12</v>
          </cell>
          <cell r="D376">
            <v>4</v>
          </cell>
          <cell r="E376">
            <v>8</v>
          </cell>
        </row>
        <row r="377">
          <cell r="A377" t="str">
            <v>DMI</v>
          </cell>
          <cell r="B377" t="str">
            <v>201320</v>
          </cell>
          <cell r="C377">
            <v>19</v>
          </cell>
          <cell r="D377">
            <v>5</v>
          </cell>
          <cell r="E377">
            <v>14</v>
          </cell>
        </row>
        <row r="378">
          <cell r="A378" t="str">
            <v>DMI</v>
          </cell>
          <cell r="B378" t="str">
            <v>201410</v>
          </cell>
          <cell r="C378">
            <v>11</v>
          </cell>
          <cell r="D378">
            <v>4</v>
          </cell>
          <cell r="E378">
            <v>7</v>
          </cell>
        </row>
        <row r="379">
          <cell r="A379" t="str">
            <v>DMI</v>
          </cell>
          <cell r="B379" t="str">
            <v>201420</v>
          </cell>
          <cell r="C379">
            <v>19</v>
          </cell>
          <cell r="D379">
            <v>6</v>
          </cell>
          <cell r="E379">
            <v>13</v>
          </cell>
        </row>
        <row r="380">
          <cell r="A380" t="str">
            <v>DMI</v>
          </cell>
          <cell r="B380" t="str">
            <v>201510</v>
          </cell>
          <cell r="C380">
            <v>25</v>
          </cell>
          <cell r="D380">
            <v>6</v>
          </cell>
          <cell r="E380">
            <v>19</v>
          </cell>
        </row>
        <row r="381">
          <cell r="A381" t="str">
            <v>DMI</v>
          </cell>
          <cell r="B381" t="str">
            <v>201520</v>
          </cell>
          <cell r="C381">
            <v>17</v>
          </cell>
          <cell r="D381">
            <v>7</v>
          </cell>
          <cell r="E381">
            <v>10</v>
          </cell>
        </row>
        <row r="382">
          <cell r="A382" t="str">
            <v>DMI</v>
          </cell>
          <cell r="B382" t="str">
            <v>201610</v>
          </cell>
          <cell r="C382">
            <v>28</v>
          </cell>
          <cell r="D382">
            <v>13</v>
          </cell>
          <cell r="E382">
            <v>14</v>
          </cell>
        </row>
        <row r="383">
          <cell r="A383" t="str">
            <v>DMI</v>
          </cell>
          <cell r="B383" t="str">
            <v>201620</v>
          </cell>
          <cell r="C383">
            <v>15</v>
          </cell>
          <cell r="D383">
            <v>4</v>
          </cell>
          <cell r="E383">
            <v>11</v>
          </cell>
        </row>
        <row r="384">
          <cell r="A384" t="str">
            <v>DMI</v>
          </cell>
          <cell r="B384" t="str">
            <v>201710</v>
          </cell>
          <cell r="C384">
            <v>19</v>
          </cell>
          <cell r="D384">
            <v>7</v>
          </cell>
          <cell r="E384">
            <v>11</v>
          </cell>
        </row>
        <row r="385">
          <cell r="A385" t="str">
            <v>DMI</v>
          </cell>
          <cell r="B385" t="str">
            <v>201720</v>
          </cell>
          <cell r="C385">
            <v>12</v>
          </cell>
          <cell r="D385">
            <v>0</v>
          </cell>
          <cell r="E385">
            <v>11</v>
          </cell>
        </row>
        <row r="386">
          <cell r="A386" t="str">
            <v>DMI</v>
          </cell>
          <cell r="B386" t="str">
            <v>201810</v>
          </cell>
          <cell r="C386">
            <v>21</v>
          </cell>
          <cell r="D386">
            <v>6</v>
          </cell>
          <cell r="E386">
            <v>11</v>
          </cell>
        </row>
        <row r="387">
          <cell r="A387" t="str">
            <v>DMI</v>
          </cell>
          <cell r="B387" t="str">
            <v>201820</v>
          </cell>
          <cell r="C387">
            <v>16</v>
          </cell>
          <cell r="D387">
            <v>6</v>
          </cell>
          <cell r="E387">
            <v>7</v>
          </cell>
        </row>
        <row r="388">
          <cell r="A388" t="str">
            <v>DMI</v>
          </cell>
          <cell r="B388" t="str">
            <v>201910</v>
          </cell>
          <cell r="C388">
            <v>14</v>
          </cell>
          <cell r="D388">
            <v>5</v>
          </cell>
          <cell r="E388">
            <v>4</v>
          </cell>
        </row>
        <row r="389">
          <cell r="A389" t="str">
            <v>DMI</v>
          </cell>
          <cell r="B389" t="str">
            <v>201920</v>
          </cell>
          <cell r="C389">
            <v>13</v>
          </cell>
          <cell r="D389">
            <v>4</v>
          </cell>
          <cell r="E389">
            <v>0</v>
          </cell>
        </row>
        <row r="390">
          <cell r="A390" t="str">
            <v>DMI</v>
          </cell>
          <cell r="B390" t="str">
            <v>202010</v>
          </cell>
          <cell r="C390">
            <v>22</v>
          </cell>
          <cell r="D390">
            <v>7</v>
          </cell>
          <cell r="E390">
            <v>0</v>
          </cell>
        </row>
        <row r="391">
          <cell r="A391" t="str">
            <v>DMI</v>
          </cell>
          <cell r="B391" t="str">
            <v>202020</v>
          </cell>
          <cell r="C391">
            <v>16</v>
          </cell>
          <cell r="D391">
            <v>4</v>
          </cell>
          <cell r="E391">
            <v>0</v>
          </cell>
        </row>
        <row r="392">
          <cell r="A392" t="str">
            <v>DMI</v>
          </cell>
          <cell r="B392" t="str">
            <v>202110</v>
          </cell>
          <cell r="C392">
            <v>20</v>
          </cell>
          <cell r="D392">
            <v>5</v>
          </cell>
          <cell r="E392">
            <v>0</v>
          </cell>
        </row>
        <row r="393">
          <cell r="A393" t="str">
            <v>DMI</v>
          </cell>
          <cell r="B393" t="str">
            <v>202120</v>
          </cell>
          <cell r="C393">
            <v>11</v>
          </cell>
          <cell r="D393">
            <v>1</v>
          </cell>
          <cell r="E393">
            <v>0</v>
          </cell>
        </row>
        <row r="394">
          <cell r="A394" t="str">
            <v>DMI</v>
          </cell>
          <cell r="B394" t="str">
            <v>202210</v>
          </cell>
          <cell r="C394">
            <v>25</v>
          </cell>
          <cell r="D394">
            <v>3</v>
          </cell>
          <cell r="E394">
            <v>0</v>
          </cell>
        </row>
        <row r="395">
          <cell r="A395" t="str">
            <v>DMI</v>
          </cell>
          <cell r="B395" t="str">
            <v>202220</v>
          </cell>
          <cell r="C395">
            <v>21</v>
          </cell>
          <cell r="D395">
            <v>6</v>
          </cell>
          <cell r="E395">
            <v>0</v>
          </cell>
        </row>
        <row r="396">
          <cell r="A396" t="str">
            <v>DMI</v>
          </cell>
          <cell r="B396" t="str">
            <v>202310</v>
          </cell>
          <cell r="C396">
            <v>13</v>
          </cell>
          <cell r="D396">
            <v>1</v>
          </cell>
          <cell r="E396">
            <v>0</v>
          </cell>
        </row>
        <row r="397">
          <cell r="A397" t="str">
            <v>DMI</v>
          </cell>
          <cell r="B397" t="str">
            <v>202320</v>
          </cell>
          <cell r="C397">
            <v>25</v>
          </cell>
          <cell r="D397">
            <v>4</v>
          </cell>
          <cell r="E397">
            <v>0</v>
          </cell>
        </row>
        <row r="398">
          <cell r="A398" t="str">
            <v>ECO</v>
          </cell>
          <cell r="B398" t="str">
            <v>200620</v>
          </cell>
          <cell r="C398">
            <v>3</v>
          </cell>
          <cell r="D398">
            <v>1</v>
          </cell>
          <cell r="E398">
            <v>2</v>
          </cell>
        </row>
        <row r="399">
          <cell r="A399" t="str">
            <v>ECO</v>
          </cell>
          <cell r="B399" t="str">
            <v>200710</v>
          </cell>
          <cell r="C399">
            <v>1</v>
          </cell>
          <cell r="D399">
            <v>1</v>
          </cell>
          <cell r="E399">
            <v>0</v>
          </cell>
        </row>
        <row r="400">
          <cell r="A400" t="str">
            <v>ECO</v>
          </cell>
          <cell r="B400" t="str">
            <v>200720</v>
          </cell>
          <cell r="C400">
            <v>6</v>
          </cell>
          <cell r="D400">
            <v>2</v>
          </cell>
          <cell r="E400">
            <v>4</v>
          </cell>
        </row>
        <row r="401">
          <cell r="A401" t="str">
            <v>ECO</v>
          </cell>
          <cell r="B401" t="str">
            <v>200810</v>
          </cell>
          <cell r="C401">
            <v>6</v>
          </cell>
          <cell r="D401">
            <v>1</v>
          </cell>
          <cell r="E401">
            <v>5</v>
          </cell>
        </row>
        <row r="402">
          <cell r="A402" t="str">
            <v>ECO</v>
          </cell>
          <cell r="B402" t="str">
            <v>200820</v>
          </cell>
          <cell r="C402">
            <v>10</v>
          </cell>
          <cell r="D402">
            <v>7</v>
          </cell>
          <cell r="E402">
            <v>3</v>
          </cell>
        </row>
        <row r="403">
          <cell r="A403" t="str">
            <v>ECO</v>
          </cell>
          <cell r="B403" t="str">
            <v>200910</v>
          </cell>
          <cell r="C403">
            <v>3</v>
          </cell>
          <cell r="D403">
            <v>3</v>
          </cell>
          <cell r="E403">
            <v>0</v>
          </cell>
        </row>
        <row r="404">
          <cell r="A404" t="str">
            <v>ECO</v>
          </cell>
          <cell r="B404" t="str">
            <v>200920</v>
          </cell>
          <cell r="C404">
            <v>2</v>
          </cell>
          <cell r="D404">
            <v>2</v>
          </cell>
          <cell r="E404">
            <v>0</v>
          </cell>
        </row>
        <row r="405">
          <cell r="A405" t="str">
            <v>ECO</v>
          </cell>
          <cell r="B405" t="str">
            <v>201010</v>
          </cell>
          <cell r="C405">
            <v>2</v>
          </cell>
          <cell r="D405">
            <v>1</v>
          </cell>
          <cell r="E405">
            <v>1</v>
          </cell>
        </row>
        <row r="406">
          <cell r="A406" t="str">
            <v>ECO</v>
          </cell>
          <cell r="B406" t="str">
            <v>201020</v>
          </cell>
          <cell r="C406">
            <v>5</v>
          </cell>
          <cell r="D406">
            <v>1</v>
          </cell>
          <cell r="E406">
            <v>3</v>
          </cell>
        </row>
        <row r="407">
          <cell r="A407" t="str">
            <v>ECO</v>
          </cell>
          <cell r="B407" t="str">
            <v>201120</v>
          </cell>
          <cell r="C407">
            <v>3</v>
          </cell>
          <cell r="D407">
            <v>1</v>
          </cell>
          <cell r="E407">
            <v>2</v>
          </cell>
        </row>
        <row r="408">
          <cell r="A408" t="str">
            <v>ECO</v>
          </cell>
          <cell r="B408" t="str">
            <v>201210</v>
          </cell>
          <cell r="C408">
            <v>2</v>
          </cell>
          <cell r="D408">
            <v>2</v>
          </cell>
          <cell r="E408">
            <v>0</v>
          </cell>
        </row>
        <row r="409">
          <cell r="A409" t="str">
            <v>ECO</v>
          </cell>
          <cell r="B409" t="str">
            <v>201220</v>
          </cell>
          <cell r="C409">
            <v>1</v>
          </cell>
          <cell r="D409">
            <v>0</v>
          </cell>
          <cell r="E409">
            <v>1</v>
          </cell>
        </row>
        <row r="410">
          <cell r="A410" t="str">
            <v>ECO</v>
          </cell>
          <cell r="B410" t="str">
            <v>201320</v>
          </cell>
          <cell r="C410">
            <v>4</v>
          </cell>
          <cell r="D410">
            <v>1</v>
          </cell>
          <cell r="E410">
            <v>3</v>
          </cell>
        </row>
        <row r="411">
          <cell r="A411" t="str">
            <v>ECO</v>
          </cell>
          <cell r="B411" t="str">
            <v>201410</v>
          </cell>
          <cell r="C411">
            <v>3</v>
          </cell>
          <cell r="D411">
            <v>2</v>
          </cell>
          <cell r="E411">
            <v>1</v>
          </cell>
        </row>
        <row r="412">
          <cell r="A412" t="str">
            <v>ECO</v>
          </cell>
          <cell r="B412" t="str">
            <v>201420</v>
          </cell>
          <cell r="C412">
            <v>6</v>
          </cell>
          <cell r="D412">
            <v>2</v>
          </cell>
          <cell r="E412">
            <v>4</v>
          </cell>
        </row>
        <row r="413">
          <cell r="A413" t="str">
            <v>ECO</v>
          </cell>
          <cell r="B413" t="str">
            <v>201510</v>
          </cell>
          <cell r="C413">
            <v>9</v>
          </cell>
          <cell r="D413">
            <v>5</v>
          </cell>
          <cell r="E413">
            <v>4</v>
          </cell>
        </row>
        <row r="414">
          <cell r="A414" t="str">
            <v>ECO</v>
          </cell>
          <cell r="B414" t="str">
            <v>201520</v>
          </cell>
          <cell r="C414">
            <v>4</v>
          </cell>
          <cell r="D414">
            <v>0</v>
          </cell>
          <cell r="E414">
            <v>4</v>
          </cell>
        </row>
        <row r="415">
          <cell r="A415" t="str">
            <v>ECO</v>
          </cell>
          <cell r="B415" t="str">
            <v>201610</v>
          </cell>
          <cell r="C415">
            <v>10</v>
          </cell>
          <cell r="D415">
            <v>5</v>
          </cell>
          <cell r="E415">
            <v>5</v>
          </cell>
        </row>
        <row r="416">
          <cell r="A416" t="str">
            <v>ECO</v>
          </cell>
          <cell r="B416" t="str">
            <v>201620</v>
          </cell>
          <cell r="C416">
            <v>6</v>
          </cell>
          <cell r="D416">
            <v>1</v>
          </cell>
          <cell r="E416">
            <v>5</v>
          </cell>
        </row>
        <row r="417">
          <cell r="A417" t="str">
            <v>ECO</v>
          </cell>
          <cell r="B417" t="str">
            <v>201710</v>
          </cell>
          <cell r="C417">
            <v>6</v>
          </cell>
          <cell r="D417">
            <v>1</v>
          </cell>
          <cell r="E417">
            <v>5</v>
          </cell>
        </row>
        <row r="418">
          <cell r="A418" t="str">
            <v>ECO</v>
          </cell>
          <cell r="B418" t="str">
            <v>201720</v>
          </cell>
          <cell r="C418">
            <v>5</v>
          </cell>
          <cell r="D418">
            <v>1</v>
          </cell>
          <cell r="E418">
            <v>4</v>
          </cell>
        </row>
        <row r="419">
          <cell r="A419" t="str">
            <v>ECO</v>
          </cell>
          <cell r="B419" t="str">
            <v>201810</v>
          </cell>
          <cell r="C419">
            <v>4</v>
          </cell>
          <cell r="D419">
            <v>3</v>
          </cell>
          <cell r="E419">
            <v>1</v>
          </cell>
        </row>
        <row r="420">
          <cell r="A420" t="str">
            <v>ECO</v>
          </cell>
          <cell r="B420" t="str">
            <v>201820</v>
          </cell>
          <cell r="C420">
            <v>3</v>
          </cell>
          <cell r="D420">
            <v>1</v>
          </cell>
          <cell r="E420">
            <v>2</v>
          </cell>
        </row>
        <row r="421">
          <cell r="A421" t="str">
            <v>ECO</v>
          </cell>
          <cell r="B421" t="str">
            <v>201910</v>
          </cell>
          <cell r="C421">
            <v>4</v>
          </cell>
          <cell r="D421">
            <v>1</v>
          </cell>
          <cell r="E421">
            <v>2</v>
          </cell>
        </row>
        <row r="422">
          <cell r="A422" t="str">
            <v>ECO</v>
          </cell>
          <cell r="B422" t="str">
            <v>201920</v>
          </cell>
          <cell r="C422">
            <v>2</v>
          </cell>
          <cell r="D422">
            <v>0</v>
          </cell>
          <cell r="E422">
            <v>0</v>
          </cell>
        </row>
        <row r="423">
          <cell r="A423" t="str">
            <v>ECO</v>
          </cell>
          <cell r="B423" t="str">
            <v>202010</v>
          </cell>
          <cell r="C423">
            <v>4</v>
          </cell>
          <cell r="D423">
            <v>2</v>
          </cell>
          <cell r="E423">
            <v>0</v>
          </cell>
        </row>
        <row r="424">
          <cell r="A424" t="str">
            <v>ECO</v>
          </cell>
          <cell r="B424" t="str">
            <v>202020</v>
          </cell>
          <cell r="C424">
            <v>2</v>
          </cell>
          <cell r="D424">
            <v>0</v>
          </cell>
          <cell r="E424">
            <v>0</v>
          </cell>
        </row>
        <row r="425">
          <cell r="A425" t="str">
            <v>ECO</v>
          </cell>
          <cell r="B425" t="str">
            <v>202110</v>
          </cell>
          <cell r="C425">
            <v>3</v>
          </cell>
          <cell r="D425">
            <v>0</v>
          </cell>
          <cell r="E425">
            <v>0</v>
          </cell>
        </row>
        <row r="426">
          <cell r="A426" t="str">
            <v>ECO</v>
          </cell>
          <cell r="B426" t="str">
            <v>202120</v>
          </cell>
          <cell r="C426">
            <v>1</v>
          </cell>
          <cell r="D426">
            <v>1</v>
          </cell>
          <cell r="E426">
            <v>0</v>
          </cell>
        </row>
        <row r="427">
          <cell r="A427" t="str">
            <v>ECO</v>
          </cell>
          <cell r="B427" t="str">
            <v>202210</v>
          </cell>
          <cell r="C427">
            <v>2</v>
          </cell>
          <cell r="D427">
            <v>0</v>
          </cell>
          <cell r="E427">
            <v>0</v>
          </cell>
        </row>
        <row r="428">
          <cell r="A428" t="str">
            <v>ECO</v>
          </cell>
          <cell r="B428" t="str">
            <v>202220</v>
          </cell>
          <cell r="C428">
            <v>3</v>
          </cell>
          <cell r="D428">
            <v>0</v>
          </cell>
          <cell r="E428">
            <v>0</v>
          </cell>
        </row>
        <row r="429">
          <cell r="A429" t="str">
            <v>ECO</v>
          </cell>
          <cell r="B429" t="str">
            <v>202310</v>
          </cell>
          <cell r="C429">
            <v>1</v>
          </cell>
          <cell r="D429">
            <v>0</v>
          </cell>
          <cell r="E429">
            <v>0</v>
          </cell>
        </row>
        <row r="430">
          <cell r="A430" t="str">
            <v>ENI</v>
          </cell>
          <cell r="B430" t="str">
            <v>199820</v>
          </cell>
          <cell r="C430">
            <v>16</v>
          </cell>
          <cell r="D430">
            <v>7</v>
          </cell>
          <cell r="E430">
            <v>9</v>
          </cell>
        </row>
        <row r="431">
          <cell r="A431" t="str">
            <v>ENI</v>
          </cell>
          <cell r="B431" t="str">
            <v>199910</v>
          </cell>
          <cell r="C431">
            <v>10</v>
          </cell>
          <cell r="D431">
            <v>3</v>
          </cell>
          <cell r="E431">
            <v>7</v>
          </cell>
        </row>
        <row r="432">
          <cell r="A432" t="str">
            <v>ENI</v>
          </cell>
          <cell r="B432" t="str">
            <v>199920</v>
          </cell>
          <cell r="C432">
            <v>25</v>
          </cell>
          <cell r="D432">
            <v>11</v>
          </cell>
          <cell r="E432">
            <v>14</v>
          </cell>
        </row>
        <row r="433">
          <cell r="A433" t="str">
            <v>ENI</v>
          </cell>
          <cell r="B433" t="str">
            <v>200010</v>
          </cell>
          <cell r="C433">
            <v>8</v>
          </cell>
          <cell r="D433">
            <v>5</v>
          </cell>
          <cell r="E433">
            <v>3</v>
          </cell>
        </row>
        <row r="434">
          <cell r="A434" t="str">
            <v>ENI</v>
          </cell>
          <cell r="B434" t="str">
            <v>200020</v>
          </cell>
          <cell r="C434">
            <v>41</v>
          </cell>
          <cell r="D434">
            <v>25</v>
          </cell>
          <cell r="E434">
            <v>16</v>
          </cell>
        </row>
        <row r="435">
          <cell r="A435" t="str">
            <v>ENI</v>
          </cell>
          <cell r="B435" t="str">
            <v>200110</v>
          </cell>
          <cell r="C435">
            <v>8</v>
          </cell>
          <cell r="D435">
            <v>0</v>
          </cell>
          <cell r="E435">
            <v>8</v>
          </cell>
        </row>
        <row r="436">
          <cell r="A436" t="str">
            <v>ENI</v>
          </cell>
          <cell r="B436" t="str">
            <v>200120</v>
          </cell>
          <cell r="C436">
            <v>22</v>
          </cell>
          <cell r="D436">
            <v>9</v>
          </cell>
          <cell r="E436">
            <v>13</v>
          </cell>
        </row>
        <row r="437">
          <cell r="A437" t="str">
            <v>ENI</v>
          </cell>
          <cell r="B437" t="str">
            <v>200210</v>
          </cell>
          <cell r="C437">
            <v>14</v>
          </cell>
          <cell r="D437">
            <v>8</v>
          </cell>
          <cell r="E437">
            <v>6</v>
          </cell>
        </row>
        <row r="438">
          <cell r="A438" t="str">
            <v>ENI</v>
          </cell>
          <cell r="B438" t="str">
            <v>200220</v>
          </cell>
          <cell r="C438">
            <v>16</v>
          </cell>
          <cell r="D438">
            <v>10</v>
          </cell>
          <cell r="E438">
            <v>6</v>
          </cell>
        </row>
        <row r="439">
          <cell r="A439" t="str">
            <v>ENI</v>
          </cell>
          <cell r="B439" t="str">
            <v>200310</v>
          </cell>
          <cell r="C439">
            <v>15</v>
          </cell>
          <cell r="D439">
            <v>7</v>
          </cell>
          <cell r="E439">
            <v>8</v>
          </cell>
        </row>
        <row r="440">
          <cell r="A440" t="str">
            <v>ENI</v>
          </cell>
          <cell r="B440" t="str">
            <v>200320</v>
          </cell>
          <cell r="C440">
            <v>36</v>
          </cell>
          <cell r="D440">
            <v>22</v>
          </cell>
          <cell r="E440">
            <v>14</v>
          </cell>
        </row>
        <row r="441">
          <cell r="A441" t="str">
            <v>ENI</v>
          </cell>
          <cell r="B441" t="str">
            <v>200410</v>
          </cell>
          <cell r="C441">
            <v>18</v>
          </cell>
          <cell r="D441">
            <v>9</v>
          </cell>
          <cell r="E441">
            <v>9</v>
          </cell>
        </row>
        <row r="442">
          <cell r="A442" t="str">
            <v>ENI</v>
          </cell>
          <cell r="B442" t="str">
            <v>200420</v>
          </cell>
          <cell r="C442">
            <v>39</v>
          </cell>
          <cell r="D442">
            <v>18</v>
          </cell>
          <cell r="E442">
            <v>21</v>
          </cell>
        </row>
        <row r="443">
          <cell r="A443" t="str">
            <v>ENI</v>
          </cell>
          <cell r="B443" t="str">
            <v>200510</v>
          </cell>
          <cell r="C443">
            <v>11</v>
          </cell>
          <cell r="D443">
            <v>4</v>
          </cell>
          <cell r="E443">
            <v>7</v>
          </cell>
        </row>
        <row r="444">
          <cell r="A444" t="str">
            <v>ENI</v>
          </cell>
          <cell r="B444" t="str">
            <v>200520</v>
          </cell>
          <cell r="C444">
            <v>40</v>
          </cell>
          <cell r="D444">
            <v>16</v>
          </cell>
          <cell r="E444">
            <v>24</v>
          </cell>
        </row>
        <row r="445">
          <cell r="A445" t="str">
            <v>ENI</v>
          </cell>
          <cell r="B445" t="str">
            <v>200610</v>
          </cell>
          <cell r="C445">
            <v>16</v>
          </cell>
          <cell r="D445">
            <v>9</v>
          </cell>
          <cell r="E445">
            <v>7</v>
          </cell>
        </row>
        <row r="446">
          <cell r="A446" t="str">
            <v>ENI</v>
          </cell>
          <cell r="B446" t="str">
            <v>200620</v>
          </cell>
          <cell r="C446">
            <v>48</v>
          </cell>
          <cell r="D446">
            <v>24</v>
          </cell>
          <cell r="E446">
            <v>24</v>
          </cell>
        </row>
        <row r="447">
          <cell r="A447" t="str">
            <v>ENI</v>
          </cell>
          <cell r="B447" t="str">
            <v>200710</v>
          </cell>
          <cell r="C447">
            <v>16</v>
          </cell>
          <cell r="D447">
            <v>12</v>
          </cell>
          <cell r="E447">
            <v>4</v>
          </cell>
        </row>
        <row r="448">
          <cell r="A448" t="str">
            <v>ENI</v>
          </cell>
          <cell r="B448" t="str">
            <v>200720</v>
          </cell>
          <cell r="C448">
            <v>74</v>
          </cell>
          <cell r="D448">
            <v>44</v>
          </cell>
          <cell r="E448">
            <v>30</v>
          </cell>
        </row>
        <row r="449">
          <cell r="A449" t="str">
            <v>ENI</v>
          </cell>
          <cell r="B449" t="str">
            <v>200810</v>
          </cell>
          <cell r="C449">
            <v>32</v>
          </cell>
          <cell r="D449">
            <v>18</v>
          </cell>
          <cell r="E449">
            <v>14</v>
          </cell>
        </row>
        <row r="450">
          <cell r="A450" t="str">
            <v>ENI</v>
          </cell>
          <cell r="B450" t="str">
            <v>200820</v>
          </cell>
          <cell r="C450">
            <v>54</v>
          </cell>
          <cell r="D450">
            <v>26</v>
          </cell>
          <cell r="E450">
            <v>28</v>
          </cell>
        </row>
        <row r="451">
          <cell r="A451" t="str">
            <v>ENI</v>
          </cell>
          <cell r="B451" t="str">
            <v>200910</v>
          </cell>
          <cell r="C451">
            <v>20</v>
          </cell>
          <cell r="D451">
            <v>14</v>
          </cell>
          <cell r="E451">
            <v>6</v>
          </cell>
        </row>
        <row r="452">
          <cell r="A452" t="str">
            <v>ENI</v>
          </cell>
          <cell r="B452" t="str">
            <v>200920</v>
          </cell>
          <cell r="C452">
            <v>53</v>
          </cell>
          <cell r="D452">
            <v>19</v>
          </cell>
          <cell r="E452">
            <v>34</v>
          </cell>
        </row>
        <row r="453">
          <cell r="A453" t="str">
            <v>ENI</v>
          </cell>
          <cell r="B453" t="str">
            <v>201010</v>
          </cell>
          <cell r="C453">
            <v>10</v>
          </cell>
          <cell r="D453">
            <v>4</v>
          </cell>
          <cell r="E453">
            <v>6</v>
          </cell>
        </row>
        <row r="454">
          <cell r="A454" t="str">
            <v>ENI</v>
          </cell>
          <cell r="B454" t="str">
            <v>201020</v>
          </cell>
          <cell r="C454">
            <v>30</v>
          </cell>
          <cell r="D454">
            <v>8</v>
          </cell>
          <cell r="E454">
            <v>22</v>
          </cell>
        </row>
        <row r="455">
          <cell r="A455" t="str">
            <v>ENI</v>
          </cell>
          <cell r="B455" t="str">
            <v>201110</v>
          </cell>
          <cell r="C455">
            <v>32</v>
          </cell>
          <cell r="D455">
            <v>10</v>
          </cell>
          <cell r="E455">
            <v>22</v>
          </cell>
        </row>
        <row r="456">
          <cell r="A456" t="str">
            <v>ENI</v>
          </cell>
          <cell r="B456" t="str">
            <v>201120</v>
          </cell>
          <cell r="C456">
            <v>39</v>
          </cell>
          <cell r="D456">
            <v>17</v>
          </cell>
          <cell r="E456">
            <v>21</v>
          </cell>
        </row>
        <row r="457">
          <cell r="A457" t="str">
            <v>ENI</v>
          </cell>
          <cell r="B457" t="str">
            <v>201210</v>
          </cell>
          <cell r="C457">
            <v>42</v>
          </cell>
          <cell r="D457">
            <v>21</v>
          </cell>
          <cell r="E457">
            <v>21</v>
          </cell>
        </row>
        <row r="458">
          <cell r="A458" t="str">
            <v>ENI</v>
          </cell>
          <cell r="B458" t="str">
            <v>201220</v>
          </cell>
          <cell r="C458">
            <v>50</v>
          </cell>
          <cell r="D458">
            <v>18</v>
          </cell>
          <cell r="E458">
            <v>31</v>
          </cell>
        </row>
        <row r="459">
          <cell r="A459" t="str">
            <v>ENI</v>
          </cell>
          <cell r="B459" t="str">
            <v>201310</v>
          </cell>
          <cell r="C459">
            <v>71</v>
          </cell>
          <cell r="D459">
            <v>34</v>
          </cell>
          <cell r="E459">
            <v>37</v>
          </cell>
        </row>
        <row r="460">
          <cell r="A460" t="str">
            <v>ENI</v>
          </cell>
          <cell r="B460" t="str">
            <v>201320</v>
          </cell>
          <cell r="C460">
            <v>52</v>
          </cell>
          <cell r="D460">
            <v>22</v>
          </cell>
          <cell r="E460">
            <v>30</v>
          </cell>
        </row>
        <row r="461">
          <cell r="A461" t="str">
            <v>ENI</v>
          </cell>
          <cell r="B461" t="str">
            <v>201410</v>
          </cell>
          <cell r="C461">
            <v>44</v>
          </cell>
          <cell r="D461">
            <v>20</v>
          </cell>
          <cell r="E461">
            <v>24</v>
          </cell>
        </row>
        <row r="462">
          <cell r="A462" t="str">
            <v>ENI</v>
          </cell>
          <cell r="B462" t="str">
            <v>201420</v>
          </cell>
          <cell r="C462">
            <v>54</v>
          </cell>
          <cell r="D462">
            <v>27</v>
          </cell>
          <cell r="E462">
            <v>27</v>
          </cell>
        </row>
        <row r="463">
          <cell r="A463" t="str">
            <v>ENI</v>
          </cell>
          <cell r="B463" t="str">
            <v>201510</v>
          </cell>
          <cell r="C463">
            <v>81</v>
          </cell>
          <cell r="D463">
            <v>33</v>
          </cell>
          <cell r="E463">
            <v>47</v>
          </cell>
        </row>
        <row r="464">
          <cell r="A464" t="str">
            <v>ENI</v>
          </cell>
          <cell r="B464" t="str">
            <v>201520</v>
          </cell>
          <cell r="C464">
            <v>44</v>
          </cell>
          <cell r="D464">
            <v>10</v>
          </cell>
          <cell r="E464">
            <v>33</v>
          </cell>
        </row>
        <row r="465">
          <cell r="A465" t="str">
            <v>ENI</v>
          </cell>
          <cell r="B465" t="str">
            <v>201610</v>
          </cell>
          <cell r="C465">
            <v>99</v>
          </cell>
          <cell r="D465">
            <v>39</v>
          </cell>
          <cell r="E465">
            <v>60</v>
          </cell>
        </row>
        <row r="466">
          <cell r="A466" t="str">
            <v>ENI</v>
          </cell>
          <cell r="B466" t="str">
            <v>201620</v>
          </cell>
          <cell r="C466">
            <v>37</v>
          </cell>
          <cell r="D466">
            <v>18</v>
          </cell>
          <cell r="E466">
            <v>19</v>
          </cell>
        </row>
        <row r="467">
          <cell r="A467" t="str">
            <v>ENI</v>
          </cell>
          <cell r="B467" t="str">
            <v>201710</v>
          </cell>
          <cell r="C467">
            <v>70</v>
          </cell>
          <cell r="D467">
            <v>25</v>
          </cell>
          <cell r="E467">
            <v>44</v>
          </cell>
        </row>
        <row r="468">
          <cell r="A468" t="str">
            <v>ENI</v>
          </cell>
          <cell r="B468" t="str">
            <v>201720</v>
          </cell>
          <cell r="C468">
            <v>31</v>
          </cell>
          <cell r="D468">
            <v>9</v>
          </cell>
          <cell r="E468">
            <v>19</v>
          </cell>
        </row>
        <row r="469">
          <cell r="A469" t="str">
            <v>ENI</v>
          </cell>
          <cell r="B469" t="str">
            <v>201810</v>
          </cell>
          <cell r="C469">
            <v>35</v>
          </cell>
          <cell r="D469">
            <v>10</v>
          </cell>
          <cell r="E469">
            <v>21</v>
          </cell>
        </row>
        <row r="470">
          <cell r="A470" t="str">
            <v>ENI</v>
          </cell>
          <cell r="B470" t="str">
            <v>201820</v>
          </cell>
          <cell r="C470">
            <v>14</v>
          </cell>
          <cell r="D470">
            <v>7</v>
          </cell>
          <cell r="E470">
            <v>4</v>
          </cell>
        </row>
        <row r="471">
          <cell r="A471" t="str">
            <v>ENI</v>
          </cell>
          <cell r="B471" t="str">
            <v>201910</v>
          </cell>
          <cell r="C471">
            <v>34</v>
          </cell>
          <cell r="D471">
            <v>5</v>
          </cell>
          <cell r="E471">
            <v>24</v>
          </cell>
        </row>
        <row r="472">
          <cell r="A472" t="str">
            <v>ENI</v>
          </cell>
          <cell r="B472" t="str">
            <v>201920</v>
          </cell>
          <cell r="C472">
            <v>19</v>
          </cell>
          <cell r="D472">
            <v>6</v>
          </cell>
          <cell r="E472">
            <v>2</v>
          </cell>
        </row>
        <row r="473">
          <cell r="A473" t="str">
            <v>ENI</v>
          </cell>
          <cell r="B473" t="str">
            <v>202010</v>
          </cell>
          <cell r="C473">
            <v>36</v>
          </cell>
          <cell r="D473">
            <v>10</v>
          </cell>
          <cell r="E473">
            <v>1</v>
          </cell>
        </row>
        <row r="474">
          <cell r="A474" t="str">
            <v>ENI</v>
          </cell>
          <cell r="B474" t="str">
            <v>202020</v>
          </cell>
          <cell r="C474">
            <v>19</v>
          </cell>
          <cell r="D474">
            <v>6</v>
          </cell>
          <cell r="E474">
            <v>0</v>
          </cell>
        </row>
        <row r="475">
          <cell r="A475" t="str">
            <v>ENI</v>
          </cell>
          <cell r="B475" t="str">
            <v>202110</v>
          </cell>
          <cell r="C475">
            <v>31</v>
          </cell>
          <cell r="D475">
            <v>5</v>
          </cell>
          <cell r="E475">
            <v>0</v>
          </cell>
        </row>
        <row r="476">
          <cell r="A476" t="str">
            <v>ENI</v>
          </cell>
          <cell r="B476" t="str">
            <v>202120</v>
          </cell>
          <cell r="C476">
            <v>22</v>
          </cell>
          <cell r="D476">
            <v>2</v>
          </cell>
          <cell r="E476">
            <v>0</v>
          </cell>
        </row>
        <row r="477">
          <cell r="A477" t="str">
            <v>ENI</v>
          </cell>
          <cell r="B477" t="str">
            <v>202210</v>
          </cell>
          <cell r="C477">
            <v>40</v>
          </cell>
          <cell r="D477">
            <v>6</v>
          </cell>
          <cell r="E477">
            <v>0</v>
          </cell>
        </row>
        <row r="478">
          <cell r="A478" t="str">
            <v>ENI</v>
          </cell>
          <cell r="B478" t="str">
            <v>202220</v>
          </cell>
          <cell r="C478">
            <v>43</v>
          </cell>
          <cell r="D478">
            <v>6</v>
          </cell>
          <cell r="E478">
            <v>0</v>
          </cell>
        </row>
        <row r="479">
          <cell r="A479" t="str">
            <v>ENI</v>
          </cell>
          <cell r="B479" t="str">
            <v>202310</v>
          </cell>
          <cell r="C479">
            <v>30</v>
          </cell>
          <cell r="D479">
            <v>3</v>
          </cell>
          <cell r="E479">
            <v>0</v>
          </cell>
        </row>
        <row r="480">
          <cell r="A480" t="str">
            <v>ENI</v>
          </cell>
          <cell r="B480" t="str">
            <v>202320</v>
          </cell>
          <cell r="C480">
            <v>35</v>
          </cell>
          <cell r="D480">
            <v>1</v>
          </cell>
          <cell r="E480">
            <v>0</v>
          </cell>
        </row>
        <row r="481">
          <cell r="A481" t="str">
            <v>FIN</v>
          </cell>
          <cell r="B481" t="str">
            <v>201910</v>
          </cell>
          <cell r="C481">
            <v>5</v>
          </cell>
          <cell r="D481">
            <v>3</v>
          </cell>
          <cell r="E481">
            <v>0</v>
          </cell>
        </row>
        <row r="482">
          <cell r="A482" t="str">
            <v>FIN</v>
          </cell>
          <cell r="B482" t="str">
            <v>201920</v>
          </cell>
          <cell r="C482">
            <v>6</v>
          </cell>
          <cell r="D482">
            <v>1</v>
          </cell>
          <cell r="E482">
            <v>0</v>
          </cell>
        </row>
        <row r="483">
          <cell r="A483" t="str">
            <v>FIN</v>
          </cell>
          <cell r="B483" t="str">
            <v>202010</v>
          </cell>
          <cell r="C483">
            <v>5</v>
          </cell>
          <cell r="D483">
            <v>3</v>
          </cell>
          <cell r="E483">
            <v>1</v>
          </cell>
        </row>
        <row r="484">
          <cell r="A484" t="str">
            <v>FIN</v>
          </cell>
          <cell r="B484" t="str">
            <v>202020</v>
          </cell>
          <cell r="C484">
            <v>3</v>
          </cell>
          <cell r="D484">
            <v>3</v>
          </cell>
          <cell r="E484">
            <v>0</v>
          </cell>
        </row>
        <row r="485">
          <cell r="A485" t="str">
            <v>FIN</v>
          </cell>
          <cell r="B485" t="str">
            <v>202110</v>
          </cell>
          <cell r="C485">
            <v>10</v>
          </cell>
          <cell r="D485">
            <v>2</v>
          </cell>
          <cell r="E485">
            <v>1</v>
          </cell>
        </row>
        <row r="486">
          <cell r="A486" t="str">
            <v>FIN</v>
          </cell>
          <cell r="B486" t="str">
            <v>202120</v>
          </cell>
          <cell r="C486">
            <v>6</v>
          </cell>
          <cell r="D486">
            <v>2</v>
          </cell>
          <cell r="E486">
            <v>0</v>
          </cell>
        </row>
        <row r="487">
          <cell r="A487" t="str">
            <v>FIN</v>
          </cell>
          <cell r="B487" t="str">
            <v>202210</v>
          </cell>
          <cell r="C487">
            <v>18</v>
          </cell>
          <cell r="D487">
            <v>1</v>
          </cell>
          <cell r="E487">
            <v>0</v>
          </cell>
        </row>
        <row r="488">
          <cell r="A488" t="str">
            <v>FIN</v>
          </cell>
          <cell r="B488" t="str">
            <v>202220</v>
          </cell>
          <cell r="C488">
            <v>9</v>
          </cell>
          <cell r="D488">
            <v>4</v>
          </cell>
          <cell r="E488">
            <v>0</v>
          </cell>
        </row>
        <row r="489">
          <cell r="A489" t="str">
            <v>FIN</v>
          </cell>
          <cell r="B489" t="str">
            <v>202310</v>
          </cell>
          <cell r="C489">
            <v>12</v>
          </cell>
          <cell r="D489">
            <v>2</v>
          </cell>
          <cell r="E489">
            <v>0</v>
          </cell>
        </row>
        <row r="490">
          <cell r="A490" t="str">
            <v>FIN</v>
          </cell>
          <cell r="B490" t="str">
            <v>202320</v>
          </cell>
          <cell r="C490">
            <v>8</v>
          </cell>
          <cell r="D490">
            <v>0</v>
          </cell>
          <cell r="E490">
            <v>0</v>
          </cell>
        </row>
        <row r="491">
          <cell r="A491" t="str">
            <v>IAG</v>
          </cell>
          <cell r="B491" t="str">
            <v>202120</v>
          </cell>
          <cell r="C491">
            <v>1</v>
          </cell>
          <cell r="D491">
            <v>1</v>
          </cell>
          <cell r="E491">
            <v>0</v>
          </cell>
        </row>
        <row r="492">
          <cell r="A492" t="str">
            <v>IBQ</v>
          </cell>
          <cell r="B492" t="str">
            <v>201520</v>
          </cell>
          <cell r="C492">
            <v>17</v>
          </cell>
          <cell r="D492">
            <v>4</v>
          </cell>
          <cell r="E492">
            <v>12</v>
          </cell>
        </row>
        <row r="493">
          <cell r="A493" t="str">
            <v>IBQ</v>
          </cell>
          <cell r="B493" t="str">
            <v>201610</v>
          </cell>
          <cell r="C493">
            <v>61</v>
          </cell>
          <cell r="D493">
            <v>17</v>
          </cell>
          <cell r="E493">
            <v>44</v>
          </cell>
        </row>
        <row r="494">
          <cell r="A494" t="str">
            <v>IBQ</v>
          </cell>
          <cell r="B494" t="str">
            <v>201620</v>
          </cell>
          <cell r="C494">
            <v>26</v>
          </cell>
          <cell r="D494">
            <v>9</v>
          </cell>
          <cell r="E494">
            <v>17</v>
          </cell>
        </row>
        <row r="495">
          <cell r="A495" t="str">
            <v>IBQ</v>
          </cell>
          <cell r="B495" t="str">
            <v>201710</v>
          </cell>
          <cell r="C495">
            <v>57</v>
          </cell>
          <cell r="D495">
            <v>11</v>
          </cell>
          <cell r="E495">
            <v>43</v>
          </cell>
        </row>
        <row r="496">
          <cell r="A496" t="str">
            <v>IBQ</v>
          </cell>
          <cell r="B496" t="str">
            <v>201720</v>
          </cell>
          <cell r="C496">
            <v>5</v>
          </cell>
          <cell r="D496">
            <v>0</v>
          </cell>
          <cell r="E496">
            <v>2</v>
          </cell>
        </row>
        <row r="497">
          <cell r="A497" t="str">
            <v>IBQ</v>
          </cell>
          <cell r="B497" t="str">
            <v>201810</v>
          </cell>
          <cell r="C497">
            <v>41</v>
          </cell>
          <cell r="D497">
            <v>11</v>
          </cell>
          <cell r="E497">
            <v>24</v>
          </cell>
        </row>
        <row r="498">
          <cell r="A498" t="str">
            <v>IBQ</v>
          </cell>
          <cell r="B498" t="str">
            <v>201820</v>
          </cell>
          <cell r="C498">
            <v>11</v>
          </cell>
          <cell r="D498">
            <v>5</v>
          </cell>
          <cell r="E498">
            <v>4</v>
          </cell>
        </row>
        <row r="499">
          <cell r="A499" t="str">
            <v>IBQ</v>
          </cell>
          <cell r="B499" t="str">
            <v>201910</v>
          </cell>
          <cell r="C499">
            <v>22</v>
          </cell>
          <cell r="D499">
            <v>4</v>
          </cell>
          <cell r="E499">
            <v>12</v>
          </cell>
        </row>
        <row r="500">
          <cell r="A500" t="str">
            <v>IBQ</v>
          </cell>
          <cell r="B500" t="str">
            <v>201920</v>
          </cell>
          <cell r="C500">
            <v>13</v>
          </cell>
          <cell r="D500">
            <v>3</v>
          </cell>
          <cell r="E500">
            <v>1</v>
          </cell>
        </row>
        <row r="501">
          <cell r="A501" t="str">
            <v>IBQ</v>
          </cell>
          <cell r="B501" t="str">
            <v>202010</v>
          </cell>
          <cell r="C501">
            <v>20</v>
          </cell>
          <cell r="D501">
            <v>2</v>
          </cell>
          <cell r="E501">
            <v>0</v>
          </cell>
        </row>
        <row r="502">
          <cell r="A502" t="str">
            <v>IBQ</v>
          </cell>
          <cell r="B502" t="str">
            <v>202020</v>
          </cell>
          <cell r="C502">
            <v>10</v>
          </cell>
          <cell r="D502">
            <v>3</v>
          </cell>
          <cell r="E502">
            <v>0</v>
          </cell>
        </row>
        <row r="503">
          <cell r="A503" t="str">
            <v>IBQ</v>
          </cell>
          <cell r="B503" t="str">
            <v>202110</v>
          </cell>
          <cell r="C503">
            <v>11</v>
          </cell>
          <cell r="D503">
            <v>0</v>
          </cell>
          <cell r="E503">
            <v>0</v>
          </cell>
        </row>
        <row r="504">
          <cell r="A504" t="str">
            <v>IBQ</v>
          </cell>
          <cell r="B504" t="str">
            <v>202120</v>
          </cell>
          <cell r="C504">
            <v>8</v>
          </cell>
          <cell r="D504">
            <v>0</v>
          </cell>
          <cell r="E504">
            <v>0</v>
          </cell>
        </row>
        <row r="505">
          <cell r="A505" t="str">
            <v>IBQ</v>
          </cell>
          <cell r="B505" t="str">
            <v>202210</v>
          </cell>
          <cell r="C505">
            <v>15</v>
          </cell>
          <cell r="D505">
            <v>6</v>
          </cell>
          <cell r="E505">
            <v>0</v>
          </cell>
        </row>
        <row r="506">
          <cell r="A506" t="str">
            <v>IBQ</v>
          </cell>
          <cell r="B506" t="str">
            <v>202220</v>
          </cell>
          <cell r="C506">
            <v>13</v>
          </cell>
          <cell r="D506">
            <v>5</v>
          </cell>
          <cell r="E506">
            <v>0</v>
          </cell>
        </row>
        <row r="507">
          <cell r="A507" t="str">
            <v>IBQ</v>
          </cell>
          <cell r="B507" t="str">
            <v>202310</v>
          </cell>
          <cell r="C507">
            <v>18</v>
          </cell>
          <cell r="D507">
            <v>4</v>
          </cell>
          <cell r="E507">
            <v>0</v>
          </cell>
        </row>
        <row r="508">
          <cell r="A508" t="str">
            <v>IBQ</v>
          </cell>
          <cell r="B508" t="str">
            <v>202320</v>
          </cell>
          <cell r="C508">
            <v>11</v>
          </cell>
          <cell r="D508">
            <v>1</v>
          </cell>
          <cell r="E508">
            <v>0</v>
          </cell>
        </row>
        <row r="509">
          <cell r="A509" t="str">
            <v>IND</v>
          </cell>
          <cell r="B509" t="str">
            <v>199720</v>
          </cell>
          <cell r="C509">
            <v>7</v>
          </cell>
          <cell r="D509">
            <v>1</v>
          </cell>
          <cell r="E509">
            <v>6</v>
          </cell>
        </row>
        <row r="510">
          <cell r="A510" t="str">
            <v>IND</v>
          </cell>
          <cell r="B510" t="str">
            <v>199810</v>
          </cell>
          <cell r="C510">
            <v>3</v>
          </cell>
          <cell r="D510">
            <v>1</v>
          </cell>
          <cell r="E510">
            <v>2</v>
          </cell>
        </row>
        <row r="511">
          <cell r="A511" t="str">
            <v>IND</v>
          </cell>
          <cell r="B511" t="str">
            <v>199820</v>
          </cell>
          <cell r="C511">
            <v>13</v>
          </cell>
          <cell r="D511">
            <v>5</v>
          </cell>
          <cell r="E511">
            <v>8</v>
          </cell>
        </row>
        <row r="512">
          <cell r="A512" t="str">
            <v>IND</v>
          </cell>
          <cell r="B512" t="str">
            <v>199910</v>
          </cell>
          <cell r="C512">
            <v>3</v>
          </cell>
          <cell r="D512">
            <v>1</v>
          </cell>
          <cell r="E512">
            <v>2</v>
          </cell>
        </row>
        <row r="513">
          <cell r="A513" t="str">
            <v>IND</v>
          </cell>
          <cell r="B513" t="str">
            <v>199920</v>
          </cell>
          <cell r="C513">
            <v>5</v>
          </cell>
          <cell r="D513">
            <v>3</v>
          </cell>
          <cell r="E513">
            <v>2</v>
          </cell>
        </row>
        <row r="514">
          <cell r="A514" t="str">
            <v>IND</v>
          </cell>
          <cell r="B514" t="str">
            <v>200010</v>
          </cell>
          <cell r="C514">
            <v>1</v>
          </cell>
          <cell r="D514">
            <v>0</v>
          </cell>
          <cell r="E514">
            <v>1</v>
          </cell>
        </row>
        <row r="515">
          <cell r="A515" t="str">
            <v>IND</v>
          </cell>
          <cell r="B515" t="str">
            <v>200020</v>
          </cell>
          <cell r="C515">
            <v>9</v>
          </cell>
          <cell r="D515">
            <v>7</v>
          </cell>
          <cell r="E515">
            <v>2</v>
          </cell>
        </row>
        <row r="516">
          <cell r="A516" t="str">
            <v>IND</v>
          </cell>
          <cell r="B516" t="str">
            <v>200110</v>
          </cell>
          <cell r="C516">
            <v>1</v>
          </cell>
          <cell r="D516">
            <v>1</v>
          </cell>
          <cell r="E516">
            <v>0</v>
          </cell>
        </row>
        <row r="517">
          <cell r="A517" t="str">
            <v>IND</v>
          </cell>
          <cell r="B517" t="str">
            <v>200120</v>
          </cell>
          <cell r="C517">
            <v>4</v>
          </cell>
          <cell r="D517">
            <v>2</v>
          </cell>
          <cell r="E517">
            <v>2</v>
          </cell>
        </row>
        <row r="518">
          <cell r="A518" t="str">
            <v>IND</v>
          </cell>
          <cell r="B518" t="str">
            <v>200210</v>
          </cell>
          <cell r="C518">
            <v>5</v>
          </cell>
          <cell r="D518">
            <v>2</v>
          </cell>
          <cell r="E518">
            <v>3</v>
          </cell>
        </row>
        <row r="519">
          <cell r="A519" t="str">
            <v>IND</v>
          </cell>
          <cell r="B519" t="str">
            <v>200220</v>
          </cell>
          <cell r="C519">
            <v>7</v>
          </cell>
          <cell r="D519">
            <v>5</v>
          </cell>
          <cell r="E519">
            <v>2</v>
          </cell>
        </row>
        <row r="520">
          <cell r="A520" t="str">
            <v>IND</v>
          </cell>
          <cell r="B520" t="str">
            <v>200310</v>
          </cell>
          <cell r="C520">
            <v>5</v>
          </cell>
          <cell r="D520">
            <v>2</v>
          </cell>
          <cell r="E520">
            <v>3</v>
          </cell>
        </row>
        <row r="521">
          <cell r="A521" t="str">
            <v>IND</v>
          </cell>
          <cell r="B521" t="str">
            <v>200320</v>
          </cell>
          <cell r="C521">
            <v>20</v>
          </cell>
          <cell r="D521">
            <v>9</v>
          </cell>
          <cell r="E521">
            <v>11</v>
          </cell>
        </row>
        <row r="522">
          <cell r="A522" t="str">
            <v>IND</v>
          </cell>
          <cell r="B522" t="str">
            <v>200410</v>
          </cell>
          <cell r="C522">
            <v>6</v>
          </cell>
          <cell r="D522">
            <v>2</v>
          </cell>
          <cell r="E522">
            <v>4</v>
          </cell>
        </row>
        <row r="523">
          <cell r="A523" t="str">
            <v>IND</v>
          </cell>
          <cell r="B523" t="str">
            <v>200420</v>
          </cell>
          <cell r="C523">
            <v>18</v>
          </cell>
          <cell r="D523">
            <v>6</v>
          </cell>
          <cell r="E523">
            <v>12</v>
          </cell>
        </row>
        <row r="524">
          <cell r="A524" t="str">
            <v>IND</v>
          </cell>
          <cell r="B524" t="str">
            <v>200510</v>
          </cell>
          <cell r="C524">
            <v>5</v>
          </cell>
          <cell r="D524">
            <v>3</v>
          </cell>
          <cell r="E524">
            <v>2</v>
          </cell>
        </row>
        <row r="525">
          <cell r="A525" t="str">
            <v>IND</v>
          </cell>
          <cell r="B525" t="str">
            <v>200520</v>
          </cell>
          <cell r="C525">
            <v>23</v>
          </cell>
          <cell r="D525">
            <v>13</v>
          </cell>
          <cell r="E525">
            <v>10</v>
          </cell>
        </row>
        <row r="526">
          <cell r="A526" t="str">
            <v>IND</v>
          </cell>
          <cell r="B526" t="str">
            <v>200610</v>
          </cell>
          <cell r="C526">
            <v>8</v>
          </cell>
          <cell r="D526">
            <v>2</v>
          </cell>
          <cell r="E526">
            <v>6</v>
          </cell>
        </row>
        <row r="527">
          <cell r="A527" t="str">
            <v>IND</v>
          </cell>
          <cell r="B527" t="str">
            <v>200620</v>
          </cell>
          <cell r="C527">
            <v>40</v>
          </cell>
          <cell r="D527">
            <v>12</v>
          </cell>
          <cell r="E527">
            <v>28</v>
          </cell>
        </row>
        <row r="528">
          <cell r="A528" t="str">
            <v>IND</v>
          </cell>
          <cell r="B528" t="str">
            <v>200710</v>
          </cell>
          <cell r="C528">
            <v>19</v>
          </cell>
          <cell r="D528">
            <v>12</v>
          </cell>
          <cell r="E528">
            <v>7</v>
          </cell>
        </row>
        <row r="529">
          <cell r="A529" t="str">
            <v>IND</v>
          </cell>
          <cell r="B529" t="str">
            <v>200720</v>
          </cell>
          <cell r="C529">
            <v>44</v>
          </cell>
          <cell r="D529">
            <v>16</v>
          </cell>
          <cell r="E529">
            <v>28</v>
          </cell>
        </row>
        <row r="530">
          <cell r="A530" t="str">
            <v>IND</v>
          </cell>
          <cell r="B530" t="str">
            <v>200810</v>
          </cell>
          <cell r="C530">
            <v>25</v>
          </cell>
          <cell r="D530">
            <v>12</v>
          </cell>
          <cell r="E530">
            <v>13</v>
          </cell>
        </row>
        <row r="531">
          <cell r="A531" t="str">
            <v>IND</v>
          </cell>
          <cell r="B531" t="str">
            <v>200820</v>
          </cell>
          <cell r="C531">
            <v>47</v>
          </cell>
          <cell r="D531">
            <v>16</v>
          </cell>
          <cell r="E531">
            <v>31</v>
          </cell>
        </row>
        <row r="532">
          <cell r="A532" t="str">
            <v>IND</v>
          </cell>
          <cell r="B532" t="str">
            <v>200910</v>
          </cell>
          <cell r="C532">
            <v>23</v>
          </cell>
          <cell r="D532">
            <v>7</v>
          </cell>
          <cell r="E532">
            <v>16</v>
          </cell>
        </row>
        <row r="533">
          <cell r="A533" t="str">
            <v>IND</v>
          </cell>
          <cell r="B533" t="str">
            <v>200920</v>
          </cell>
          <cell r="C533">
            <v>40</v>
          </cell>
          <cell r="D533">
            <v>15</v>
          </cell>
          <cell r="E533">
            <v>25</v>
          </cell>
        </row>
        <row r="534">
          <cell r="A534" t="str">
            <v>IND</v>
          </cell>
          <cell r="B534" t="str">
            <v>201010</v>
          </cell>
          <cell r="C534">
            <v>22</v>
          </cell>
          <cell r="D534">
            <v>13</v>
          </cell>
          <cell r="E534">
            <v>9</v>
          </cell>
        </row>
        <row r="535">
          <cell r="A535" t="str">
            <v>IND</v>
          </cell>
          <cell r="B535" t="str">
            <v>201020</v>
          </cell>
          <cell r="C535">
            <v>32</v>
          </cell>
          <cell r="D535">
            <v>10</v>
          </cell>
          <cell r="E535">
            <v>22</v>
          </cell>
        </row>
        <row r="536">
          <cell r="A536" t="str">
            <v>IND</v>
          </cell>
          <cell r="B536" t="str">
            <v>201110</v>
          </cell>
          <cell r="C536">
            <v>26</v>
          </cell>
          <cell r="D536">
            <v>15</v>
          </cell>
          <cell r="E536">
            <v>11</v>
          </cell>
        </row>
        <row r="537">
          <cell r="A537" t="str">
            <v>IND</v>
          </cell>
          <cell r="B537" t="str">
            <v>201120</v>
          </cell>
          <cell r="C537">
            <v>52</v>
          </cell>
          <cell r="D537">
            <v>18</v>
          </cell>
          <cell r="E537">
            <v>34</v>
          </cell>
        </row>
        <row r="538">
          <cell r="A538" t="str">
            <v>IND</v>
          </cell>
          <cell r="B538" t="str">
            <v>201210</v>
          </cell>
          <cell r="C538">
            <v>37</v>
          </cell>
          <cell r="D538">
            <v>20</v>
          </cell>
          <cell r="E538">
            <v>17</v>
          </cell>
        </row>
        <row r="539">
          <cell r="A539" t="str">
            <v>IND</v>
          </cell>
          <cell r="B539" t="str">
            <v>201220</v>
          </cell>
          <cell r="C539">
            <v>41</v>
          </cell>
          <cell r="D539">
            <v>21</v>
          </cell>
          <cell r="E539">
            <v>20</v>
          </cell>
        </row>
        <row r="540">
          <cell r="A540" t="str">
            <v>IND</v>
          </cell>
          <cell r="B540" t="str">
            <v>201310</v>
          </cell>
          <cell r="C540">
            <v>42</v>
          </cell>
          <cell r="D540">
            <v>21</v>
          </cell>
          <cell r="E540">
            <v>21</v>
          </cell>
        </row>
        <row r="541">
          <cell r="A541" t="str">
            <v>IND</v>
          </cell>
          <cell r="B541" t="str">
            <v>201320</v>
          </cell>
          <cell r="C541">
            <v>38</v>
          </cell>
          <cell r="D541">
            <v>13</v>
          </cell>
          <cell r="E541">
            <v>25</v>
          </cell>
        </row>
        <row r="542">
          <cell r="A542" t="str">
            <v>IND</v>
          </cell>
          <cell r="B542" t="str">
            <v>201410</v>
          </cell>
          <cell r="C542">
            <v>39</v>
          </cell>
          <cell r="D542">
            <v>17</v>
          </cell>
          <cell r="E542">
            <v>22</v>
          </cell>
        </row>
        <row r="543">
          <cell r="A543" t="str">
            <v>IND</v>
          </cell>
          <cell r="B543" t="str">
            <v>201420</v>
          </cell>
          <cell r="C543">
            <v>35</v>
          </cell>
          <cell r="D543">
            <v>13</v>
          </cell>
          <cell r="E543">
            <v>22</v>
          </cell>
        </row>
        <row r="544">
          <cell r="A544" t="str">
            <v>IND</v>
          </cell>
          <cell r="B544" t="str">
            <v>201510</v>
          </cell>
          <cell r="C544">
            <v>99</v>
          </cell>
          <cell r="D544">
            <v>35</v>
          </cell>
          <cell r="E544">
            <v>63</v>
          </cell>
        </row>
        <row r="545">
          <cell r="A545" t="str">
            <v>IND</v>
          </cell>
          <cell r="B545" t="str">
            <v>201520</v>
          </cell>
          <cell r="C545">
            <v>26</v>
          </cell>
          <cell r="D545">
            <v>11</v>
          </cell>
          <cell r="E545">
            <v>15</v>
          </cell>
        </row>
        <row r="546">
          <cell r="A546" t="str">
            <v>IND</v>
          </cell>
          <cell r="B546" t="str">
            <v>201610</v>
          </cell>
          <cell r="C546">
            <v>114</v>
          </cell>
          <cell r="D546">
            <v>34</v>
          </cell>
          <cell r="E546">
            <v>79</v>
          </cell>
        </row>
        <row r="547">
          <cell r="A547" t="str">
            <v>IND</v>
          </cell>
          <cell r="B547" t="str">
            <v>201620</v>
          </cell>
          <cell r="C547">
            <v>30</v>
          </cell>
          <cell r="D547">
            <v>8</v>
          </cell>
          <cell r="E547">
            <v>22</v>
          </cell>
        </row>
        <row r="548">
          <cell r="A548" t="str">
            <v>IND</v>
          </cell>
          <cell r="B548" t="str">
            <v>201710</v>
          </cell>
          <cell r="C548">
            <v>63</v>
          </cell>
          <cell r="D548">
            <v>12</v>
          </cell>
          <cell r="E548">
            <v>51</v>
          </cell>
        </row>
        <row r="549">
          <cell r="A549" t="str">
            <v>IND</v>
          </cell>
          <cell r="B549" t="str">
            <v>201720</v>
          </cell>
          <cell r="C549">
            <v>20</v>
          </cell>
          <cell r="D549">
            <v>7</v>
          </cell>
          <cell r="E549">
            <v>12</v>
          </cell>
        </row>
        <row r="550">
          <cell r="A550" t="str">
            <v>IND</v>
          </cell>
          <cell r="B550" t="str">
            <v>201810</v>
          </cell>
          <cell r="C550">
            <v>32</v>
          </cell>
          <cell r="D550">
            <v>5</v>
          </cell>
          <cell r="E550">
            <v>24</v>
          </cell>
        </row>
        <row r="551">
          <cell r="A551" t="str">
            <v>IND</v>
          </cell>
          <cell r="B551" t="str">
            <v>201820</v>
          </cell>
          <cell r="C551">
            <v>25</v>
          </cell>
          <cell r="D551">
            <v>6</v>
          </cell>
          <cell r="E551">
            <v>14</v>
          </cell>
        </row>
        <row r="552">
          <cell r="A552" t="str">
            <v>IND</v>
          </cell>
          <cell r="B552" t="str">
            <v>201910</v>
          </cell>
          <cell r="C552">
            <v>14</v>
          </cell>
          <cell r="D552">
            <v>4</v>
          </cell>
          <cell r="E552">
            <v>9</v>
          </cell>
        </row>
        <row r="553">
          <cell r="A553" t="str">
            <v>IND</v>
          </cell>
          <cell r="B553" t="str">
            <v>201920</v>
          </cell>
          <cell r="C553">
            <v>8</v>
          </cell>
          <cell r="D553">
            <v>0</v>
          </cell>
          <cell r="E553">
            <v>0</v>
          </cell>
        </row>
        <row r="554">
          <cell r="A554" t="str">
            <v>IND</v>
          </cell>
          <cell r="B554" t="str">
            <v>202010</v>
          </cell>
          <cell r="C554">
            <v>19</v>
          </cell>
          <cell r="D554">
            <v>1</v>
          </cell>
          <cell r="E554">
            <v>1</v>
          </cell>
        </row>
        <row r="555">
          <cell r="A555" t="str">
            <v>IND</v>
          </cell>
          <cell r="B555" t="str">
            <v>202020</v>
          </cell>
          <cell r="C555">
            <v>10</v>
          </cell>
          <cell r="D555">
            <v>3</v>
          </cell>
          <cell r="E555">
            <v>0</v>
          </cell>
        </row>
        <row r="556">
          <cell r="A556" t="str">
            <v>IND</v>
          </cell>
          <cell r="B556" t="str">
            <v>202110</v>
          </cell>
          <cell r="C556">
            <v>8</v>
          </cell>
          <cell r="D556">
            <v>2</v>
          </cell>
          <cell r="E556">
            <v>0</v>
          </cell>
        </row>
        <row r="557">
          <cell r="A557" t="str">
            <v>IND</v>
          </cell>
          <cell r="B557" t="str">
            <v>202120</v>
          </cell>
          <cell r="C557">
            <v>11</v>
          </cell>
          <cell r="D557">
            <v>4</v>
          </cell>
          <cell r="E557">
            <v>0</v>
          </cell>
        </row>
        <row r="558">
          <cell r="A558" t="str">
            <v>IND</v>
          </cell>
          <cell r="B558" t="str">
            <v>202210</v>
          </cell>
          <cell r="C558">
            <v>17</v>
          </cell>
          <cell r="D558">
            <v>1</v>
          </cell>
          <cell r="E558">
            <v>0</v>
          </cell>
        </row>
        <row r="559">
          <cell r="A559" t="str">
            <v>IND</v>
          </cell>
          <cell r="B559" t="str">
            <v>202220</v>
          </cell>
          <cell r="C559">
            <v>14</v>
          </cell>
          <cell r="D559">
            <v>4</v>
          </cell>
          <cell r="E559">
            <v>0</v>
          </cell>
        </row>
        <row r="560">
          <cell r="A560" t="str">
            <v>IND</v>
          </cell>
          <cell r="B560" t="str">
            <v>202310</v>
          </cell>
          <cell r="C560">
            <v>21</v>
          </cell>
          <cell r="D560">
            <v>2</v>
          </cell>
          <cell r="E560">
            <v>0</v>
          </cell>
        </row>
        <row r="561">
          <cell r="A561" t="str">
            <v>IND</v>
          </cell>
          <cell r="B561" t="str">
            <v>202320</v>
          </cell>
          <cell r="C561">
            <v>16</v>
          </cell>
          <cell r="D561">
            <v>0</v>
          </cell>
          <cell r="E561">
            <v>0</v>
          </cell>
        </row>
        <row r="562">
          <cell r="A562" t="str">
            <v>LAT</v>
          </cell>
          <cell r="B562" t="str">
            <v>201520</v>
          </cell>
          <cell r="C562">
            <v>3</v>
          </cell>
          <cell r="D562">
            <v>2</v>
          </cell>
          <cell r="E562">
            <v>1</v>
          </cell>
        </row>
        <row r="563">
          <cell r="A563" t="str">
            <v>LAT</v>
          </cell>
          <cell r="B563" t="str">
            <v>201610</v>
          </cell>
          <cell r="C563">
            <v>2</v>
          </cell>
          <cell r="D563">
            <v>0</v>
          </cell>
          <cell r="E563">
            <v>2</v>
          </cell>
        </row>
        <row r="564">
          <cell r="A564" t="str">
            <v>LAT</v>
          </cell>
          <cell r="B564" t="str">
            <v>201620</v>
          </cell>
          <cell r="C564">
            <v>4</v>
          </cell>
          <cell r="D564">
            <v>3</v>
          </cell>
          <cell r="E564">
            <v>1</v>
          </cell>
        </row>
        <row r="565">
          <cell r="A565" t="str">
            <v>LAT</v>
          </cell>
          <cell r="B565" t="str">
            <v>201710</v>
          </cell>
          <cell r="C565">
            <v>2</v>
          </cell>
          <cell r="D565">
            <v>2</v>
          </cell>
          <cell r="E565">
            <v>0</v>
          </cell>
        </row>
        <row r="566">
          <cell r="A566" t="str">
            <v>LAT</v>
          </cell>
          <cell r="B566" t="str">
            <v>201720</v>
          </cell>
          <cell r="C566">
            <v>1</v>
          </cell>
          <cell r="D566">
            <v>1</v>
          </cell>
          <cell r="E566">
            <v>0</v>
          </cell>
        </row>
        <row r="567">
          <cell r="A567" t="str">
            <v>LAT</v>
          </cell>
          <cell r="B567" t="str">
            <v>201810</v>
          </cell>
          <cell r="C567">
            <v>1</v>
          </cell>
          <cell r="D567">
            <v>1</v>
          </cell>
          <cell r="E567">
            <v>0</v>
          </cell>
        </row>
        <row r="568">
          <cell r="A568" t="str">
            <v>LAT</v>
          </cell>
          <cell r="B568" t="str">
            <v>201820</v>
          </cell>
          <cell r="C568">
            <v>1</v>
          </cell>
          <cell r="D568">
            <v>1</v>
          </cell>
          <cell r="E568">
            <v>0</v>
          </cell>
        </row>
        <row r="569">
          <cell r="A569" t="str">
            <v>LAT</v>
          </cell>
          <cell r="B569" t="str">
            <v>201910</v>
          </cell>
          <cell r="C569">
            <v>2</v>
          </cell>
          <cell r="D569">
            <v>2</v>
          </cell>
          <cell r="E569">
            <v>0</v>
          </cell>
        </row>
        <row r="570">
          <cell r="A570" t="str">
            <v>LAT</v>
          </cell>
          <cell r="B570" t="str">
            <v>202110</v>
          </cell>
          <cell r="C570">
            <v>1</v>
          </cell>
          <cell r="D570">
            <v>0</v>
          </cell>
          <cell r="E570">
            <v>0</v>
          </cell>
        </row>
        <row r="571">
          <cell r="A571" t="str">
            <v>LAT</v>
          </cell>
          <cell r="B571" t="str">
            <v>202120</v>
          </cell>
          <cell r="C571">
            <v>4</v>
          </cell>
          <cell r="D571">
            <v>1</v>
          </cell>
          <cell r="E571">
            <v>0</v>
          </cell>
        </row>
        <row r="572">
          <cell r="A572" t="str">
            <v>LAT</v>
          </cell>
          <cell r="B572" t="str">
            <v>202210</v>
          </cell>
          <cell r="C572">
            <v>2</v>
          </cell>
          <cell r="D572">
            <v>0</v>
          </cell>
          <cell r="E572">
            <v>0</v>
          </cell>
        </row>
        <row r="573">
          <cell r="A573" t="str">
            <v>LAT</v>
          </cell>
          <cell r="B573" t="str">
            <v>202220</v>
          </cell>
          <cell r="C573">
            <v>1</v>
          </cell>
          <cell r="D573">
            <v>1</v>
          </cell>
          <cell r="E573">
            <v>0</v>
          </cell>
        </row>
        <row r="574">
          <cell r="A574" t="str">
            <v>LAT</v>
          </cell>
          <cell r="B574" t="str">
            <v>202310</v>
          </cell>
          <cell r="C574">
            <v>3</v>
          </cell>
          <cell r="D574">
            <v>1</v>
          </cell>
          <cell r="E574">
            <v>0</v>
          </cell>
        </row>
        <row r="575">
          <cell r="A575" t="str">
            <v>LAT</v>
          </cell>
          <cell r="B575" t="str">
            <v>202320</v>
          </cell>
          <cell r="C575">
            <v>1</v>
          </cell>
          <cell r="D575">
            <v>0</v>
          </cell>
          <cell r="E575">
            <v>0</v>
          </cell>
        </row>
        <row r="576">
          <cell r="A576" t="str">
            <v>LBP</v>
          </cell>
          <cell r="B576" t="str">
            <v>201520</v>
          </cell>
          <cell r="C576">
            <v>3</v>
          </cell>
          <cell r="D576">
            <v>0</v>
          </cell>
          <cell r="E576">
            <v>3</v>
          </cell>
        </row>
        <row r="577">
          <cell r="A577" t="str">
            <v>LBP</v>
          </cell>
          <cell r="B577" t="str">
            <v>201610</v>
          </cell>
          <cell r="C577">
            <v>2</v>
          </cell>
          <cell r="D577">
            <v>0</v>
          </cell>
          <cell r="E577">
            <v>2</v>
          </cell>
        </row>
        <row r="578">
          <cell r="A578" t="str">
            <v>LBP</v>
          </cell>
          <cell r="B578" t="str">
            <v>201620</v>
          </cell>
          <cell r="C578">
            <v>2</v>
          </cell>
          <cell r="D578">
            <v>1</v>
          </cell>
          <cell r="E578">
            <v>1</v>
          </cell>
        </row>
        <row r="579">
          <cell r="A579" t="str">
            <v>LBP</v>
          </cell>
          <cell r="B579" t="str">
            <v>201710</v>
          </cell>
          <cell r="C579">
            <v>5</v>
          </cell>
          <cell r="D579">
            <v>1</v>
          </cell>
          <cell r="E579">
            <v>4</v>
          </cell>
        </row>
        <row r="580">
          <cell r="A580" t="str">
            <v>LBP</v>
          </cell>
          <cell r="B580" t="str">
            <v>201720</v>
          </cell>
          <cell r="C580">
            <v>2</v>
          </cell>
          <cell r="D580">
            <v>0</v>
          </cell>
          <cell r="E580">
            <v>2</v>
          </cell>
        </row>
        <row r="581">
          <cell r="A581" t="str">
            <v>LBP</v>
          </cell>
          <cell r="B581" t="str">
            <v>201820</v>
          </cell>
          <cell r="C581">
            <v>1</v>
          </cell>
          <cell r="D581">
            <v>1</v>
          </cell>
          <cell r="E581">
            <v>0</v>
          </cell>
        </row>
        <row r="582">
          <cell r="A582" t="str">
            <v>LBP</v>
          </cell>
          <cell r="B582" t="str">
            <v>201920</v>
          </cell>
          <cell r="C582">
            <v>4</v>
          </cell>
          <cell r="D582">
            <v>0</v>
          </cell>
          <cell r="E582">
            <v>0</v>
          </cell>
        </row>
        <row r="583">
          <cell r="A583" t="str">
            <v>LBP</v>
          </cell>
          <cell r="B583" t="str">
            <v>202010</v>
          </cell>
          <cell r="C583">
            <v>1</v>
          </cell>
          <cell r="D583">
            <v>1</v>
          </cell>
          <cell r="E583">
            <v>0</v>
          </cell>
        </row>
        <row r="584">
          <cell r="A584" t="str">
            <v>LBP</v>
          </cell>
          <cell r="B584" t="str">
            <v>202110</v>
          </cell>
          <cell r="C584">
            <v>2</v>
          </cell>
          <cell r="D584">
            <v>2</v>
          </cell>
          <cell r="E584">
            <v>0</v>
          </cell>
        </row>
        <row r="585">
          <cell r="A585" t="str">
            <v>LBP</v>
          </cell>
          <cell r="B585" t="str">
            <v>202210</v>
          </cell>
          <cell r="C585">
            <v>2</v>
          </cell>
          <cell r="D585">
            <v>1</v>
          </cell>
          <cell r="E585">
            <v>0</v>
          </cell>
        </row>
        <row r="586">
          <cell r="A586" t="str">
            <v>LBP</v>
          </cell>
          <cell r="B586" t="str">
            <v>202220</v>
          </cell>
          <cell r="C586">
            <v>1</v>
          </cell>
          <cell r="D586">
            <v>0</v>
          </cell>
          <cell r="E586">
            <v>0</v>
          </cell>
        </row>
        <row r="587">
          <cell r="A587" t="str">
            <v>LBP</v>
          </cell>
          <cell r="B587" t="str">
            <v>202310</v>
          </cell>
          <cell r="C587">
            <v>1</v>
          </cell>
          <cell r="D587">
            <v>0</v>
          </cell>
          <cell r="E587">
            <v>0</v>
          </cell>
        </row>
        <row r="588">
          <cell r="A588" t="str">
            <v>LBP</v>
          </cell>
          <cell r="B588" t="str">
            <v>202320</v>
          </cell>
          <cell r="C588">
            <v>3</v>
          </cell>
          <cell r="D588">
            <v>0</v>
          </cell>
          <cell r="E588">
            <v>0</v>
          </cell>
        </row>
        <row r="589">
          <cell r="A589" t="str">
            <v>LCN</v>
          </cell>
          <cell r="B589" t="str">
            <v>201610</v>
          </cell>
          <cell r="C589">
            <v>2</v>
          </cell>
          <cell r="D589">
            <v>1</v>
          </cell>
          <cell r="E589">
            <v>1</v>
          </cell>
        </row>
        <row r="590">
          <cell r="A590" t="str">
            <v>LCN</v>
          </cell>
          <cell r="B590" t="str">
            <v>201620</v>
          </cell>
          <cell r="C590">
            <v>2</v>
          </cell>
          <cell r="D590">
            <v>0</v>
          </cell>
          <cell r="E590">
            <v>2</v>
          </cell>
        </row>
        <row r="591">
          <cell r="A591" t="str">
            <v>LCN</v>
          </cell>
          <cell r="B591" t="str">
            <v>201710</v>
          </cell>
          <cell r="C591">
            <v>2</v>
          </cell>
          <cell r="D591">
            <v>0</v>
          </cell>
          <cell r="E591">
            <v>2</v>
          </cell>
        </row>
        <row r="592">
          <cell r="A592" t="str">
            <v>LCN</v>
          </cell>
          <cell r="B592" t="str">
            <v>201720</v>
          </cell>
          <cell r="C592">
            <v>2</v>
          </cell>
          <cell r="D592">
            <v>2</v>
          </cell>
          <cell r="E592">
            <v>0</v>
          </cell>
        </row>
        <row r="593">
          <cell r="A593" t="str">
            <v>LCN</v>
          </cell>
          <cell r="B593" t="str">
            <v>201810</v>
          </cell>
          <cell r="C593">
            <v>2</v>
          </cell>
          <cell r="D593">
            <v>1</v>
          </cell>
          <cell r="E593">
            <v>1</v>
          </cell>
        </row>
        <row r="594">
          <cell r="A594" t="str">
            <v>LCN</v>
          </cell>
          <cell r="B594" t="str">
            <v>201920</v>
          </cell>
          <cell r="C594">
            <v>2</v>
          </cell>
          <cell r="D594">
            <v>0</v>
          </cell>
          <cell r="E594">
            <v>1</v>
          </cell>
        </row>
        <row r="595">
          <cell r="A595" t="str">
            <v>LCN</v>
          </cell>
          <cell r="B595" t="str">
            <v>202010</v>
          </cell>
          <cell r="C595">
            <v>1</v>
          </cell>
          <cell r="D595">
            <v>1</v>
          </cell>
          <cell r="E595">
            <v>0</v>
          </cell>
        </row>
        <row r="596">
          <cell r="A596" t="str">
            <v>LCN</v>
          </cell>
          <cell r="B596" t="str">
            <v>202120</v>
          </cell>
          <cell r="C596">
            <v>2</v>
          </cell>
          <cell r="D596">
            <v>0</v>
          </cell>
          <cell r="E596">
            <v>0</v>
          </cell>
        </row>
        <row r="597">
          <cell r="A597" t="str">
            <v>LCN</v>
          </cell>
          <cell r="B597" t="str">
            <v>202220</v>
          </cell>
          <cell r="C597">
            <v>3</v>
          </cell>
          <cell r="D597">
            <v>1</v>
          </cell>
          <cell r="E597">
            <v>0</v>
          </cell>
        </row>
        <row r="598">
          <cell r="A598" t="str">
            <v>LCS</v>
          </cell>
          <cell r="B598" t="str">
            <v>201610</v>
          </cell>
          <cell r="C598">
            <v>1</v>
          </cell>
          <cell r="D598">
            <v>1</v>
          </cell>
          <cell r="E598">
            <v>0</v>
          </cell>
        </row>
        <row r="599">
          <cell r="A599" t="str">
            <v>LCS</v>
          </cell>
          <cell r="B599" t="str">
            <v>201620</v>
          </cell>
          <cell r="C599">
            <v>1</v>
          </cell>
          <cell r="D599">
            <v>0</v>
          </cell>
          <cell r="E599">
            <v>1</v>
          </cell>
        </row>
        <row r="600">
          <cell r="A600" t="str">
            <v>LCS</v>
          </cell>
          <cell r="B600" t="str">
            <v>201710</v>
          </cell>
          <cell r="C600">
            <v>7</v>
          </cell>
          <cell r="D600">
            <v>2</v>
          </cell>
          <cell r="E600">
            <v>5</v>
          </cell>
        </row>
        <row r="601">
          <cell r="A601" t="str">
            <v>LCS</v>
          </cell>
          <cell r="B601" t="str">
            <v>201720</v>
          </cell>
          <cell r="C601">
            <v>1</v>
          </cell>
          <cell r="D601">
            <v>0</v>
          </cell>
          <cell r="E601">
            <v>0</v>
          </cell>
        </row>
        <row r="602">
          <cell r="A602" t="str">
            <v>LCS</v>
          </cell>
          <cell r="B602" t="str">
            <v>201810</v>
          </cell>
          <cell r="C602">
            <v>3</v>
          </cell>
          <cell r="D602">
            <v>0</v>
          </cell>
          <cell r="E602">
            <v>3</v>
          </cell>
        </row>
        <row r="603">
          <cell r="A603" t="str">
            <v>LCS</v>
          </cell>
          <cell r="B603" t="str">
            <v>201820</v>
          </cell>
          <cell r="C603">
            <v>2</v>
          </cell>
          <cell r="D603">
            <v>1</v>
          </cell>
          <cell r="E603">
            <v>0</v>
          </cell>
        </row>
        <row r="604">
          <cell r="A604" t="str">
            <v>LCS</v>
          </cell>
          <cell r="B604" t="str">
            <v>202010</v>
          </cell>
          <cell r="C604">
            <v>9</v>
          </cell>
          <cell r="D604">
            <v>0</v>
          </cell>
          <cell r="E604">
            <v>1</v>
          </cell>
        </row>
        <row r="605">
          <cell r="A605" t="str">
            <v>LCS</v>
          </cell>
          <cell r="B605" t="str">
            <v>202020</v>
          </cell>
          <cell r="C605">
            <v>1</v>
          </cell>
          <cell r="D605">
            <v>0</v>
          </cell>
          <cell r="E605">
            <v>0</v>
          </cell>
        </row>
        <row r="606">
          <cell r="A606" t="str">
            <v>LCS</v>
          </cell>
          <cell r="B606" t="str">
            <v>202110</v>
          </cell>
          <cell r="C606">
            <v>1</v>
          </cell>
          <cell r="D606">
            <v>0</v>
          </cell>
          <cell r="E606">
            <v>0</v>
          </cell>
        </row>
        <row r="607">
          <cell r="A607" t="str">
            <v>LCS</v>
          </cell>
          <cell r="B607" t="str">
            <v>202120</v>
          </cell>
          <cell r="C607">
            <v>1</v>
          </cell>
          <cell r="D607">
            <v>0</v>
          </cell>
          <cell r="E607">
            <v>0</v>
          </cell>
        </row>
        <row r="608">
          <cell r="A608" t="str">
            <v>LCS</v>
          </cell>
          <cell r="B608" t="str">
            <v>202210</v>
          </cell>
          <cell r="C608">
            <v>3</v>
          </cell>
          <cell r="D608">
            <v>0</v>
          </cell>
          <cell r="E608">
            <v>0</v>
          </cell>
        </row>
        <row r="609">
          <cell r="A609" t="str">
            <v>LCS</v>
          </cell>
          <cell r="B609" t="str">
            <v>202220</v>
          </cell>
          <cell r="C609">
            <v>2</v>
          </cell>
          <cell r="D609">
            <v>0</v>
          </cell>
          <cell r="E609">
            <v>0</v>
          </cell>
        </row>
        <row r="610">
          <cell r="A610" t="str">
            <v>LCS</v>
          </cell>
          <cell r="B610" t="str">
            <v>202310</v>
          </cell>
          <cell r="C610">
            <v>4</v>
          </cell>
          <cell r="D610">
            <v>0</v>
          </cell>
          <cell r="E610">
            <v>0</v>
          </cell>
        </row>
        <row r="611">
          <cell r="A611" t="str">
            <v>LCS</v>
          </cell>
          <cell r="B611" t="str">
            <v>202320</v>
          </cell>
          <cell r="C611">
            <v>2</v>
          </cell>
          <cell r="D611">
            <v>0</v>
          </cell>
          <cell r="E611">
            <v>0</v>
          </cell>
        </row>
        <row r="612">
          <cell r="A612" t="str">
            <v>LEI</v>
          </cell>
          <cell r="B612" t="str">
            <v>201520</v>
          </cell>
          <cell r="C612">
            <v>3</v>
          </cell>
          <cell r="D612">
            <v>0</v>
          </cell>
          <cell r="E612">
            <v>3</v>
          </cell>
        </row>
        <row r="613">
          <cell r="A613" t="str">
            <v>LEI</v>
          </cell>
          <cell r="B613" t="str">
            <v>201610</v>
          </cell>
          <cell r="C613">
            <v>16</v>
          </cell>
          <cell r="D613">
            <v>2</v>
          </cell>
          <cell r="E613">
            <v>14</v>
          </cell>
        </row>
        <row r="614">
          <cell r="A614" t="str">
            <v>LEI</v>
          </cell>
          <cell r="B614" t="str">
            <v>201620</v>
          </cell>
          <cell r="C614">
            <v>2</v>
          </cell>
          <cell r="D614">
            <v>0</v>
          </cell>
          <cell r="E614">
            <v>2</v>
          </cell>
        </row>
        <row r="615">
          <cell r="A615" t="str">
            <v>LEI</v>
          </cell>
          <cell r="B615" t="str">
            <v>201710</v>
          </cell>
          <cell r="C615">
            <v>12</v>
          </cell>
          <cell r="D615">
            <v>6</v>
          </cell>
          <cell r="E615">
            <v>6</v>
          </cell>
        </row>
        <row r="616">
          <cell r="A616" t="str">
            <v>LEI</v>
          </cell>
          <cell r="B616" t="str">
            <v>201720</v>
          </cell>
          <cell r="C616">
            <v>6</v>
          </cell>
          <cell r="D616">
            <v>4</v>
          </cell>
          <cell r="E616">
            <v>2</v>
          </cell>
        </row>
        <row r="617">
          <cell r="A617" t="str">
            <v>LEI</v>
          </cell>
          <cell r="B617" t="str">
            <v>201810</v>
          </cell>
          <cell r="C617">
            <v>15</v>
          </cell>
          <cell r="D617">
            <v>2</v>
          </cell>
          <cell r="E617">
            <v>9</v>
          </cell>
        </row>
        <row r="618">
          <cell r="A618" t="str">
            <v>LEI</v>
          </cell>
          <cell r="B618" t="str">
            <v>201820</v>
          </cell>
          <cell r="C618">
            <v>11</v>
          </cell>
          <cell r="D618">
            <v>4</v>
          </cell>
          <cell r="E618">
            <v>3</v>
          </cell>
        </row>
        <row r="619">
          <cell r="A619" t="str">
            <v>LEI</v>
          </cell>
          <cell r="B619" t="str">
            <v>201910</v>
          </cell>
          <cell r="C619">
            <v>14</v>
          </cell>
          <cell r="D619">
            <v>4</v>
          </cell>
          <cell r="E619">
            <v>2</v>
          </cell>
        </row>
        <row r="620">
          <cell r="A620" t="str">
            <v>LEI</v>
          </cell>
          <cell r="B620" t="str">
            <v>201920</v>
          </cell>
          <cell r="C620">
            <v>4</v>
          </cell>
          <cell r="D620">
            <v>1</v>
          </cell>
          <cell r="E620">
            <v>0</v>
          </cell>
        </row>
        <row r="621">
          <cell r="A621" t="str">
            <v>LEI</v>
          </cell>
          <cell r="B621" t="str">
            <v>202010</v>
          </cell>
          <cell r="C621">
            <v>17</v>
          </cell>
          <cell r="D621">
            <v>7</v>
          </cell>
          <cell r="E621">
            <v>0</v>
          </cell>
        </row>
        <row r="622">
          <cell r="A622" t="str">
            <v>LEI</v>
          </cell>
          <cell r="B622" t="str">
            <v>202020</v>
          </cell>
          <cell r="C622">
            <v>4</v>
          </cell>
          <cell r="D622">
            <v>1</v>
          </cell>
          <cell r="E622">
            <v>0</v>
          </cell>
        </row>
        <row r="623">
          <cell r="A623" t="str">
            <v>LEI</v>
          </cell>
          <cell r="B623" t="str">
            <v>202110</v>
          </cell>
          <cell r="C623">
            <v>12</v>
          </cell>
          <cell r="D623">
            <v>1</v>
          </cell>
          <cell r="E623">
            <v>0</v>
          </cell>
        </row>
        <row r="624">
          <cell r="A624" t="str">
            <v>LEI</v>
          </cell>
          <cell r="B624" t="str">
            <v>202120</v>
          </cell>
          <cell r="C624">
            <v>7</v>
          </cell>
          <cell r="D624">
            <v>0</v>
          </cell>
          <cell r="E624">
            <v>0</v>
          </cell>
        </row>
        <row r="625">
          <cell r="A625" t="str">
            <v>LEI</v>
          </cell>
          <cell r="B625" t="str">
            <v>202210</v>
          </cell>
          <cell r="C625">
            <v>20</v>
          </cell>
          <cell r="D625">
            <v>3</v>
          </cell>
          <cell r="E625">
            <v>0</v>
          </cell>
        </row>
        <row r="626">
          <cell r="A626" t="str">
            <v>LEI</v>
          </cell>
          <cell r="B626" t="str">
            <v>202220</v>
          </cell>
          <cell r="C626">
            <v>16</v>
          </cell>
          <cell r="D626">
            <v>3</v>
          </cell>
          <cell r="E626">
            <v>0</v>
          </cell>
        </row>
        <row r="627">
          <cell r="A627" t="str">
            <v>LEI</v>
          </cell>
          <cell r="B627" t="str">
            <v>202310</v>
          </cell>
          <cell r="C627">
            <v>14</v>
          </cell>
          <cell r="D627">
            <v>1</v>
          </cell>
          <cell r="E627">
            <v>0</v>
          </cell>
        </row>
        <row r="628">
          <cell r="A628" t="str">
            <v>LEI</v>
          </cell>
          <cell r="B628" t="str">
            <v>202320</v>
          </cell>
          <cell r="C628">
            <v>13</v>
          </cell>
          <cell r="D628">
            <v>0</v>
          </cell>
          <cell r="E628">
            <v>0</v>
          </cell>
        </row>
        <row r="629">
          <cell r="A629" t="str">
            <v>LYL</v>
          </cell>
          <cell r="B629" t="str">
            <v>201610</v>
          </cell>
          <cell r="C629">
            <v>4</v>
          </cell>
          <cell r="D629">
            <v>0</v>
          </cell>
          <cell r="E629">
            <v>4</v>
          </cell>
        </row>
        <row r="630">
          <cell r="A630" t="str">
            <v>LYL</v>
          </cell>
          <cell r="B630" t="str">
            <v>201620</v>
          </cell>
          <cell r="C630">
            <v>5</v>
          </cell>
          <cell r="D630">
            <v>4</v>
          </cell>
          <cell r="E630">
            <v>1</v>
          </cell>
        </row>
        <row r="631">
          <cell r="A631" t="str">
            <v>LYL</v>
          </cell>
          <cell r="B631" t="str">
            <v>201710</v>
          </cell>
          <cell r="C631">
            <v>4</v>
          </cell>
          <cell r="D631">
            <v>2</v>
          </cell>
          <cell r="E631">
            <v>2</v>
          </cell>
        </row>
        <row r="632">
          <cell r="A632" t="str">
            <v>LYL</v>
          </cell>
          <cell r="B632" t="str">
            <v>201720</v>
          </cell>
          <cell r="C632">
            <v>1</v>
          </cell>
          <cell r="D632">
            <v>0</v>
          </cell>
          <cell r="E632">
            <v>1</v>
          </cell>
        </row>
        <row r="633">
          <cell r="A633" t="str">
            <v>LYL</v>
          </cell>
          <cell r="B633" t="str">
            <v>201810</v>
          </cell>
          <cell r="C633">
            <v>2</v>
          </cell>
          <cell r="D633">
            <v>0</v>
          </cell>
          <cell r="E633">
            <v>1</v>
          </cell>
        </row>
        <row r="634">
          <cell r="A634" t="str">
            <v>LYL</v>
          </cell>
          <cell r="B634" t="str">
            <v>201910</v>
          </cell>
          <cell r="C634">
            <v>1</v>
          </cell>
          <cell r="D634">
            <v>0</v>
          </cell>
          <cell r="E634">
            <v>0</v>
          </cell>
        </row>
        <row r="635">
          <cell r="A635" t="str">
            <v>LYL</v>
          </cell>
          <cell r="B635" t="str">
            <v>201920</v>
          </cell>
          <cell r="C635">
            <v>1</v>
          </cell>
          <cell r="D635">
            <v>0</v>
          </cell>
          <cell r="E635">
            <v>0</v>
          </cell>
        </row>
        <row r="636">
          <cell r="A636" t="str">
            <v>LYL</v>
          </cell>
          <cell r="B636" t="str">
            <v>202010</v>
          </cell>
          <cell r="C636">
            <v>3</v>
          </cell>
          <cell r="D636">
            <v>1</v>
          </cell>
          <cell r="E636">
            <v>0</v>
          </cell>
        </row>
        <row r="637">
          <cell r="A637" t="str">
            <v>LYL</v>
          </cell>
          <cell r="B637" t="str">
            <v>202020</v>
          </cell>
          <cell r="C637">
            <v>2</v>
          </cell>
          <cell r="D637">
            <v>0</v>
          </cell>
          <cell r="E637">
            <v>0</v>
          </cell>
        </row>
        <row r="638">
          <cell r="A638" t="str">
            <v>LYL</v>
          </cell>
          <cell r="B638" t="str">
            <v>202110</v>
          </cell>
          <cell r="C638">
            <v>2</v>
          </cell>
          <cell r="D638">
            <v>0</v>
          </cell>
          <cell r="E638">
            <v>0</v>
          </cell>
        </row>
        <row r="639">
          <cell r="A639" t="str">
            <v>LYL</v>
          </cell>
          <cell r="B639" t="str">
            <v>202120</v>
          </cell>
          <cell r="C639">
            <v>1</v>
          </cell>
          <cell r="D639">
            <v>0</v>
          </cell>
          <cell r="E639">
            <v>0</v>
          </cell>
        </row>
        <row r="640">
          <cell r="A640" t="str">
            <v>LYL</v>
          </cell>
          <cell r="B640" t="str">
            <v>202210</v>
          </cell>
          <cell r="C640">
            <v>9</v>
          </cell>
          <cell r="D640">
            <v>4</v>
          </cell>
          <cell r="E640">
            <v>0</v>
          </cell>
        </row>
        <row r="641">
          <cell r="A641" t="str">
            <v>LYL</v>
          </cell>
          <cell r="B641" t="str">
            <v>202220</v>
          </cell>
          <cell r="C641">
            <v>4</v>
          </cell>
          <cell r="D641">
            <v>0</v>
          </cell>
          <cell r="E641">
            <v>0</v>
          </cell>
        </row>
        <row r="642">
          <cell r="A642" t="str">
            <v>LYL</v>
          </cell>
          <cell r="B642" t="str">
            <v>202310</v>
          </cell>
          <cell r="C642">
            <v>4</v>
          </cell>
          <cell r="D642">
            <v>0</v>
          </cell>
          <cell r="E642">
            <v>0</v>
          </cell>
        </row>
        <row r="643">
          <cell r="A643" t="str">
            <v>LYL</v>
          </cell>
          <cell r="B643" t="str">
            <v>202320</v>
          </cell>
          <cell r="C643">
            <v>1</v>
          </cell>
          <cell r="D643">
            <v>0</v>
          </cell>
          <cell r="E643">
            <v>0</v>
          </cell>
        </row>
        <row r="644">
          <cell r="A644" t="str">
            <v>MED</v>
          </cell>
          <cell r="B644" t="str">
            <v>200920</v>
          </cell>
          <cell r="C644">
            <v>11</v>
          </cell>
          <cell r="D644">
            <v>5</v>
          </cell>
          <cell r="E644">
            <v>6</v>
          </cell>
        </row>
        <row r="645">
          <cell r="A645" t="str">
            <v>MED</v>
          </cell>
          <cell r="B645" t="str">
            <v>201010</v>
          </cell>
          <cell r="C645">
            <v>14</v>
          </cell>
          <cell r="D645">
            <v>4</v>
          </cell>
          <cell r="E645">
            <v>10</v>
          </cell>
        </row>
        <row r="646">
          <cell r="A646" t="str">
            <v>MED</v>
          </cell>
          <cell r="B646" t="str">
            <v>201020</v>
          </cell>
          <cell r="C646">
            <v>17</v>
          </cell>
          <cell r="D646">
            <v>5</v>
          </cell>
          <cell r="E646">
            <v>12</v>
          </cell>
        </row>
        <row r="647">
          <cell r="A647" t="str">
            <v>MED</v>
          </cell>
          <cell r="B647" t="str">
            <v>201110</v>
          </cell>
          <cell r="C647">
            <v>17</v>
          </cell>
          <cell r="D647">
            <v>7</v>
          </cell>
          <cell r="E647">
            <v>10</v>
          </cell>
        </row>
        <row r="648">
          <cell r="A648" t="str">
            <v>MED</v>
          </cell>
          <cell r="B648" t="str">
            <v>201120</v>
          </cell>
          <cell r="C648">
            <v>19</v>
          </cell>
          <cell r="D648">
            <v>5</v>
          </cell>
          <cell r="E648">
            <v>14</v>
          </cell>
        </row>
        <row r="649">
          <cell r="A649" t="str">
            <v>MED</v>
          </cell>
          <cell r="B649" t="str">
            <v>201210</v>
          </cell>
          <cell r="C649">
            <v>28</v>
          </cell>
          <cell r="D649">
            <v>12</v>
          </cell>
          <cell r="E649">
            <v>16</v>
          </cell>
        </row>
        <row r="650">
          <cell r="A650" t="str">
            <v>MED</v>
          </cell>
          <cell r="B650" t="str">
            <v>201220</v>
          </cell>
          <cell r="C650">
            <v>17</v>
          </cell>
          <cell r="D650">
            <v>6</v>
          </cell>
          <cell r="E650">
            <v>11</v>
          </cell>
        </row>
        <row r="651">
          <cell r="A651" t="str">
            <v>MED</v>
          </cell>
          <cell r="B651" t="str">
            <v>201310</v>
          </cell>
          <cell r="C651">
            <v>32</v>
          </cell>
          <cell r="D651">
            <v>13</v>
          </cell>
          <cell r="E651">
            <v>19</v>
          </cell>
        </row>
        <row r="652">
          <cell r="A652" t="str">
            <v>MED</v>
          </cell>
          <cell r="B652" t="str">
            <v>201320</v>
          </cell>
          <cell r="C652">
            <v>18</v>
          </cell>
          <cell r="D652">
            <v>6</v>
          </cell>
          <cell r="E652">
            <v>12</v>
          </cell>
        </row>
        <row r="653">
          <cell r="A653" t="str">
            <v>MED</v>
          </cell>
          <cell r="B653" t="str">
            <v>201410</v>
          </cell>
          <cell r="C653">
            <v>36</v>
          </cell>
          <cell r="D653">
            <v>6</v>
          </cell>
          <cell r="E653">
            <v>30</v>
          </cell>
        </row>
        <row r="654">
          <cell r="A654" t="str">
            <v>MED</v>
          </cell>
          <cell r="B654" t="str">
            <v>201420</v>
          </cell>
          <cell r="C654">
            <v>27</v>
          </cell>
          <cell r="D654">
            <v>8</v>
          </cell>
          <cell r="E654">
            <v>18</v>
          </cell>
        </row>
        <row r="655">
          <cell r="A655" t="str">
            <v>MED</v>
          </cell>
          <cell r="B655" t="str">
            <v>201510</v>
          </cell>
          <cell r="C655">
            <v>53</v>
          </cell>
          <cell r="D655">
            <v>15</v>
          </cell>
          <cell r="E655">
            <v>38</v>
          </cell>
        </row>
        <row r="656">
          <cell r="A656" t="str">
            <v>MED</v>
          </cell>
          <cell r="B656" t="str">
            <v>201520</v>
          </cell>
          <cell r="C656">
            <v>20</v>
          </cell>
          <cell r="D656">
            <v>7</v>
          </cell>
          <cell r="E656">
            <v>12</v>
          </cell>
        </row>
        <row r="657">
          <cell r="A657" t="str">
            <v>MED</v>
          </cell>
          <cell r="B657" t="str">
            <v>201610</v>
          </cell>
          <cell r="C657">
            <v>63</v>
          </cell>
          <cell r="D657">
            <v>12</v>
          </cell>
          <cell r="E657">
            <v>51</v>
          </cell>
        </row>
        <row r="658">
          <cell r="A658" t="str">
            <v>MED</v>
          </cell>
          <cell r="B658" t="str">
            <v>201620</v>
          </cell>
          <cell r="C658">
            <v>23</v>
          </cell>
          <cell r="D658">
            <v>3</v>
          </cell>
          <cell r="E658">
            <v>20</v>
          </cell>
        </row>
        <row r="659">
          <cell r="A659" t="str">
            <v>MED</v>
          </cell>
          <cell r="B659" t="str">
            <v>201710</v>
          </cell>
          <cell r="C659">
            <v>47</v>
          </cell>
          <cell r="D659">
            <v>8</v>
          </cell>
          <cell r="E659">
            <v>37</v>
          </cell>
        </row>
        <row r="660">
          <cell r="A660" t="str">
            <v>MED</v>
          </cell>
          <cell r="B660" t="str">
            <v>201720</v>
          </cell>
          <cell r="C660">
            <v>17</v>
          </cell>
          <cell r="D660">
            <v>5</v>
          </cell>
          <cell r="E660">
            <v>11</v>
          </cell>
        </row>
        <row r="661">
          <cell r="A661" t="str">
            <v>MED</v>
          </cell>
          <cell r="B661" t="str">
            <v>201810</v>
          </cell>
          <cell r="C661">
            <v>45</v>
          </cell>
          <cell r="D661">
            <v>7</v>
          </cell>
          <cell r="E661">
            <v>24</v>
          </cell>
        </row>
        <row r="662">
          <cell r="A662" t="str">
            <v>MED</v>
          </cell>
          <cell r="B662" t="str">
            <v>201820</v>
          </cell>
          <cell r="C662">
            <v>10</v>
          </cell>
          <cell r="D662">
            <v>2</v>
          </cell>
          <cell r="E662">
            <v>0</v>
          </cell>
        </row>
        <row r="663">
          <cell r="A663" t="str">
            <v>MED</v>
          </cell>
          <cell r="B663" t="str">
            <v>201910</v>
          </cell>
          <cell r="C663">
            <v>52</v>
          </cell>
          <cell r="D663">
            <v>6</v>
          </cell>
          <cell r="E663">
            <v>0</v>
          </cell>
        </row>
        <row r="664">
          <cell r="A664" t="str">
            <v>MED</v>
          </cell>
          <cell r="B664" t="str">
            <v>201920</v>
          </cell>
          <cell r="C664">
            <v>20</v>
          </cell>
          <cell r="D664">
            <v>3</v>
          </cell>
          <cell r="E664">
            <v>0</v>
          </cell>
        </row>
        <row r="665">
          <cell r="A665" t="str">
            <v>MED</v>
          </cell>
          <cell r="B665" t="str">
            <v>202010</v>
          </cell>
          <cell r="C665">
            <v>65</v>
          </cell>
          <cell r="D665">
            <v>4</v>
          </cell>
          <cell r="E665">
            <v>0</v>
          </cell>
        </row>
        <row r="666">
          <cell r="A666" t="str">
            <v>MED</v>
          </cell>
          <cell r="B666" t="str">
            <v>202020</v>
          </cell>
          <cell r="C666">
            <v>16</v>
          </cell>
          <cell r="D666">
            <v>1</v>
          </cell>
          <cell r="E666">
            <v>0</v>
          </cell>
        </row>
        <row r="667">
          <cell r="A667" t="str">
            <v>MED</v>
          </cell>
          <cell r="B667" t="str">
            <v>202110</v>
          </cell>
          <cell r="C667">
            <v>31</v>
          </cell>
          <cell r="D667">
            <v>4</v>
          </cell>
          <cell r="E667">
            <v>1</v>
          </cell>
        </row>
        <row r="668">
          <cell r="A668" t="str">
            <v>MED</v>
          </cell>
          <cell r="B668" t="str">
            <v>202120</v>
          </cell>
          <cell r="C668">
            <v>43</v>
          </cell>
          <cell r="D668">
            <v>4</v>
          </cell>
          <cell r="E668">
            <v>0</v>
          </cell>
        </row>
        <row r="669">
          <cell r="A669" t="str">
            <v>MED</v>
          </cell>
          <cell r="B669" t="str">
            <v>202210</v>
          </cell>
          <cell r="C669">
            <v>55</v>
          </cell>
          <cell r="D669">
            <v>1</v>
          </cell>
          <cell r="E669">
            <v>0</v>
          </cell>
        </row>
        <row r="670">
          <cell r="A670" t="str">
            <v>MED</v>
          </cell>
          <cell r="B670" t="str">
            <v>202220</v>
          </cell>
          <cell r="C670">
            <v>28</v>
          </cell>
          <cell r="D670">
            <v>3</v>
          </cell>
          <cell r="E670">
            <v>0</v>
          </cell>
        </row>
        <row r="671">
          <cell r="A671" t="str">
            <v>MED</v>
          </cell>
          <cell r="B671" t="str">
            <v>202310</v>
          </cell>
          <cell r="C671">
            <v>51</v>
          </cell>
          <cell r="D671">
            <v>5</v>
          </cell>
          <cell r="E671">
            <v>0</v>
          </cell>
        </row>
        <row r="672">
          <cell r="A672" t="str">
            <v>MED</v>
          </cell>
          <cell r="B672" t="str">
            <v>202320</v>
          </cell>
          <cell r="C672">
            <v>30</v>
          </cell>
          <cell r="D672">
            <v>0</v>
          </cell>
          <cell r="E672">
            <v>0</v>
          </cell>
        </row>
        <row r="673">
          <cell r="A673" t="str">
            <v>MIP</v>
          </cell>
          <cell r="B673" t="str">
            <v>200520</v>
          </cell>
          <cell r="C673">
            <v>20</v>
          </cell>
          <cell r="D673">
            <v>12</v>
          </cell>
          <cell r="E673">
            <v>8</v>
          </cell>
        </row>
        <row r="674">
          <cell r="A674" t="str">
            <v>MIP</v>
          </cell>
          <cell r="B674" t="str">
            <v>200610</v>
          </cell>
          <cell r="C674">
            <v>11</v>
          </cell>
          <cell r="D674">
            <v>7</v>
          </cell>
          <cell r="E674">
            <v>4</v>
          </cell>
        </row>
        <row r="675">
          <cell r="A675" t="str">
            <v>MIP</v>
          </cell>
          <cell r="B675" t="str">
            <v>200620</v>
          </cell>
          <cell r="C675">
            <v>34</v>
          </cell>
          <cell r="D675">
            <v>14</v>
          </cell>
          <cell r="E675">
            <v>20</v>
          </cell>
        </row>
        <row r="676">
          <cell r="A676" t="str">
            <v>MIP</v>
          </cell>
          <cell r="B676" t="str">
            <v>200710</v>
          </cell>
          <cell r="C676">
            <v>19</v>
          </cell>
          <cell r="D676">
            <v>5</v>
          </cell>
          <cell r="E676">
            <v>14</v>
          </cell>
        </row>
        <row r="677">
          <cell r="A677" t="str">
            <v>MIP</v>
          </cell>
          <cell r="B677" t="str">
            <v>200720</v>
          </cell>
          <cell r="C677">
            <v>23</v>
          </cell>
          <cell r="D677">
            <v>10</v>
          </cell>
          <cell r="E677">
            <v>13</v>
          </cell>
        </row>
        <row r="678">
          <cell r="A678" t="str">
            <v>MIP</v>
          </cell>
          <cell r="B678" t="str">
            <v>200810</v>
          </cell>
          <cell r="C678">
            <v>24</v>
          </cell>
          <cell r="D678">
            <v>11</v>
          </cell>
          <cell r="E678">
            <v>13</v>
          </cell>
        </row>
        <row r="679">
          <cell r="A679" t="str">
            <v>MIP</v>
          </cell>
          <cell r="B679" t="str">
            <v>200820</v>
          </cell>
          <cell r="C679">
            <v>35</v>
          </cell>
          <cell r="D679">
            <v>12</v>
          </cell>
          <cell r="E679">
            <v>23</v>
          </cell>
        </row>
        <row r="680">
          <cell r="A680" t="str">
            <v>MIP</v>
          </cell>
          <cell r="B680" t="str">
            <v>200910</v>
          </cell>
          <cell r="C680">
            <v>19</v>
          </cell>
          <cell r="D680">
            <v>8</v>
          </cell>
          <cell r="E680">
            <v>10</v>
          </cell>
        </row>
        <row r="681">
          <cell r="A681" t="str">
            <v>MIP</v>
          </cell>
          <cell r="B681" t="str">
            <v>200920</v>
          </cell>
          <cell r="C681">
            <v>29</v>
          </cell>
          <cell r="D681">
            <v>8</v>
          </cell>
          <cell r="E681">
            <v>21</v>
          </cell>
        </row>
        <row r="682">
          <cell r="A682" t="str">
            <v>MIP</v>
          </cell>
          <cell r="B682" t="str">
            <v>201010</v>
          </cell>
          <cell r="C682">
            <v>16</v>
          </cell>
          <cell r="D682">
            <v>7</v>
          </cell>
          <cell r="E682">
            <v>9</v>
          </cell>
        </row>
        <row r="683">
          <cell r="A683" t="str">
            <v>MIP</v>
          </cell>
          <cell r="B683" t="str">
            <v>201020</v>
          </cell>
          <cell r="C683">
            <v>29</v>
          </cell>
          <cell r="D683">
            <v>13</v>
          </cell>
          <cell r="E683">
            <v>16</v>
          </cell>
        </row>
        <row r="684">
          <cell r="A684" t="str">
            <v>MIP</v>
          </cell>
          <cell r="B684" t="str">
            <v>201110</v>
          </cell>
          <cell r="C684">
            <v>24</v>
          </cell>
          <cell r="D684">
            <v>9</v>
          </cell>
          <cell r="E684">
            <v>15</v>
          </cell>
        </row>
        <row r="685">
          <cell r="A685" t="str">
            <v>MIP</v>
          </cell>
          <cell r="B685" t="str">
            <v>201120</v>
          </cell>
          <cell r="C685">
            <v>36</v>
          </cell>
          <cell r="D685">
            <v>11</v>
          </cell>
          <cell r="E685">
            <v>25</v>
          </cell>
        </row>
        <row r="686">
          <cell r="A686" t="str">
            <v>MIP</v>
          </cell>
          <cell r="B686" t="str">
            <v>201210</v>
          </cell>
          <cell r="C686">
            <v>25</v>
          </cell>
          <cell r="D686">
            <v>10</v>
          </cell>
          <cell r="E686">
            <v>15</v>
          </cell>
        </row>
        <row r="687">
          <cell r="A687" t="str">
            <v>MIP</v>
          </cell>
          <cell r="B687" t="str">
            <v>201220</v>
          </cell>
          <cell r="C687">
            <v>29</v>
          </cell>
          <cell r="D687">
            <v>10</v>
          </cell>
          <cell r="E687">
            <v>19</v>
          </cell>
        </row>
        <row r="688">
          <cell r="A688" t="str">
            <v>MIP</v>
          </cell>
          <cell r="B688" t="str">
            <v>201310</v>
          </cell>
          <cell r="C688">
            <v>28</v>
          </cell>
          <cell r="D688">
            <v>10</v>
          </cell>
          <cell r="E688">
            <v>18</v>
          </cell>
        </row>
        <row r="689">
          <cell r="A689" t="str">
            <v>MIP</v>
          </cell>
          <cell r="B689" t="str">
            <v>201320</v>
          </cell>
          <cell r="C689">
            <v>32</v>
          </cell>
          <cell r="D689">
            <v>11</v>
          </cell>
          <cell r="E689">
            <v>21</v>
          </cell>
        </row>
        <row r="690">
          <cell r="A690" t="str">
            <v>MIP</v>
          </cell>
          <cell r="B690" t="str">
            <v>201410</v>
          </cell>
          <cell r="C690">
            <v>23</v>
          </cell>
          <cell r="D690">
            <v>7</v>
          </cell>
          <cell r="E690">
            <v>16</v>
          </cell>
        </row>
        <row r="691">
          <cell r="A691" t="str">
            <v>MIP</v>
          </cell>
          <cell r="B691" t="str">
            <v>201420</v>
          </cell>
          <cell r="C691">
            <v>35</v>
          </cell>
          <cell r="D691">
            <v>14</v>
          </cell>
          <cell r="E691">
            <v>21</v>
          </cell>
        </row>
        <row r="692">
          <cell r="A692" t="str">
            <v>MIP</v>
          </cell>
          <cell r="B692" t="str">
            <v>201510</v>
          </cell>
          <cell r="C692">
            <v>29</v>
          </cell>
          <cell r="D692">
            <v>11</v>
          </cell>
          <cell r="E692">
            <v>18</v>
          </cell>
        </row>
        <row r="693">
          <cell r="A693" t="str">
            <v>MIP</v>
          </cell>
          <cell r="B693" t="str">
            <v>201520</v>
          </cell>
          <cell r="C693">
            <v>34</v>
          </cell>
          <cell r="D693">
            <v>12</v>
          </cell>
          <cell r="E693">
            <v>22</v>
          </cell>
        </row>
        <row r="694">
          <cell r="A694" t="str">
            <v>MIP</v>
          </cell>
          <cell r="B694" t="str">
            <v>201610</v>
          </cell>
          <cell r="C694">
            <v>38</v>
          </cell>
          <cell r="D694">
            <v>12</v>
          </cell>
          <cell r="E694">
            <v>26</v>
          </cell>
        </row>
        <row r="695">
          <cell r="A695" t="str">
            <v>MIP</v>
          </cell>
          <cell r="B695" t="str">
            <v>201620</v>
          </cell>
          <cell r="C695">
            <v>22</v>
          </cell>
          <cell r="D695">
            <v>4</v>
          </cell>
          <cell r="E695">
            <v>17</v>
          </cell>
        </row>
        <row r="696">
          <cell r="A696" t="str">
            <v>MIP</v>
          </cell>
          <cell r="B696" t="str">
            <v>201710</v>
          </cell>
          <cell r="C696">
            <v>22</v>
          </cell>
          <cell r="D696">
            <v>4</v>
          </cell>
          <cell r="E696">
            <v>16</v>
          </cell>
        </row>
        <row r="697">
          <cell r="A697" t="str">
            <v>MIP</v>
          </cell>
          <cell r="B697" t="str">
            <v>201720</v>
          </cell>
          <cell r="C697">
            <v>24</v>
          </cell>
          <cell r="D697">
            <v>5</v>
          </cell>
          <cell r="E697">
            <v>15</v>
          </cell>
        </row>
        <row r="698">
          <cell r="A698" t="str">
            <v>MIP</v>
          </cell>
          <cell r="B698" t="str">
            <v>201810</v>
          </cell>
          <cell r="C698">
            <v>20</v>
          </cell>
          <cell r="D698">
            <v>5</v>
          </cell>
          <cell r="E698">
            <v>14</v>
          </cell>
        </row>
        <row r="699">
          <cell r="A699" t="str">
            <v>MIP</v>
          </cell>
          <cell r="B699" t="str">
            <v>201820</v>
          </cell>
          <cell r="C699">
            <v>19</v>
          </cell>
          <cell r="D699">
            <v>5</v>
          </cell>
          <cell r="E699">
            <v>13</v>
          </cell>
        </row>
        <row r="700">
          <cell r="A700" t="str">
            <v>MIP</v>
          </cell>
          <cell r="B700" t="str">
            <v>201910</v>
          </cell>
          <cell r="C700">
            <v>18</v>
          </cell>
          <cell r="D700">
            <v>6</v>
          </cell>
          <cell r="E700">
            <v>3</v>
          </cell>
        </row>
        <row r="701">
          <cell r="A701" t="str">
            <v>MIP</v>
          </cell>
          <cell r="B701" t="str">
            <v>201920</v>
          </cell>
          <cell r="C701">
            <v>24</v>
          </cell>
          <cell r="D701">
            <v>7</v>
          </cell>
          <cell r="E701">
            <v>2</v>
          </cell>
        </row>
        <row r="702">
          <cell r="A702" t="str">
            <v>MIP</v>
          </cell>
          <cell r="B702" t="str">
            <v>202010</v>
          </cell>
          <cell r="C702">
            <v>19</v>
          </cell>
          <cell r="D702">
            <v>4</v>
          </cell>
          <cell r="E702">
            <v>3</v>
          </cell>
        </row>
        <row r="703">
          <cell r="A703" t="str">
            <v>MIP</v>
          </cell>
          <cell r="B703" t="str">
            <v>202020</v>
          </cell>
          <cell r="C703">
            <v>15</v>
          </cell>
          <cell r="D703">
            <v>3</v>
          </cell>
          <cell r="E703">
            <v>1</v>
          </cell>
        </row>
        <row r="704">
          <cell r="A704" t="str">
            <v>MIP</v>
          </cell>
          <cell r="B704" t="str">
            <v>202110</v>
          </cell>
          <cell r="C704">
            <v>17</v>
          </cell>
          <cell r="D704">
            <v>1</v>
          </cell>
          <cell r="E704">
            <v>2</v>
          </cell>
        </row>
        <row r="705">
          <cell r="A705" t="str">
            <v>MIP</v>
          </cell>
          <cell r="B705" t="str">
            <v>202120</v>
          </cell>
          <cell r="C705">
            <v>13</v>
          </cell>
          <cell r="D705">
            <v>2</v>
          </cell>
          <cell r="E705">
            <v>0</v>
          </cell>
        </row>
        <row r="706">
          <cell r="A706" t="str">
            <v>MIP</v>
          </cell>
          <cell r="B706" t="str">
            <v>202210</v>
          </cell>
          <cell r="C706">
            <v>44</v>
          </cell>
          <cell r="D706">
            <v>5</v>
          </cell>
          <cell r="E706">
            <v>0</v>
          </cell>
        </row>
        <row r="707">
          <cell r="A707" t="str">
            <v>MIP</v>
          </cell>
          <cell r="B707" t="str">
            <v>202220</v>
          </cell>
          <cell r="C707">
            <v>18</v>
          </cell>
          <cell r="D707">
            <v>5</v>
          </cell>
          <cell r="E707">
            <v>0</v>
          </cell>
        </row>
        <row r="708">
          <cell r="A708" t="str">
            <v>MIP</v>
          </cell>
          <cell r="B708" t="str">
            <v>202310</v>
          </cell>
          <cell r="C708">
            <v>26</v>
          </cell>
          <cell r="D708">
            <v>2</v>
          </cell>
          <cell r="E708">
            <v>0</v>
          </cell>
        </row>
        <row r="709">
          <cell r="A709" t="str">
            <v>MIP</v>
          </cell>
          <cell r="B709" t="str">
            <v>202320</v>
          </cell>
          <cell r="C709">
            <v>31</v>
          </cell>
          <cell r="D709">
            <v>1</v>
          </cell>
          <cell r="E709">
            <v>0</v>
          </cell>
        </row>
        <row r="710">
          <cell r="A710" t="str">
            <v>MUS</v>
          </cell>
          <cell r="B710" t="str">
            <v>201710</v>
          </cell>
          <cell r="C710">
            <v>19</v>
          </cell>
          <cell r="D710">
            <v>9</v>
          </cell>
          <cell r="E710">
            <v>10</v>
          </cell>
        </row>
        <row r="711">
          <cell r="A711" t="str">
            <v>MUS</v>
          </cell>
          <cell r="B711" t="str">
            <v>201720</v>
          </cell>
          <cell r="C711">
            <v>23</v>
          </cell>
          <cell r="D711">
            <v>6</v>
          </cell>
          <cell r="E711">
            <v>16</v>
          </cell>
        </row>
        <row r="712">
          <cell r="A712" t="str">
            <v>MUS</v>
          </cell>
          <cell r="B712" t="str">
            <v>201810</v>
          </cell>
          <cell r="C712">
            <v>11</v>
          </cell>
          <cell r="D712">
            <v>3</v>
          </cell>
          <cell r="E712">
            <v>6</v>
          </cell>
        </row>
        <row r="713">
          <cell r="A713" t="str">
            <v>MUS</v>
          </cell>
          <cell r="B713" t="str">
            <v>201820</v>
          </cell>
          <cell r="C713">
            <v>11</v>
          </cell>
          <cell r="D713">
            <v>6</v>
          </cell>
          <cell r="E713">
            <v>4</v>
          </cell>
        </row>
        <row r="714">
          <cell r="A714" t="str">
            <v>MUS</v>
          </cell>
          <cell r="B714" t="str">
            <v>201910</v>
          </cell>
          <cell r="C714">
            <v>14</v>
          </cell>
          <cell r="D714">
            <v>5</v>
          </cell>
          <cell r="E714">
            <v>3</v>
          </cell>
        </row>
        <row r="715">
          <cell r="A715" t="str">
            <v>MUS</v>
          </cell>
          <cell r="B715" t="str">
            <v>201920</v>
          </cell>
          <cell r="C715">
            <v>5</v>
          </cell>
          <cell r="D715">
            <v>1</v>
          </cell>
          <cell r="E715">
            <v>0</v>
          </cell>
        </row>
        <row r="716">
          <cell r="A716" t="str">
            <v>MUS</v>
          </cell>
          <cell r="B716" t="str">
            <v>202010</v>
          </cell>
          <cell r="C716">
            <v>21</v>
          </cell>
          <cell r="D716">
            <v>6</v>
          </cell>
          <cell r="E716">
            <v>0</v>
          </cell>
        </row>
        <row r="717">
          <cell r="A717" t="str">
            <v>MUS</v>
          </cell>
          <cell r="B717" t="str">
            <v>202020</v>
          </cell>
          <cell r="C717">
            <v>5</v>
          </cell>
          <cell r="D717">
            <v>0</v>
          </cell>
          <cell r="E717">
            <v>0</v>
          </cell>
        </row>
        <row r="718">
          <cell r="A718" t="str">
            <v>MUS</v>
          </cell>
          <cell r="B718" t="str">
            <v>202110</v>
          </cell>
          <cell r="C718">
            <v>9</v>
          </cell>
          <cell r="D718">
            <v>2</v>
          </cell>
          <cell r="E718">
            <v>0</v>
          </cell>
        </row>
        <row r="719">
          <cell r="A719" t="str">
            <v>MUS</v>
          </cell>
          <cell r="B719" t="str">
            <v>202120</v>
          </cell>
          <cell r="C719">
            <v>10</v>
          </cell>
          <cell r="D719">
            <v>3</v>
          </cell>
          <cell r="E719">
            <v>0</v>
          </cell>
        </row>
        <row r="720">
          <cell r="A720" t="str">
            <v>MUS</v>
          </cell>
          <cell r="B720" t="str">
            <v>202210</v>
          </cell>
          <cell r="C720">
            <v>26</v>
          </cell>
          <cell r="D720">
            <v>5</v>
          </cell>
          <cell r="E720">
            <v>0</v>
          </cell>
        </row>
        <row r="721">
          <cell r="A721" t="str">
            <v>MUS</v>
          </cell>
          <cell r="B721" t="str">
            <v>202220</v>
          </cell>
          <cell r="C721">
            <v>17</v>
          </cell>
          <cell r="D721">
            <v>3</v>
          </cell>
          <cell r="E721">
            <v>0</v>
          </cell>
        </row>
        <row r="722">
          <cell r="A722" t="str">
            <v>MUS</v>
          </cell>
          <cell r="B722" t="str">
            <v>202310</v>
          </cell>
          <cell r="C722">
            <v>33</v>
          </cell>
          <cell r="D722">
            <v>5</v>
          </cell>
          <cell r="E722">
            <v>0</v>
          </cell>
        </row>
        <row r="723">
          <cell r="A723" t="str">
            <v>MUS</v>
          </cell>
          <cell r="B723" t="str">
            <v>202320</v>
          </cell>
          <cell r="C723">
            <v>33</v>
          </cell>
          <cell r="D723">
            <v>3</v>
          </cell>
          <cell r="E723">
            <v>0</v>
          </cell>
        </row>
        <row r="724">
          <cell r="A724" t="str">
            <v>PSI</v>
          </cell>
          <cell r="B724" t="str">
            <v>200620</v>
          </cell>
          <cell r="C724">
            <v>7</v>
          </cell>
          <cell r="D724">
            <v>5</v>
          </cell>
          <cell r="E724">
            <v>2</v>
          </cell>
        </row>
        <row r="725">
          <cell r="A725" t="str">
            <v>PSI</v>
          </cell>
          <cell r="B725" t="str">
            <v>200710</v>
          </cell>
          <cell r="C725">
            <v>4</v>
          </cell>
          <cell r="D725">
            <v>0</v>
          </cell>
          <cell r="E725">
            <v>4</v>
          </cell>
        </row>
        <row r="726">
          <cell r="A726" t="str">
            <v>PSI</v>
          </cell>
          <cell r="B726" t="str">
            <v>200720</v>
          </cell>
          <cell r="C726">
            <v>4</v>
          </cell>
          <cell r="D726">
            <v>2</v>
          </cell>
          <cell r="E726">
            <v>2</v>
          </cell>
        </row>
        <row r="727">
          <cell r="A727" t="str">
            <v>PSI</v>
          </cell>
          <cell r="B727" t="str">
            <v>200810</v>
          </cell>
          <cell r="C727">
            <v>2</v>
          </cell>
          <cell r="D727">
            <v>1</v>
          </cell>
          <cell r="E727">
            <v>1</v>
          </cell>
        </row>
        <row r="728">
          <cell r="A728" t="str">
            <v>PSI</v>
          </cell>
          <cell r="B728" t="str">
            <v>200820</v>
          </cell>
          <cell r="C728">
            <v>4</v>
          </cell>
          <cell r="D728">
            <v>0</v>
          </cell>
          <cell r="E728">
            <v>4</v>
          </cell>
        </row>
        <row r="729">
          <cell r="A729" t="str">
            <v>PSI</v>
          </cell>
          <cell r="B729" t="str">
            <v>200910</v>
          </cell>
          <cell r="C729">
            <v>5</v>
          </cell>
          <cell r="D729">
            <v>1</v>
          </cell>
          <cell r="E729">
            <v>4</v>
          </cell>
        </row>
        <row r="730">
          <cell r="A730" t="str">
            <v>PSI</v>
          </cell>
          <cell r="B730" t="str">
            <v>200920</v>
          </cell>
          <cell r="C730">
            <v>5</v>
          </cell>
          <cell r="D730">
            <v>0</v>
          </cell>
          <cell r="E730">
            <v>5</v>
          </cell>
        </row>
        <row r="731">
          <cell r="A731" t="str">
            <v>PSI</v>
          </cell>
          <cell r="B731" t="str">
            <v>201010</v>
          </cell>
          <cell r="C731">
            <v>3</v>
          </cell>
          <cell r="D731">
            <v>1</v>
          </cell>
          <cell r="E731">
            <v>2</v>
          </cell>
        </row>
        <row r="732">
          <cell r="A732" t="str">
            <v>PSI</v>
          </cell>
          <cell r="B732" t="str">
            <v>201020</v>
          </cell>
          <cell r="C732">
            <v>2</v>
          </cell>
          <cell r="D732">
            <v>1</v>
          </cell>
          <cell r="E732">
            <v>1</v>
          </cell>
        </row>
        <row r="733">
          <cell r="A733" t="str">
            <v>PSI</v>
          </cell>
          <cell r="B733" t="str">
            <v>201110</v>
          </cell>
          <cell r="C733">
            <v>16</v>
          </cell>
          <cell r="D733">
            <v>5</v>
          </cell>
          <cell r="E733">
            <v>11</v>
          </cell>
        </row>
        <row r="734">
          <cell r="A734" t="str">
            <v>PSI</v>
          </cell>
          <cell r="B734" t="str">
            <v>201120</v>
          </cell>
          <cell r="C734">
            <v>11</v>
          </cell>
          <cell r="D734">
            <v>4</v>
          </cell>
          <cell r="E734">
            <v>7</v>
          </cell>
        </row>
        <row r="735">
          <cell r="A735" t="str">
            <v>PSI</v>
          </cell>
          <cell r="B735" t="str">
            <v>201210</v>
          </cell>
          <cell r="C735">
            <v>17</v>
          </cell>
          <cell r="D735">
            <v>6</v>
          </cell>
          <cell r="E735">
            <v>11</v>
          </cell>
        </row>
        <row r="736">
          <cell r="A736" t="str">
            <v>PSI</v>
          </cell>
          <cell r="B736" t="str">
            <v>201220</v>
          </cell>
          <cell r="C736">
            <v>11</v>
          </cell>
          <cell r="D736">
            <v>4</v>
          </cell>
          <cell r="E736">
            <v>7</v>
          </cell>
        </row>
        <row r="737">
          <cell r="A737" t="str">
            <v>PSI</v>
          </cell>
          <cell r="B737" t="str">
            <v>201310</v>
          </cell>
          <cell r="C737">
            <v>21</v>
          </cell>
          <cell r="D737">
            <v>6</v>
          </cell>
          <cell r="E737">
            <v>14</v>
          </cell>
        </row>
        <row r="738">
          <cell r="A738" t="str">
            <v>PSI</v>
          </cell>
          <cell r="B738" t="str">
            <v>201320</v>
          </cell>
          <cell r="C738">
            <v>12</v>
          </cell>
          <cell r="D738">
            <v>3</v>
          </cell>
          <cell r="E738">
            <v>9</v>
          </cell>
        </row>
        <row r="739">
          <cell r="A739" t="str">
            <v>PSI</v>
          </cell>
          <cell r="B739" t="str">
            <v>201410</v>
          </cell>
          <cell r="C739">
            <v>19</v>
          </cell>
          <cell r="D739">
            <v>9</v>
          </cell>
          <cell r="E739">
            <v>10</v>
          </cell>
        </row>
        <row r="740">
          <cell r="A740" t="str">
            <v>PSI</v>
          </cell>
          <cell r="B740" t="str">
            <v>201420</v>
          </cell>
          <cell r="C740">
            <v>21</v>
          </cell>
          <cell r="D740">
            <v>5</v>
          </cell>
          <cell r="E740">
            <v>15</v>
          </cell>
        </row>
        <row r="741">
          <cell r="A741" t="str">
            <v>PSI</v>
          </cell>
          <cell r="B741" t="str">
            <v>201510</v>
          </cell>
          <cell r="C741">
            <v>73</v>
          </cell>
          <cell r="D741">
            <v>14</v>
          </cell>
          <cell r="E741">
            <v>59</v>
          </cell>
        </row>
        <row r="742">
          <cell r="A742" t="str">
            <v>PSI</v>
          </cell>
          <cell r="B742" t="str">
            <v>201520</v>
          </cell>
          <cell r="C742">
            <v>16</v>
          </cell>
          <cell r="D742">
            <v>6</v>
          </cell>
          <cell r="E742">
            <v>10</v>
          </cell>
        </row>
        <row r="743">
          <cell r="A743" t="str">
            <v>PSI</v>
          </cell>
          <cell r="B743" t="str">
            <v>201610</v>
          </cell>
          <cell r="C743">
            <v>56</v>
          </cell>
          <cell r="D743">
            <v>15</v>
          </cell>
          <cell r="E743">
            <v>39</v>
          </cell>
        </row>
        <row r="744">
          <cell r="A744" t="str">
            <v>PSI</v>
          </cell>
          <cell r="B744" t="str">
            <v>201620</v>
          </cell>
          <cell r="C744">
            <v>13</v>
          </cell>
          <cell r="D744">
            <v>4</v>
          </cell>
          <cell r="E744">
            <v>9</v>
          </cell>
        </row>
        <row r="745">
          <cell r="A745" t="str">
            <v>PSI</v>
          </cell>
          <cell r="B745" t="str">
            <v>201710</v>
          </cell>
          <cell r="C745">
            <v>32</v>
          </cell>
          <cell r="D745">
            <v>9</v>
          </cell>
          <cell r="E745">
            <v>21</v>
          </cell>
        </row>
        <row r="746">
          <cell r="A746" t="str">
            <v>PSI</v>
          </cell>
          <cell r="B746" t="str">
            <v>201720</v>
          </cell>
          <cell r="C746">
            <v>11</v>
          </cell>
          <cell r="D746">
            <v>3</v>
          </cell>
          <cell r="E746">
            <v>8</v>
          </cell>
        </row>
        <row r="747">
          <cell r="A747" t="str">
            <v>PSI</v>
          </cell>
          <cell r="B747" t="str">
            <v>201810</v>
          </cell>
          <cell r="C747">
            <v>27</v>
          </cell>
          <cell r="D747">
            <v>5</v>
          </cell>
          <cell r="E747">
            <v>19</v>
          </cell>
        </row>
        <row r="748">
          <cell r="A748" t="str">
            <v>PSI</v>
          </cell>
          <cell r="B748" t="str">
            <v>201820</v>
          </cell>
          <cell r="C748">
            <v>16</v>
          </cell>
          <cell r="D748">
            <v>6</v>
          </cell>
          <cell r="E748">
            <v>6</v>
          </cell>
        </row>
        <row r="749">
          <cell r="A749" t="str">
            <v>PSI</v>
          </cell>
          <cell r="B749" t="str">
            <v>201910</v>
          </cell>
          <cell r="C749">
            <v>8</v>
          </cell>
          <cell r="D749">
            <v>1</v>
          </cell>
          <cell r="E749">
            <v>6</v>
          </cell>
        </row>
        <row r="750">
          <cell r="A750" t="str">
            <v>PSI</v>
          </cell>
          <cell r="B750" t="str">
            <v>201920</v>
          </cell>
          <cell r="C750">
            <v>10</v>
          </cell>
          <cell r="D750">
            <v>2</v>
          </cell>
          <cell r="E750">
            <v>0</v>
          </cell>
        </row>
        <row r="751">
          <cell r="A751" t="str">
            <v>PSI</v>
          </cell>
          <cell r="B751" t="str">
            <v>202010</v>
          </cell>
          <cell r="C751">
            <v>25</v>
          </cell>
          <cell r="D751">
            <v>4</v>
          </cell>
          <cell r="E751">
            <v>0</v>
          </cell>
        </row>
        <row r="752">
          <cell r="A752" t="str">
            <v>PSI</v>
          </cell>
          <cell r="B752" t="str">
            <v>202020</v>
          </cell>
          <cell r="C752">
            <v>6</v>
          </cell>
          <cell r="D752">
            <v>2</v>
          </cell>
          <cell r="E752">
            <v>0</v>
          </cell>
        </row>
        <row r="753">
          <cell r="A753" t="str">
            <v>PSI</v>
          </cell>
          <cell r="B753" t="str">
            <v>202110</v>
          </cell>
          <cell r="C753">
            <v>10</v>
          </cell>
          <cell r="D753">
            <v>1</v>
          </cell>
          <cell r="E753">
            <v>0</v>
          </cell>
        </row>
        <row r="754">
          <cell r="A754" t="str">
            <v>PSI</v>
          </cell>
          <cell r="B754" t="str">
            <v>202120</v>
          </cell>
          <cell r="C754">
            <v>12</v>
          </cell>
          <cell r="D754">
            <v>2</v>
          </cell>
          <cell r="E754">
            <v>0</v>
          </cell>
        </row>
        <row r="755">
          <cell r="A755" t="str">
            <v>PSI</v>
          </cell>
          <cell r="B755" t="str">
            <v>202210</v>
          </cell>
          <cell r="C755">
            <v>27</v>
          </cell>
          <cell r="D755">
            <v>1</v>
          </cell>
          <cell r="E755">
            <v>0</v>
          </cell>
        </row>
        <row r="756">
          <cell r="A756" t="str">
            <v>PSI</v>
          </cell>
          <cell r="B756" t="str">
            <v>202220</v>
          </cell>
          <cell r="C756">
            <v>16</v>
          </cell>
          <cell r="D756">
            <v>2</v>
          </cell>
          <cell r="E756">
            <v>0</v>
          </cell>
        </row>
        <row r="757">
          <cell r="A757" t="str">
            <v>PSI</v>
          </cell>
          <cell r="B757" t="str">
            <v>202310</v>
          </cell>
          <cell r="C757">
            <v>19</v>
          </cell>
          <cell r="D757">
            <v>4</v>
          </cell>
          <cell r="E757">
            <v>0</v>
          </cell>
        </row>
        <row r="758">
          <cell r="A758" t="str">
            <v>PSI</v>
          </cell>
          <cell r="B758" t="str">
            <v>202320</v>
          </cell>
          <cell r="C758">
            <v>18</v>
          </cell>
          <cell r="D758">
            <v>3</v>
          </cell>
          <cell r="E758">
            <v>0</v>
          </cell>
        </row>
        <row r="759">
          <cell r="A759" t="str">
            <v>QUF</v>
          </cell>
          <cell r="B759" t="str">
            <v>200820</v>
          </cell>
          <cell r="C759">
            <v>29</v>
          </cell>
          <cell r="D759">
            <v>5</v>
          </cell>
          <cell r="E759">
            <v>24</v>
          </cell>
        </row>
        <row r="760">
          <cell r="A760" t="str">
            <v>QUF</v>
          </cell>
          <cell r="B760" t="str">
            <v>200910</v>
          </cell>
          <cell r="C760">
            <v>18</v>
          </cell>
          <cell r="D760">
            <v>5</v>
          </cell>
          <cell r="E760">
            <v>13</v>
          </cell>
        </row>
        <row r="761">
          <cell r="A761" t="str">
            <v>QUF</v>
          </cell>
          <cell r="B761" t="str">
            <v>200920</v>
          </cell>
          <cell r="C761">
            <v>18</v>
          </cell>
          <cell r="D761">
            <v>10</v>
          </cell>
          <cell r="E761">
            <v>8</v>
          </cell>
        </row>
        <row r="762">
          <cell r="A762" t="str">
            <v>QUF</v>
          </cell>
          <cell r="B762" t="str">
            <v>201010</v>
          </cell>
          <cell r="C762">
            <v>20</v>
          </cell>
          <cell r="D762">
            <v>7</v>
          </cell>
          <cell r="E762">
            <v>13</v>
          </cell>
        </row>
        <row r="763">
          <cell r="A763" t="str">
            <v>QUF</v>
          </cell>
          <cell r="B763" t="str">
            <v>201020</v>
          </cell>
          <cell r="C763">
            <v>26</v>
          </cell>
          <cell r="D763">
            <v>9</v>
          </cell>
          <cell r="E763">
            <v>17</v>
          </cell>
        </row>
        <row r="764">
          <cell r="A764" t="str">
            <v>QUF</v>
          </cell>
          <cell r="B764" t="str">
            <v>201110</v>
          </cell>
          <cell r="C764">
            <v>34</v>
          </cell>
          <cell r="D764">
            <v>20</v>
          </cell>
          <cell r="E764">
            <v>14</v>
          </cell>
        </row>
        <row r="765">
          <cell r="A765" t="str">
            <v>QUF</v>
          </cell>
          <cell r="B765" t="str">
            <v>201120</v>
          </cell>
          <cell r="C765">
            <v>32</v>
          </cell>
          <cell r="D765">
            <v>11</v>
          </cell>
          <cell r="E765">
            <v>21</v>
          </cell>
        </row>
        <row r="766">
          <cell r="A766" t="str">
            <v>QUF</v>
          </cell>
          <cell r="B766" t="str">
            <v>201210</v>
          </cell>
          <cell r="C766">
            <v>22</v>
          </cell>
          <cell r="D766">
            <v>11</v>
          </cell>
          <cell r="E766">
            <v>11</v>
          </cell>
        </row>
        <row r="767">
          <cell r="A767" t="str">
            <v>QUF</v>
          </cell>
          <cell r="B767" t="str">
            <v>201220</v>
          </cell>
          <cell r="C767">
            <v>36</v>
          </cell>
          <cell r="D767">
            <v>25</v>
          </cell>
          <cell r="E767">
            <v>11</v>
          </cell>
        </row>
        <row r="768">
          <cell r="A768" t="str">
            <v>QUF</v>
          </cell>
          <cell r="B768" t="str">
            <v>201310</v>
          </cell>
          <cell r="C768">
            <v>34</v>
          </cell>
          <cell r="D768">
            <v>17</v>
          </cell>
          <cell r="E768">
            <v>17</v>
          </cell>
        </row>
        <row r="769">
          <cell r="A769" t="str">
            <v>QUF</v>
          </cell>
          <cell r="B769" t="str">
            <v>201320</v>
          </cell>
          <cell r="C769">
            <v>26</v>
          </cell>
          <cell r="D769">
            <v>12</v>
          </cell>
          <cell r="E769">
            <v>14</v>
          </cell>
        </row>
        <row r="770">
          <cell r="A770" t="str">
            <v>QUF</v>
          </cell>
          <cell r="B770" t="str">
            <v>201410</v>
          </cell>
          <cell r="C770">
            <v>38</v>
          </cell>
          <cell r="D770">
            <v>17</v>
          </cell>
          <cell r="E770">
            <v>21</v>
          </cell>
        </row>
        <row r="771">
          <cell r="A771" t="str">
            <v>QUF</v>
          </cell>
          <cell r="B771" t="str">
            <v>201420</v>
          </cell>
          <cell r="C771">
            <v>49</v>
          </cell>
          <cell r="D771">
            <v>28</v>
          </cell>
          <cell r="E771">
            <v>21</v>
          </cell>
        </row>
        <row r="772">
          <cell r="A772" t="str">
            <v>QUF</v>
          </cell>
          <cell r="B772" t="str">
            <v>201510</v>
          </cell>
          <cell r="C772">
            <v>57</v>
          </cell>
          <cell r="D772">
            <v>19</v>
          </cell>
          <cell r="E772">
            <v>38</v>
          </cell>
        </row>
        <row r="773">
          <cell r="A773" t="str">
            <v>QUF</v>
          </cell>
          <cell r="B773" t="str">
            <v>201520</v>
          </cell>
          <cell r="C773">
            <v>19</v>
          </cell>
          <cell r="D773">
            <v>4</v>
          </cell>
          <cell r="E773">
            <v>15</v>
          </cell>
        </row>
        <row r="774">
          <cell r="A774" t="str">
            <v>QUF</v>
          </cell>
          <cell r="B774" t="str">
            <v>201610</v>
          </cell>
          <cell r="C774">
            <v>49</v>
          </cell>
          <cell r="D774">
            <v>17</v>
          </cell>
          <cell r="E774">
            <v>32</v>
          </cell>
        </row>
        <row r="775">
          <cell r="A775" t="str">
            <v>QUF</v>
          </cell>
          <cell r="B775" t="str">
            <v>201620</v>
          </cell>
          <cell r="C775">
            <v>24</v>
          </cell>
          <cell r="D775">
            <v>12</v>
          </cell>
          <cell r="E775">
            <v>12</v>
          </cell>
        </row>
        <row r="776">
          <cell r="A776" t="str">
            <v>QUF</v>
          </cell>
          <cell r="B776" t="str">
            <v>201710</v>
          </cell>
          <cell r="C776">
            <v>59</v>
          </cell>
          <cell r="D776">
            <v>16</v>
          </cell>
          <cell r="E776">
            <v>42</v>
          </cell>
        </row>
        <row r="777">
          <cell r="A777" t="str">
            <v>QUF</v>
          </cell>
          <cell r="B777" t="str">
            <v>201720</v>
          </cell>
          <cell r="C777">
            <v>30</v>
          </cell>
          <cell r="D777">
            <v>9</v>
          </cell>
          <cell r="E777">
            <v>20</v>
          </cell>
        </row>
        <row r="778">
          <cell r="A778" t="str">
            <v>QUF</v>
          </cell>
          <cell r="B778" t="str">
            <v>201810</v>
          </cell>
          <cell r="C778">
            <v>48</v>
          </cell>
          <cell r="D778">
            <v>10</v>
          </cell>
          <cell r="E778">
            <v>37</v>
          </cell>
        </row>
        <row r="779">
          <cell r="A779" t="str">
            <v>QUF</v>
          </cell>
          <cell r="B779" t="str">
            <v>201820</v>
          </cell>
          <cell r="C779">
            <v>18</v>
          </cell>
          <cell r="D779">
            <v>6</v>
          </cell>
          <cell r="E779">
            <v>11</v>
          </cell>
        </row>
        <row r="780">
          <cell r="A780" t="str">
            <v>QUF</v>
          </cell>
          <cell r="B780" t="str">
            <v>201910</v>
          </cell>
          <cell r="C780">
            <v>32</v>
          </cell>
          <cell r="D780">
            <v>6</v>
          </cell>
          <cell r="E780">
            <v>23</v>
          </cell>
        </row>
        <row r="781">
          <cell r="A781" t="str">
            <v>QUF</v>
          </cell>
          <cell r="B781" t="str">
            <v>201920</v>
          </cell>
          <cell r="C781">
            <v>25</v>
          </cell>
          <cell r="D781">
            <v>4</v>
          </cell>
          <cell r="E781">
            <v>0</v>
          </cell>
        </row>
        <row r="782">
          <cell r="A782" t="str">
            <v>QUF</v>
          </cell>
          <cell r="B782" t="str">
            <v>202010</v>
          </cell>
          <cell r="C782">
            <v>33</v>
          </cell>
          <cell r="D782">
            <v>5</v>
          </cell>
          <cell r="E782">
            <v>0</v>
          </cell>
        </row>
        <row r="783">
          <cell r="A783" t="str">
            <v>QUF</v>
          </cell>
          <cell r="B783" t="str">
            <v>202020</v>
          </cell>
          <cell r="C783">
            <v>26</v>
          </cell>
          <cell r="D783">
            <v>5</v>
          </cell>
          <cell r="E783">
            <v>0</v>
          </cell>
        </row>
        <row r="784">
          <cell r="A784" t="str">
            <v>QUF</v>
          </cell>
          <cell r="B784" t="str">
            <v>202110</v>
          </cell>
          <cell r="C784">
            <v>42</v>
          </cell>
          <cell r="D784">
            <v>3</v>
          </cell>
          <cell r="E784">
            <v>0</v>
          </cell>
        </row>
        <row r="785">
          <cell r="A785" t="str">
            <v>QUF</v>
          </cell>
          <cell r="B785" t="str">
            <v>202120</v>
          </cell>
          <cell r="C785">
            <v>25</v>
          </cell>
          <cell r="D785">
            <v>3</v>
          </cell>
          <cell r="E785">
            <v>0</v>
          </cell>
        </row>
        <row r="786">
          <cell r="A786" t="str">
            <v>QUF</v>
          </cell>
          <cell r="B786" t="str">
            <v>202210</v>
          </cell>
          <cell r="C786">
            <v>49</v>
          </cell>
          <cell r="D786">
            <v>10</v>
          </cell>
          <cell r="E786">
            <v>0</v>
          </cell>
        </row>
        <row r="787">
          <cell r="A787" t="str">
            <v>QUF</v>
          </cell>
          <cell r="B787" t="str">
            <v>202220</v>
          </cell>
          <cell r="C787">
            <v>31</v>
          </cell>
          <cell r="D787">
            <v>3</v>
          </cell>
          <cell r="E787">
            <v>0</v>
          </cell>
        </row>
        <row r="788">
          <cell r="A788" t="str">
            <v>QUF</v>
          </cell>
          <cell r="B788" t="str">
            <v>202310</v>
          </cell>
          <cell r="C788">
            <v>41</v>
          </cell>
          <cell r="D788">
            <v>5</v>
          </cell>
          <cell r="E788">
            <v>0</v>
          </cell>
        </row>
        <row r="789">
          <cell r="A789" t="str">
            <v>QUF</v>
          </cell>
          <cell r="B789" t="str">
            <v>202320</v>
          </cell>
          <cell r="C789">
            <v>43</v>
          </cell>
          <cell r="D789">
            <v>0</v>
          </cell>
          <cell r="E789">
            <v>0</v>
          </cell>
        </row>
        <row r="790">
          <cell r="A790" t="str">
            <v>QUI</v>
          </cell>
          <cell r="B790" t="str">
            <v>200820</v>
          </cell>
          <cell r="C790">
            <v>2</v>
          </cell>
          <cell r="D790">
            <v>2</v>
          </cell>
          <cell r="E790">
            <v>0</v>
          </cell>
        </row>
        <row r="791">
          <cell r="A791" t="str">
            <v>QUI</v>
          </cell>
          <cell r="B791" t="str">
            <v>200910</v>
          </cell>
          <cell r="C791">
            <v>5</v>
          </cell>
          <cell r="D791">
            <v>4</v>
          </cell>
          <cell r="E791">
            <v>1</v>
          </cell>
        </row>
        <row r="792">
          <cell r="A792" t="str">
            <v>QUI</v>
          </cell>
          <cell r="B792" t="str">
            <v>200920</v>
          </cell>
          <cell r="C792">
            <v>2</v>
          </cell>
          <cell r="D792">
            <v>1</v>
          </cell>
          <cell r="E792">
            <v>1</v>
          </cell>
        </row>
        <row r="793">
          <cell r="A793" t="str">
            <v>QUI</v>
          </cell>
          <cell r="B793" t="str">
            <v>201020</v>
          </cell>
          <cell r="C793">
            <v>2</v>
          </cell>
          <cell r="D793">
            <v>0</v>
          </cell>
          <cell r="E793">
            <v>2</v>
          </cell>
        </row>
        <row r="794">
          <cell r="A794" t="str">
            <v>QUI</v>
          </cell>
          <cell r="B794" t="str">
            <v>201110</v>
          </cell>
          <cell r="C794">
            <v>4</v>
          </cell>
          <cell r="D794">
            <v>3</v>
          </cell>
          <cell r="E794">
            <v>1</v>
          </cell>
        </row>
        <row r="795">
          <cell r="A795" t="str">
            <v>QUI</v>
          </cell>
          <cell r="B795" t="str">
            <v>201120</v>
          </cell>
          <cell r="C795">
            <v>6</v>
          </cell>
          <cell r="D795">
            <v>6</v>
          </cell>
          <cell r="E795">
            <v>0</v>
          </cell>
        </row>
        <row r="796">
          <cell r="A796" t="str">
            <v>QUI</v>
          </cell>
          <cell r="B796" t="str">
            <v>201210</v>
          </cell>
          <cell r="C796">
            <v>12</v>
          </cell>
          <cell r="D796">
            <v>9</v>
          </cell>
          <cell r="E796">
            <v>3</v>
          </cell>
        </row>
        <row r="797">
          <cell r="A797" t="str">
            <v>QUI</v>
          </cell>
          <cell r="B797" t="str">
            <v>201220</v>
          </cell>
          <cell r="C797">
            <v>7</v>
          </cell>
          <cell r="D797">
            <v>3</v>
          </cell>
          <cell r="E797">
            <v>4</v>
          </cell>
        </row>
        <row r="798">
          <cell r="A798" t="str">
            <v>QUI</v>
          </cell>
          <cell r="B798" t="str">
            <v>201310</v>
          </cell>
          <cell r="C798">
            <v>7</v>
          </cell>
          <cell r="D798">
            <v>4</v>
          </cell>
          <cell r="E798">
            <v>3</v>
          </cell>
        </row>
        <row r="799">
          <cell r="A799" t="str">
            <v>QUI</v>
          </cell>
          <cell r="B799" t="str">
            <v>201320</v>
          </cell>
          <cell r="C799">
            <v>13</v>
          </cell>
          <cell r="D799">
            <v>8</v>
          </cell>
          <cell r="E799">
            <v>5</v>
          </cell>
        </row>
        <row r="800">
          <cell r="A800" t="str">
            <v>QUI</v>
          </cell>
          <cell r="B800" t="str">
            <v>201410</v>
          </cell>
          <cell r="C800">
            <v>5</v>
          </cell>
          <cell r="D800">
            <v>3</v>
          </cell>
          <cell r="E800">
            <v>2</v>
          </cell>
        </row>
        <row r="801">
          <cell r="A801" t="str">
            <v>QUI</v>
          </cell>
          <cell r="B801" t="str">
            <v>201420</v>
          </cell>
          <cell r="C801">
            <v>9</v>
          </cell>
          <cell r="D801">
            <v>4</v>
          </cell>
          <cell r="E801">
            <v>5</v>
          </cell>
        </row>
        <row r="802">
          <cell r="A802" t="str">
            <v>QUI</v>
          </cell>
          <cell r="B802" t="str">
            <v>201510</v>
          </cell>
          <cell r="C802">
            <v>25</v>
          </cell>
          <cell r="D802">
            <v>10</v>
          </cell>
          <cell r="E802">
            <v>15</v>
          </cell>
        </row>
        <row r="803">
          <cell r="A803" t="str">
            <v>QUI</v>
          </cell>
          <cell r="B803" t="str">
            <v>201520</v>
          </cell>
          <cell r="C803">
            <v>3</v>
          </cell>
          <cell r="D803">
            <v>2</v>
          </cell>
          <cell r="E803">
            <v>1</v>
          </cell>
        </row>
        <row r="804">
          <cell r="A804" t="str">
            <v>QUI</v>
          </cell>
          <cell r="B804" t="str">
            <v>201610</v>
          </cell>
          <cell r="C804">
            <v>16</v>
          </cell>
          <cell r="D804">
            <v>6</v>
          </cell>
          <cell r="E804">
            <v>9</v>
          </cell>
        </row>
        <row r="805">
          <cell r="A805" t="str">
            <v>QUI</v>
          </cell>
          <cell r="B805" t="str">
            <v>201620</v>
          </cell>
          <cell r="C805">
            <v>5</v>
          </cell>
          <cell r="D805">
            <v>3</v>
          </cell>
          <cell r="E805">
            <v>2</v>
          </cell>
        </row>
        <row r="806">
          <cell r="A806" t="str">
            <v>QUI</v>
          </cell>
          <cell r="B806" t="str">
            <v>201710</v>
          </cell>
          <cell r="C806">
            <v>16</v>
          </cell>
          <cell r="D806">
            <v>5</v>
          </cell>
          <cell r="E806">
            <v>10</v>
          </cell>
        </row>
        <row r="807">
          <cell r="A807" t="str">
            <v>QUI</v>
          </cell>
          <cell r="B807" t="str">
            <v>201720</v>
          </cell>
          <cell r="C807">
            <v>5</v>
          </cell>
          <cell r="D807">
            <v>1</v>
          </cell>
          <cell r="E807">
            <v>4</v>
          </cell>
        </row>
        <row r="808">
          <cell r="A808" t="str">
            <v>QUI</v>
          </cell>
          <cell r="B808" t="str">
            <v>201810</v>
          </cell>
          <cell r="C808">
            <v>10</v>
          </cell>
          <cell r="D808">
            <v>1</v>
          </cell>
          <cell r="E808">
            <v>7</v>
          </cell>
        </row>
        <row r="809">
          <cell r="A809" t="str">
            <v>QUI</v>
          </cell>
          <cell r="B809" t="str">
            <v>201820</v>
          </cell>
          <cell r="C809">
            <v>4</v>
          </cell>
          <cell r="D809">
            <v>1</v>
          </cell>
          <cell r="E809">
            <v>3</v>
          </cell>
        </row>
        <row r="810">
          <cell r="A810" t="str">
            <v>QUI</v>
          </cell>
          <cell r="B810" t="str">
            <v>201910</v>
          </cell>
          <cell r="C810">
            <v>1</v>
          </cell>
          <cell r="D810">
            <v>0</v>
          </cell>
          <cell r="E810">
            <v>1</v>
          </cell>
        </row>
        <row r="811">
          <cell r="A811" t="str">
            <v>QUI</v>
          </cell>
          <cell r="B811" t="str">
            <v>201920</v>
          </cell>
          <cell r="C811">
            <v>1</v>
          </cell>
          <cell r="D811">
            <v>1</v>
          </cell>
          <cell r="E811">
            <v>0</v>
          </cell>
        </row>
        <row r="812">
          <cell r="A812" t="str">
            <v>QUI</v>
          </cell>
          <cell r="B812" t="str">
            <v>202010</v>
          </cell>
          <cell r="C812">
            <v>14</v>
          </cell>
          <cell r="D812">
            <v>6</v>
          </cell>
          <cell r="E812">
            <v>0</v>
          </cell>
        </row>
        <row r="813">
          <cell r="A813" t="str">
            <v>QUI</v>
          </cell>
          <cell r="B813" t="str">
            <v>202020</v>
          </cell>
          <cell r="C813">
            <v>3</v>
          </cell>
          <cell r="D813">
            <v>1</v>
          </cell>
          <cell r="E813">
            <v>0</v>
          </cell>
        </row>
        <row r="814">
          <cell r="A814" t="str">
            <v>QUI</v>
          </cell>
          <cell r="B814" t="str">
            <v>202110</v>
          </cell>
          <cell r="C814">
            <v>7</v>
          </cell>
          <cell r="D814">
            <v>2</v>
          </cell>
          <cell r="E814">
            <v>0</v>
          </cell>
        </row>
        <row r="815">
          <cell r="A815" t="str">
            <v>QUI</v>
          </cell>
          <cell r="B815" t="str">
            <v>202120</v>
          </cell>
          <cell r="C815">
            <v>6</v>
          </cell>
          <cell r="D815">
            <v>3</v>
          </cell>
          <cell r="E815">
            <v>0</v>
          </cell>
        </row>
        <row r="816">
          <cell r="A816" t="str">
            <v>QUI</v>
          </cell>
          <cell r="B816" t="str">
            <v>202210</v>
          </cell>
          <cell r="C816">
            <v>9</v>
          </cell>
          <cell r="D816">
            <v>1</v>
          </cell>
          <cell r="E816">
            <v>0</v>
          </cell>
        </row>
        <row r="817">
          <cell r="A817" t="str">
            <v>QUI</v>
          </cell>
          <cell r="B817" t="str">
            <v>202220</v>
          </cell>
          <cell r="C817">
            <v>3</v>
          </cell>
          <cell r="D817">
            <v>0</v>
          </cell>
          <cell r="E817">
            <v>0</v>
          </cell>
        </row>
        <row r="818">
          <cell r="A818" t="str">
            <v>QUI</v>
          </cell>
          <cell r="B818" t="str">
            <v>202310</v>
          </cell>
          <cell r="C818">
            <v>7</v>
          </cell>
          <cell r="D818">
            <v>4</v>
          </cell>
          <cell r="E818">
            <v>0</v>
          </cell>
        </row>
        <row r="819">
          <cell r="A819" t="str">
            <v>QUI</v>
          </cell>
          <cell r="B819" t="str">
            <v>202320</v>
          </cell>
          <cell r="C819">
            <v>7</v>
          </cell>
          <cell r="D819">
            <v>0</v>
          </cell>
          <cell r="E819">
            <v>0</v>
          </cell>
        </row>
        <row r="820">
          <cell r="A820" t="str">
            <v>SIS</v>
          </cell>
          <cell r="B820" t="str">
            <v>198610</v>
          </cell>
          <cell r="C820">
            <v>1</v>
          </cell>
          <cell r="D820">
            <v>1</v>
          </cell>
          <cell r="E820">
            <v>0</v>
          </cell>
        </row>
        <row r="821">
          <cell r="A821" t="str">
            <v>SIS</v>
          </cell>
          <cell r="B821" t="str">
            <v>199020</v>
          </cell>
          <cell r="C821">
            <v>1</v>
          </cell>
          <cell r="D821">
            <v>1</v>
          </cell>
          <cell r="E821">
            <v>0</v>
          </cell>
        </row>
        <row r="822">
          <cell r="A822" t="str">
            <v>SIS</v>
          </cell>
          <cell r="B822" t="str">
            <v>199320</v>
          </cell>
          <cell r="C822">
            <v>1</v>
          </cell>
          <cell r="D822">
            <v>1</v>
          </cell>
          <cell r="E822">
            <v>0</v>
          </cell>
        </row>
        <row r="823">
          <cell r="A823" t="str">
            <v>SIS</v>
          </cell>
          <cell r="B823" t="str">
            <v>199410</v>
          </cell>
          <cell r="C823">
            <v>1</v>
          </cell>
          <cell r="D823">
            <v>1</v>
          </cell>
          <cell r="E823">
            <v>0</v>
          </cell>
        </row>
        <row r="824">
          <cell r="A824" t="str">
            <v>SIS</v>
          </cell>
          <cell r="B824" t="str">
            <v>199420</v>
          </cell>
          <cell r="C824">
            <v>2</v>
          </cell>
          <cell r="D824">
            <v>2</v>
          </cell>
          <cell r="E824">
            <v>0</v>
          </cell>
        </row>
        <row r="825">
          <cell r="A825" t="str">
            <v>SIS</v>
          </cell>
          <cell r="B825" t="str">
            <v>199510</v>
          </cell>
          <cell r="C825">
            <v>2</v>
          </cell>
          <cell r="D825">
            <v>2</v>
          </cell>
          <cell r="E825">
            <v>0</v>
          </cell>
        </row>
        <row r="826">
          <cell r="A826" t="str">
            <v>SIS</v>
          </cell>
          <cell r="B826" t="str">
            <v>199520</v>
          </cell>
          <cell r="C826">
            <v>11</v>
          </cell>
          <cell r="D826">
            <v>2</v>
          </cell>
          <cell r="E826">
            <v>9</v>
          </cell>
        </row>
        <row r="827">
          <cell r="A827" t="str">
            <v>SIS</v>
          </cell>
          <cell r="B827" t="str">
            <v>199610</v>
          </cell>
          <cell r="C827">
            <v>1</v>
          </cell>
          <cell r="D827">
            <v>0</v>
          </cell>
          <cell r="E827">
            <v>1</v>
          </cell>
        </row>
        <row r="828">
          <cell r="A828" t="str">
            <v>SIS</v>
          </cell>
          <cell r="B828" t="str">
            <v>199620</v>
          </cell>
          <cell r="C828">
            <v>20</v>
          </cell>
          <cell r="D828">
            <v>12</v>
          </cell>
          <cell r="E828">
            <v>8</v>
          </cell>
        </row>
        <row r="829">
          <cell r="A829" t="str">
            <v>SIS</v>
          </cell>
          <cell r="B829" t="str">
            <v>199710</v>
          </cell>
          <cell r="C829">
            <v>6</v>
          </cell>
          <cell r="D829">
            <v>3</v>
          </cell>
          <cell r="E829">
            <v>3</v>
          </cell>
        </row>
        <row r="830">
          <cell r="A830" t="str">
            <v>SIS</v>
          </cell>
          <cell r="B830" t="str">
            <v>199720</v>
          </cell>
          <cell r="C830">
            <v>14</v>
          </cell>
          <cell r="D830">
            <v>8</v>
          </cell>
          <cell r="E830">
            <v>6</v>
          </cell>
        </row>
        <row r="831">
          <cell r="A831" t="str">
            <v>SIS</v>
          </cell>
          <cell r="B831" t="str">
            <v>199810</v>
          </cell>
          <cell r="C831">
            <v>12</v>
          </cell>
          <cell r="D831">
            <v>7</v>
          </cell>
          <cell r="E831">
            <v>5</v>
          </cell>
        </row>
        <row r="832">
          <cell r="A832" t="str">
            <v>SIS</v>
          </cell>
          <cell r="B832" t="str">
            <v>199820</v>
          </cell>
          <cell r="C832">
            <v>15</v>
          </cell>
          <cell r="D832">
            <v>8</v>
          </cell>
          <cell r="E832">
            <v>7</v>
          </cell>
        </row>
        <row r="833">
          <cell r="A833" t="str">
            <v>SIS</v>
          </cell>
          <cell r="B833" t="str">
            <v>199910</v>
          </cell>
          <cell r="C833">
            <v>11</v>
          </cell>
          <cell r="D833">
            <v>8</v>
          </cell>
          <cell r="E833">
            <v>3</v>
          </cell>
        </row>
        <row r="834">
          <cell r="A834" t="str">
            <v>SIS</v>
          </cell>
          <cell r="B834" t="str">
            <v>199920</v>
          </cell>
          <cell r="C834">
            <v>9</v>
          </cell>
          <cell r="D834">
            <v>5</v>
          </cell>
          <cell r="E834">
            <v>4</v>
          </cell>
        </row>
        <row r="835">
          <cell r="A835" t="str">
            <v>SIS</v>
          </cell>
          <cell r="B835" t="str">
            <v>200010</v>
          </cell>
          <cell r="C835">
            <v>6</v>
          </cell>
          <cell r="D835">
            <v>6</v>
          </cell>
          <cell r="E835">
            <v>0</v>
          </cell>
        </row>
        <row r="836">
          <cell r="A836" t="str">
            <v>SIS</v>
          </cell>
          <cell r="B836" t="str">
            <v>200020</v>
          </cell>
          <cell r="C836">
            <v>11</v>
          </cell>
          <cell r="D836">
            <v>9</v>
          </cell>
          <cell r="E836">
            <v>2</v>
          </cell>
        </row>
        <row r="837">
          <cell r="A837" t="str">
            <v>SIS</v>
          </cell>
          <cell r="B837" t="str">
            <v>200110</v>
          </cell>
          <cell r="C837">
            <v>2</v>
          </cell>
          <cell r="D837">
            <v>2</v>
          </cell>
          <cell r="E837">
            <v>0</v>
          </cell>
        </row>
        <row r="838">
          <cell r="A838" t="str">
            <v>SIS</v>
          </cell>
          <cell r="B838" t="str">
            <v>200120</v>
          </cell>
          <cell r="C838">
            <v>19</v>
          </cell>
          <cell r="D838">
            <v>11</v>
          </cell>
          <cell r="E838">
            <v>8</v>
          </cell>
        </row>
        <row r="839">
          <cell r="A839" t="str">
            <v>SIS</v>
          </cell>
          <cell r="B839" t="str">
            <v>200210</v>
          </cell>
          <cell r="C839">
            <v>9</v>
          </cell>
          <cell r="D839">
            <v>7</v>
          </cell>
          <cell r="E839">
            <v>2</v>
          </cell>
        </row>
        <row r="840">
          <cell r="A840" t="str">
            <v>SIS</v>
          </cell>
          <cell r="B840" t="str">
            <v>200220</v>
          </cell>
          <cell r="C840">
            <v>22</v>
          </cell>
          <cell r="D840">
            <v>14</v>
          </cell>
          <cell r="E840">
            <v>8</v>
          </cell>
        </row>
        <row r="841">
          <cell r="A841" t="str">
            <v>SIS</v>
          </cell>
          <cell r="B841" t="str">
            <v>200310</v>
          </cell>
          <cell r="C841">
            <v>5</v>
          </cell>
          <cell r="D841">
            <v>2</v>
          </cell>
          <cell r="E841">
            <v>3</v>
          </cell>
        </row>
        <row r="842">
          <cell r="A842" t="str">
            <v>SIS</v>
          </cell>
          <cell r="B842" t="str">
            <v>200320</v>
          </cell>
          <cell r="C842">
            <v>22</v>
          </cell>
          <cell r="D842">
            <v>14</v>
          </cell>
          <cell r="E842">
            <v>8</v>
          </cell>
        </row>
        <row r="843">
          <cell r="A843" t="str">
            <v>SIS</v>
          </cell>
          <cell r="B843" t="str">
            <v>200410</v>
          </cell>
          <cell r="C843">
            <v>6</v>
          </cell>
          <cell r="D843">
            <v>2</v>
          </cell>
          <cell r="E843">
            <v>4</v>
          </cell>
        </row>
        <row r="844">
          <cell r="A844" t="str">
            <v>SIS</v>
          </cell>
          <cell r="B844" t="str">
            <v>200420</v>
          </cell>
          <cell r="C844">
            <v>16</v>
          </cell>
          <cell r="D844">
            <v>10</v>
          </cell>
          <cell r="E844">
            <v>6</v>
          </cell>
        </row>
        <row r="845">
          <cell r="A845" t="str">
            <v>SIS</v>
          </cell>
          <cell r="B845" t="str">
            <v>200510</v>
          </cell>
          <cell r="C845">
            <v>6</v>
          </cell>
          <cell r="D845">
            <v>5</v>
          </cell>
          <cell r="E845">
            <v>1</v>
          </cell>
        </row>
        <row r="846">
          <cell r="A846" t="str">
            <v>SIS</v>
          </cell>
          <cell r="B846" t="str">
            <v>200520</v>
          </cell>
          <cell r="C846">
            <v>18</v>
          </cell>
          <cell r="D846">
            <v>11</v>
          </cell>
          <cell r="E846">
            <v>7</v>
          </cell>
        </row>
        <row r="847">
          <cell r="A847" t="str">
            <v>SIS</v>
          </cell>
          <cell r="B847" t="str">
            <v>200610</v>
          </cell>
          <cell r="C847">
            <v>4</v>
          </cell>
          <cell r="D847">
            <v>2</v>
          </cell>
          <cell r="E847">
            <v>2</v>
          </cell>
        </row>
        <row r="848">
          <cell r="A848" t="str">
            <v>SIS</v>
          </cell>
          <cell r="B848" t="str">
            <v>200620</v>
          </cell>
          <cell r="C848">
            <v>25</v>
          </cell>
          <cell r="D848">
            <v>14</v>
          </cell>
          <cell r="E848">
            <v>11</v>
          </cell>
        </row>
        <row r="849">
          <cell r="A849" t="str">
            <v>SIS</v>
          </cell>
          <cell r="B849" t="str">
            <v>200710</v>
          </cell>
          <cell r="C849">
            <v>15</v>
          </cell>
          <cell r="D849">
            <v>9</v>
          </cell>
          <cell r="E849">
            <v>6</v>
          </cell>
        </row>
        <row r="850">
          <cell r="A850" t="str">
            <v>SIS</v>
          </cell>
          <cell r="B850" t="str">
            <v>200720</v>
          </cell>
          <cell r="C850">
            <v>25</v>
          </cell>
          <cell r="D850">
            <v>16</v>
          </cell>
          <cell r="E850">
            <v>9</v>
          </cell>
        </row>
        <row r="851">
          <cell r="A851" t="str">
            <v>SIS</v>
          </cell>
          <cell r="B851" t="str">
            <v>200810</v>
          </cell>
          <cell r="C851">
            <v>13</v>
          </cell>
          <cell r="D851">
            <v>9</v>
          </cell>
          <cell r="E851">
            <v>4</v>
          </cell>
        </row>
        <row r="852">
          <cell r="A852" t="str">
            <v>SIS</v>
          </cell>
          <cell r="B852" t="str">
            <v>200820</v>
          </cell>
          <cell r="C852">
            <v>16</v>
          </cell>
          <cell r="D852">
            <v>6</v>
          </cell>
          <cell r="E852">
            <v>10</v>
          </cell>
        </row>
        <row r="853">
          <cell r="A853" t="str">
            <v>SIS</v>
          </cell>
          <cell r="B853" t="str">
            <v>200910</v>
          </cell>
          <cell r="C853">
            <v>9</v>
          </cell>
          <cell r="D853">
            <v>4</v>
          </cell>
          <cell r="E853">
            <v>5</v>
          </cell>
        </row>
        <row r="854">
          <cell r="A854" t="str">
            <v>SIS</v>
          </cell>
          <cell r="B854" t="str">
            <v>200920</v>
          </cell>
          <cell r="C854">
            <v>20</v>
          </cell>
          <cell r="D854">
            <v>12</v>
          </cell>
          <cell r="E854">
            <v>8</v>
          </cell>
        </row>
        <row r="855">
          <cell r="A855" t="str">
            <v>SIS</v>
          </cell>
          <cell r="B855" t="str">
            <v>201010</v>
          </cell>
          <cell r="C855">
            <v>11</v>
          </cell>
          <cell r="D855">
            <v>7</v>
          </cell>
          <cell r="E855">
            <v>4</v>
          </cell>
        </row>
        <row r="856">
          <cell r="A856" t="str">
            <v>SIS</v>
          </cell>
          <cell r="B856" t="str">
            <v>201020</v>
          </cell>
          <cell r="C856">
            <v>12</v>
          </cell>
          <cell r="D856">
            <v>6</v>
          </cell>
          <cell r="E856">
            <v>6</v>
          </cell>
        </row>
        <row r="857">
          <cell r="A857" t="str">
            <v>SIS</v>
          </cell>
          <cell r="B857" t="str">
            <v>201110</v>
          </cell>
          <cell r="C857">
            <v>11</v>
          </cell>
          <cell r="D857">
            <v>6</v>
          </cell>
          <cell r="E857">
            <v>5</v>
          </cell>
        </row>
        <row r="858">
          <cell r="A858" t="str">
            <v>SIS</v>
          </cell>
          <cell r="B858" t="str">
            <v>201120</v>
          </cell>
          <cell r="C858">
            <v>14</v>
          </cell>
          <cell r="D858">
            <v>9</v>
          </cell>
          <cell r="E858">
            <v>5</v>
          </cell>
        </row>
        <row r="859">
          <cell r="A859" t="str">
            <v>SIS</v>
          </cell>
          <cell r="B859" t="str">
            <v>201210</v>
          </cell>
          <cell r="C859">
            <v>16</v>
          </cell>
          <cell r="D859">
            <v>11</v>
          </cell>
          <cell r="E859">
            <v>5</v>
          </cell>
        </row>
        <row r="860">
          <cell r="A860" t="str">
            <v>SIS</v>
          </cell>
          <cell r="B860" t="str">
            <v>201220</v>
          </cell>
          <cell r="C860">
            <v>9</v>
          </cell>
          <cell r="D860">
            <v>5</v>
          </cell>
          <cell r="E860">
            <v>4</v>
          </cell>
        </row>
        <row r="861">
          <cell r="A861" t="str">
            <v>SIS</v>
          </cell>
          <cell r="B861" t="str">
            <v>201310</v>
          </cell>
          <cell r="C861">
            <v>14</v>
          </cell>
          <cell r="D861">
            <v>7</v>
          </cell>
          <cell r="E861">
            <v>7</v>
          </cell>
        </row>
        <row r="862">
          <cell r="A862" t="str">
            <v>SIS</v>
          </cell>
          <cell r="B862" t="str">
            <v>201320</v>
          </cell>
          <cell r="C862">
            <v>9</v>
          </cell>
          <cell r="D862">
            <v>4</v>
          </cell>
          <cell r="E862">
            <v>5</v>
          </cell>
        </row>
        <row r="863">
          <cell r="A863" t="str">
            <v>SIS</v>
          </cell>
          <cell r="B863" t="str">
            <v>201410</v>
          </cell>
          <cell r="C863">
            <v>16</v>
          </cell>
          <cell r="D863">
            <v>10</v>
          </cell>
          <cell r="E863">
            <v>6</v>
          </cell>
        </row>
        <row r="864">
          <cell r="A864" t="str">
            <v>SIS</v>
          </cell>
          <cell r="B864" t="str">
            <v>201420</v>
          </cell>
          <cell r="C864">
            <v>18</v>
          </cell>
          <cell r="D864">
            <v>12</v>
          </cell>
          <cell r="E864">
            <v>6</v>
          </cell>
        </row>
        <row r="865">
          <cell r="A865" t="str">
            <v>SIS</v>
          </cell>
          <cell r="B865" t="str">
            <v>201510</v>
          </cell>
          <cell r="C865">
            <v>35</v>
          </cell>
          <cell r="D865">
            <v>18</v>
          </cell>
          <cell r="E865">
            <v>17</v>
          </cell>
        </row>
        <row r="866">
          <cell r="A866" t="str">
            <v>SIS</v>
          </cell>
          <cell r="B866" t="str">
            <v>201520</v>
          </cell>
          <cell r="C866">
            <v>14</v>
          </cell>
          <cell r="D866">
            <v>4</v>
          </cell>
          <cell r="E866">
            <v>10</v>
          </cell>
        </row>
        <row r="867">
          <cell r="A867" t="str">
            <v>SIS</v>
          </cell>
          <cell r="B867" t="str">
            <v>201610</v>
          </cell>
          <cell r="C867">
            <v>53</v>
          </cell>
          <cell r="D867">
            <v>26</v>
          </cell>
          <cell r="E867">
            <v>26</v>
          </cell>
        </row>
        <row r="868">
          <cell r="A868" t="str">
            <v>SIS</v>
          </cell>
          <cell r="B868" t="str">
            <v>201620</v>
          </cell>
          <cell r="C868">
            <v>34</v>
          </cell>
          <cell r="D868">
            <v>20</v>
          </cell>
          <cell r="E868">
            <v>14</v>
          </cell>
        </row>
        <row r="869">
          <cell r="A869" t="str">
            <v>SIS</v>
          </cell>
          <cell r="B869" t="str">
            <v>201710</v>
          </cell>
          <cell r="C869">
            <v>67</v>
          </cell>
          <cell r="D869">
            <v>20</v>
          </cell>
          <cell r="E869">
            <v>46</v>
          </cell>
        </row>
        <row r="870">
          <cell r="A870" t="str">
            <v>SIS</v>
          </cell>
          <cell r="B870" t="str">
            <v>201720</v>
          </cell>
          <cell r="C870">
            <v>14</v>
          </cell>
          <cell r="D870">
            <v>4</v>
          </cell>
          <cell r="E870">
            <v>10</v>
          </cell>
        </row>
        <row r="871">
          <cell r="A871" t="str">
            <v>SIS</v>
          </cell>
          <cell r="B871" t="str">
            <v>201810</v>
          </cell>
          <cell r="C871">
            <v>33</v>
          </cell>
          <cell r="D871">
            <v>11</v>
          </cell>
          <cell r="E871">
            <v>19</v>
          </cell>
        </row>
        <row r="872">
          <cell r="A872" t="str">
            <v>SIS</v>
          </cell>
          <cell r="B872" t="str">
            <v>201820</v>
          </cell>
          <cell r="C872">
            <v>20</v>
          </cell>
          <cell r="D872">
            <v>6</v>
          </cell>
          <cell r="E872">
            <v>11</v>
          </cell>
        </row>
        <row r="873">
          <cell r="A873" t="str">
            <v>SIS</v>
          </cell>
          <cell r="B873" t="str">
            <v>201910</v>
          </cell>
          <cell r="C873">
            <v>20</v>
          </cell>
          <cell r="D873">
            <v>4</v>
          </cell>
          <cell r="E873">
            <v>12</v>
          </cell>
        </row>
        <row r="874">
          <cell r="A874" t="str">
            <v>SIS</v>
          </cell>
          <cell r="B874" t="str">
            <v>201920</v>
          </cell>
          <cell r="C874">
            <v>17</v>
          </cell>
          <cell r="D874">
            <v>8</v>
          </cell>
          <cell r="E874">
            <v>0</v>
          </cell>
        </row>
        <row r="875">
          <cell r="A875" t="str">
            <v>SIS</v>
          </cell>
          <cell r="B875" t="str">
            <v>202010</v>
          </cell>
          <cell r="C875">
            <v>40</v>
          </cell>
          <cell r="D875">
            <v>3</v>
          </cell>
          <cell r="E875">
            <v>0</v>
          </cell>
        </row>
        <row r="876">
          <cell r="A876" t="str">
            <v>SIS</v>
          </cell>
          <cell r="B876" t="str">
            <v>202020</v>
          </cell>
          <cell r="C876">
            <v>14</v>
          </cell>
          <cell r="D876">
            <v>3</v>
          </cell>
          <cell r="E876">
            <v>2</v>
          </cell>
        </row>
        <row r="877">
          <cell r="A877" t="str">
            <v>SIS</v>
          </cell>
          <cell r="B877" t="str">
            <v>202110</v>
          </cell>
          <cell r="C877">
            <v>26</v>
          </cell>
          <cell r="D877">
            <v>5</v>
          </cell>
          <cell r="E877">
            <v>0</v>
          </cell>
        </row>
        <row r="878">
          <cell r="A878" t="str">
            <v>SIS</v>
          </cell>
          <cell r="B878" t="str">
            <v>202120</v>
          </cell>
          <cell r="C878">
            <v>25</v>
          </cell>
          <cell r="D878">
            <v>6</v>
          </cell>
          <cell r="E878">
            <v>0</v>
          </cell>
        </row>
        <row r="879">
          <cell r="A879" t="str">
            <v>SIS</v>
          </cell>
          <cell r="B879" t="str">
            <v>202210</v>
          </cell>
          <cell r="C879">
            <v>58</v>
          </cell>
          <cell r="D879">
            <v>7</v>
          </cell>
          <cell r="E879">
            <v>0</v>
          </cell>
        </row>
        <row r="880">
          <cell r="A880" t="str">
            <v>SIS</v>
          </cell>
          <cell r="B880" t="str">
            <v>202220</v>
          </cell>
          <cell r="C880">
            <v>46</v>
          </cell>
          <cell r="D880">
            <v>4</v>
          </cell>
          <cell r="E880">
            <v>0</v>
          </cell>
        </row>
        <row r="881">
          <cell r="A881" t="str">
            <v>SIS</v>
          </cell>
          <cell r="B881" t="str">
            <v>202310</v>
          </cell>
          <cell r="C881">
            <v>60</v>
          </cell>
          <cell r="D881">
            <v>11</v>
          </cell>
          <cell r="E881">
            <v>0</v>
          </cell>
        </row>
        <row r="882">
          <cell r="A882" t="str">
            <v>SIS</v>
          </cell>
          <cell r="B882" t="str">
            <v>202320</v>
          </cell>
          <cell r="C882">
            <v>61</v>
          </cell>
          <cell r="D882">
            <v>2</v>
          </cell>
          <cell r="E882">
            <v>0</v>
          </cell>
        </row>
        <row r="883">
          <cell r="A883" t="str">
            <v>SOC</v>
          </cell>
          <cell r="B883" t="str">
            <v>200620</v>
          </cell>
          <cell r="C883">
            <v>3</v>
          </cell>
          <cell r="D883">
            <v>3</v>
          </cell>
          <cell r="E883">
            <v>0</v>
          </cell>
        </row>
        <row r="884">
          <cell r="A884" t="str">
            <v>SOC</v>
          </cell>
          <cell r="B884" t="str">
            <v>200720</v>
          </cell>
          <cell r="C884">
            <v>2</v>
          </cell>
          <cell r="D884">
            <v>1</v>
          </cell>
          <cell r="E884">
            <v>1</v>
          </cell>
        </row>
        <row r="885">
          <cell r="A885" t="str">
            <v>SOC</v>
          </cell>
          <cell r="B885" t="str">
            <v>200810</v>
          </cell>
          <cell r="C885">
            <v>4</v>
          </cell>
          <cell r="D885">
            <v>3</v>
          </cell>
          <cell r="E885">
            <v>1</v>
          </cell>
        </row>
        <row r="886">
          <cell r="A886" t="str">
            <v>SOC</v>
          </cell>
          <cell r="B886" t="str">
            <v>200820</v>
          </cell>
          <cell r="C886">
            <v>8</v>
          </cell>
          <cell r="D886">
            <v>3</v>
          </cell>
          <cell r="E886">
            <v>5</v>
          </cell>
        </row>
        <row r="887">
          <cell r="A887" t="str">
            <v>SOC</v>
          </cell>
          <cell r="B887" t="str">
            <v>200910</v>
          </cell>
          <cell r="C887">
            <v>2</v>
          </cell>
          <cell r="D887">
            <v>1</v>
          </cell>
          <cell r="E887">
            <v>1</v>
          </cell>
        </row>
        <row r="888">
          <cell r="A888" t="str">
            <v>SOC</v>
          </cell>
          <cell r="B888" t="str">
            <v>200920</v>
          </cell>
          <cell r="C888">
            <v>3</v>
          </cell>
          <cell r="D888">
            <v>2</v>
          </cell>
          <cell r="E888">
            <v>1</v>
          </cell>
        </row>
        <row r="889">
          <cell r="A889" t="str">
            <v>SOC</v>
          </cell>
          <cell r="B889" t="str">
            <v>201010</v>
          </cell>
          <cell r="C889">
            <v>3</v>
          </cell>
          <cell r="D889">
            <v>1</v>
          </cell>
          <cell r="E889">
            <v>2</v>
          </cell>
        </row>
        <row r="890">
          <cell r="A890" t="str">
            <v>SOC</v>
          </cell>
          <cell r="B890" t="str">
            <v>201020</v>
          </cell>
          <cell r="C890">
            <v>1</v>
          </cell>
          <cell r="D890">
            <v>0</v>
          </cell>
          <cell r="E890">
            <v>1</v>
          </cell>
        </row>
        <row r="891">
          <cell r="A891" t="str">
            <v>SOC</v>
          </cell>
          <cell r="B891" t="str">
            <v>201120</v>
          </cell>
          <cell r="C891">
            <v>5</v>
          </cell>
          <cell r="D891">
            <v>2</v>
          </cell>
          <cell r="E891">
            <v>3</v>
          </cell>
        </row>
        <row r="892">
          <cell r="A892" t="str">
            <v>SOC</v>
          </cell>
          <cell r="B892" t="str">
            <v>201210</v>
          </cell>
          <cell r="C892">
            <v>2</v>
          </cell>
          <cell r="D892">
            <v>1</v>
          </cell>
          <cell r="E892">
            <v>1</v>
          </cell>
        </row>
        <row r="893">
          <cell r="A893" t="str">
            <v>SOC</v>
          </cell>
          <cell r="B893" t="str">
            <v>201220</v>
          </cell>
          <cell r="C893">
            <v>10</v>
          </cell>
          <cell r="D893">
            <v>2</v>
          </cell>
          <cell r="E893">
            <v>8</v>
          </cell>
        </row>
        <row r="894">
          <cell r="A894" t="str">
            <v>SOC</v>
          </cell>
          <cell r="B894" t="str">
            <v>201310</v>
          </cell>
          <cell r="C894">
            <v>5</v>
          </cell>
          <cell r="D894">
            <v>2</v>
          </cell>
          <cell r="E894">
            <v>3</v>
          </cell>
        </row>
        <row r="895">
          <cell r="A895" t="str">
            <v>SOC</v>
          </cell>
          <cell r="B895" t="str">
            <v>201320</v>
          </cell>
          <cell r="C895">
            <v>7</v>
          </cell>
          <cell r="D895">
            <v>0</v>
          </cell>
          <cell r="E895">
            <v>7</v>
          </cell>
        </row>
        <row r="896">
          <cell r="A896" t="str">
            <v>SOC</v>
          </cell>
          <cell r="B896" t="str">
            <v>201410</v>
          </cell>
          <cell r="C896">
            <v>5</v>
          </cell>
          <cell r="D896">
            <v>3</v>
          </cell>
          <cell r="E896">
            <v>2</v>
          </cell>
        </row>
        <row r="897">
          <cell r="A897" t="str">
            <v>SOC</v>
          </cell>
          <cell r="B897" t="str">
            <v>201420</v>
          </cell>
          <cell r="C897">
            <v>2</v>
          </cell>
          <cell r="D897">
            <v>1</v>
          </cell>
          <cell r="E897">
            <v>1</v>
          </cell>
        </row>
        <row r="898">
          <cell r="A898" t="str">
            <v>SOC</v>
          </cell>
          <cell r="B898" t="str">
            <v>201510</v>
          </cell>
          <cell r="C898">
            <v>12</v>
          </cell>
          <cell r="D898">
            <v>2</v>
          </cell>
          <cell r="E898">
            <v>8</v>
          </cell>
        </row>
        <row r="899">
          <cell r="A899" t="str">
            <v>SOC</v>
          </cell>
          <cell r="B899" t="str">
            <v>201520</v>
          </cell>
          <cell r="C899">
            <v>9</v>
          </cell>
          <cell r="D899">
            <v>4</v>
          </cell>
          <cell r="E899">
            <v>5</v>
          </cell>
        </row>
        <row r="900">
          <cell r="A900" t="str">
            <v>SOC</v>
          </cell>
          <cell r="B900" t="str">
            <v>201610</v>
          </cell>
          <cell r="C900">
            <v>5</v>
          </cell>
          <cell r="D900">
            <v>2</v>
          </cell>
          <cell r="E900">
            <v>3</v>
          </cell>
        </row>
        <row r="901">
          <cell r="A901" t="str">
            <v>SOC</v>
          </cell>
          <cell r="B901" t="str">
            <v>201620</v>
          </cell>
          <cell r="C901">
            <v>14</v>
          </cell>
          <cell r="D901">
            <v>4</v>
          </cell>
          <cell r="E901">
            <v>9</v>
          </cell>
        </row>
        <row r="902">
          <cell r="A902" t="str">
            <v>SOC</v>
          </cell>
          <cell r="B902" t="str">
            <v>201710</v>
          </cell>
          <cell r="C902">
            <v>12</v>
          </cell>
          <cell r="D902">
            <v>2</v>
          </cell>
          <cell r="E902">
            <v>10</v>
          </cell>
        </row>
        <row r="903">
          <cell r="A903" t="str">
            <v>SOC</v>
          </cell>
          <cell r="B903" t="str">
            <v>201720</v>
          </cell>
          <cell r="C903">
            <v>2</v>
          </cell>
          <cell r="D903">
            <v>1</v>
          </cell>
          <cell r="E903">
            <v>1</v>
          </cell>
        </row>
        <row r="904">
          <cell r="A904" t="str">
            <v>SOC</v>
          </cell>
          <cell r="B904" t="str">
            <v>201810</v>
          </cell>
          <cell r="C904">
            <v>3</v>
          </cell>
          <cell r="D904">
            <v>0</v>
          </cell>
          <cell r="E904">
            <v>3</v>
          </cell>
        </row>
        <row r="905">
          <cell r="A905" t="str">
            <v>SOC</v>
          </cell>
          <cell r="B905" t="str">
            <v>201820</v>
          </cell>
          <cell r="C905">
            <v>3</v>
          </cell>
          <cell r="D905">
            <v>2</v>
          </cell>
          <cell r="E905">
            <v>1</v>
          </cell>
        </row>
        <row r="906">
          <cell r="A906" t="str">
            <v>SOC</v>
          </cell>
          <cell r="B906" t="str">
            <v>201910</v>
          </cell>
          <cell r="C906">
            <v>2</v>
          </cell>
          <cell r="D906">
            <v>1</v>
          </cell>
          <cell r="E906">
            <v>1</v>
          </cell>
        </row>
        <row r="907">
          <cell r="A907" t="str">
            <v>SOC</v>
          </cell>
          <cell r="B907" t="str">
            <v>201920</v>
          </cell>
          <cell r="C907">
            <v>4</v>
          </cell>
          <cell r="D907">
            <v>1</v>
          </cell>
          <cell r="E907">
            <v>0</v>
          </cell>
        </row>
        <row r="908">
          <cell r="A908" t="str">
            <v>SOC</v>
          </cell>
          <cell r="B908" t="str">
            <v>202010</v>
          </cell>
          <cell r="C908">
            <v>1</v>
          </cell>
          <cell r="D908">
            <v>0</v>
          </cell>
          <cell r="E908">
            <v>0</v>
          </cell>
        </row>
        <row r="909">
          <cell r="A909" t="str">
            <v>SOC</v>
          </cell>
          <cell r="B909" t="str">
            <v>202020</v>
          </cell>
          <cell r="C909">
            <v>5</v>
          </cell>
          <cell r="D909">
            <v>0</v>
          </cell>
          <cell r="E909">
            <v>1</v>
          </cell>
        </row>
        <row r="910">
          <cell r="A910" t="str">
            <v>SOC</v>
          </cell>
          <cell r="B910" t="str">
            <v>202110</v>
          </cell>
          <cell r="C910">
            <v>1</v>
          </cell>
          <cell r="D910">
            <v>0</v>
          </cell>
          <cell r="E910">
            <v>0</v>
          </cell>
        </row>
        <row r="911">
          <cell r="A911" t="str">
            <v>SOC</v>
          </cell>
          <cell r="B911" t="str">
            <v>202120</v>
          </cell>
          <cell r="C911">
            <v>3</v>
          </cell>
          <cell r="D911">
            <v>0</v>
          </cell>
          <cell r="E911">
            <v>0</v>
          </cell>
        </row>
        <row r="912">
          <cell r="A912" t="str">
            <v>SOC</v>
          </cell>
          <cell r="B912" t="str">
            <v>202210</v>
          </cell>
          <cell r="C912">
            <v>6</v>
          </cell>
          <cell r="D912">
            <v>0</v>
          </cell>
          <cell r="E912">
            <v>0</v>
          </cell>
        </row>
        <row r="913">
          <cell r="A913" t="str">
            <v>SOC</v>
          </cell>
          <cell r="B913" t="str">
            <v>202310</v>
          </cell>
          <cell r="C913">
            <v>7</v>
          </cell>
          <cell r="D913">
            <v>0</v>
          </cell>
          <cell r="E913">
            <v>0</v>
          </cell>
        </row>
        <row r="914">
          <cell r="A914" t="str">
            <v>SOC</v>
          </cell>
          <cell r="B914" t="str">
            <v>202320</v>
          </cell>
          <cell r="C914">
            <v>2</v>
          </cell>
          <cell r="D914">
            <v>0</v>
          </cell>
          <cell r="E914">
            <v>0</v>
          </cell>
        </row>
        <row r="915">
          <cell r="A915" t="str">
            <v>TEL</v>
          </cell>
          <cell r="B915" t="str">
            <v>199820</v>
          </cell>
          <cell r="C915">
            <v>15</v>
          </cell>
          <cell r="D915">
            <v>8</v>
          </cell>
          <cell r="E915">
            <v>7</v>
          </cell>
        </row>
        <row r="916">
          <cell r="A916" t="str">
            <v>TEL</v>
          </cell>
          <cell r="B916" t="str">
            <v>199910</v>
          </cell>
          <cell r="C916">
            <v>10</v>
          </cell>
          <cell r="D916">
            <v>6</v>
          </cell>
          <cell r="E916">
            <v>4</v>
          </cell>
        </row>
        <row r="917">
          <cell r="A917" t="str">
            <v>TEL</v>
          </cell>
          <cell r="B917" t="str">
            <v>199920</v>
          </cell>
          <cell r="C917">
            <v>21</v>
          </cell>
          <cell r="D917">
            <v>13</v>
          </cell>
          <cell r="E917">
            <v>8</v>
          </cell>
        </row>
        <row r="918">
          <cell r="A918" t="str">
            <v>TEL</v>
          </cell>
          <cell r="B918" t="str">
            <v>200010</v>
          </cell>
          <cell r="C918">
            <v>12</v>
          </cell>
          <cell r="D918">
            <v>7</v>
          </cell>
          <cell r="E918">
            <v>5</v>
          </cell>
        </row>
        <row r="919">
          <cell r="A919" t="str">
            <v>TEL</v>
          </cell>
          <cell r="B919" t="str">
            <v>200020</v>
          </cell>
          <cell r="C919">
            <v>20</v>
          </cell>
          <cell r="D919">
            <v>13</v>
          </cell>
          <cell r="E919">
            <v>7</v>
          </cell>
        </row>
        <row r="920">
          <cell r="A920" t="str">
            <v>TEL</v>
          </cell>
          <cell r="B920" t="str">
            <v>200110</v>
          </cell>
          <cell r="C920">
            <v>5</v>
          </cell>
          <cell r="D920">
            <v>3</v>
          </cell>
          <cell r="E920">
            <v>2</v>
          </cell>
        </row>
        <row r="921">
          <cell r="A921" t="str">
            <v>TEL</v>
          </cell>
          <cell r="B921" t="str">
            <v>200120</v>
          </cell>
          <cell r="C921">
            <v>14</v>
          </cell>
          <cell r="D921">
            <v>10</v>
          </cell>
          <cell r="E921">
            <v>4</v>
          </cell>
        </row>
        <row r="922">
          <cell r="A922" t="str">
            <v>TEL</v>
          </cell>
          <cell r="B922" t="str">
            <v>200210</v>
          </cell>
          <cell r="C922">
            <v>6</v>
          </cell>
          <cell r="D922">
            <v>4</v>
          </cell>
          <cell r="E922">
            <v>2</v>
          </cell>
        </row>
        <row r="923">
          <cell r="A923" t="str">
            <v>TEL</v>
          </cell>
          <cell r="B923" t="str">
            <v>200220</v>
          </cell>
          <cell r="C923">
            <v>15</v>
          </cell>
          <cell r="D923">
            <v>8</v>
          </cell>
          <cell r="E923">
            <v>7</v>
          </cell>
        </row>
        <row r="924">
          <cell r="A924" t="str">
            <v>TEL</v>
          </cell>
          <cell r="B924" t="str">
            <v>200310</v>
          </cell>
          <cell r="C924">
            <v>6</v>
          </cell>
          <cell r="D924">
            <v>3</v>
          </cell>
          <cell r="E924">
            <v>3</v>
          </cell>
        </row>
        <row r="925">
          <cell r="A925" t="str">
            <v>TEL</v>
          </cell>
          <cell r="B925" t="str">
            <v>200320</v>
          </cell>
          <cell r="C925">
            <v>16</v>
          </cell>
          <cell r="D925">
            <v>11</v>
          </cell>
          <cell r="E925">
            <v>5</v>
          </cell>
        </row>
        <row r="926">
          <cell r="A926" t="str">
            <v>TEL</v>
          </cell>
          <cell r="B926" t="str">
            <v>200410</v>
          </cell>
          <cell r="C926">
            <v>9</v>
          </cell>
          <cell r="D926">
            <v>6</v>
          </cell>
          <cell r="E926">
            <v>3</v>
          </cell>
        </row>
        <row r="927">
          <cell r="A927" t="str">
            <v>TEL</v>
          </cell>
          <cell r="B927" t="str">
            <v>200420</v>
          </cell>
          <cell r="C927">
            <v>14</v>
          </cell>
          <cell r="D927">
            <v>9</v>
          </cell>
          <cell r="E927">
            <v>5</v>
          </cell>
        </row>
        <row r="928">
          <cell r="A928" t="str">
            <v>TEL</v>
          </cell>
          <cell r="B928" t="str">
            <v>200510</v>
          </cell>
          <cell r="C928">
            <v>9</v>
          </cell>
          <cell r="D928">
            <v>6</v>
          </cell>
          <cell r="E928">
            <v>3</v>
          </cell>
        </row>
        <row r="929">
          <cell r="A929" t="str">
            <v>TEL</v>
          </cell>
          <cell r="B929" t="str">
            <v>200520</v>
          </cell>
          <cell r="C929">
            <v>12</v>
          </cell>
          <cell r="D929">
            <v>10</v>
          </cell>
          <cell r="E929">
            <v>2</v>
          </cell>
        </row>
        <row r="930">
          <cell r="A930" t="str">
            <v>TEL</v>
          </cell>
          <cell r="B930" t="str">
            <v>200610</v>
          </cell>
          <cell r="C930">
            <v>11</v>
          </cell>
          <cell r="D930">
            <v>5</v>
          </cell>
          <cell r="E930">
            <v>6</v>
          </cell>
        </row>
        <row r="931">
          <cell r="A931" t="str">
            <v>TEL</v>
          </cell>
          <cell r="B931" t="str">
            <v>200620</v>
          </cell>
          <cell r="C931">
            <v>16</v>
          </cell>
          <cell r="D931">
            <v>12</v>
          </cell>
          <cell r="E931">
            <v>4</v>
          </cell>
        </row>
        <row r="932">
          <cell r="A932" t="str">
            <v>TEL</v>
          </cell>
          <cell r="B932" t="str">
            <v>200710</v>
          </cell>
          <cell r="C932">
            <v>6</v>
          </cell>
          <cell r="D932">
            <v>4</v>
          </cell>
          <cell r="E932">
            <v>2</v>
          </cell>
        </row>
        <row r="933">
          <cell r="A933" t="str">
            <v>TEL</v>
          </cell>
          <cell r="B933" t="str">
            <v>200720</v>
          </cell>
          <cell r="C933">
            <v>18</v>
          </cell>
          <cell r="D933">
            <v>8</v>
          </cell>
          <cell r="E933">
            <v>10</v>
          </cell>
        </row>
        <row r="934">
          <cell r="A934" t="str">
            <v>TEL</v>
          </cell>
          <cell r="B934" t="str">
            <v>200810</v>
          </cell>
          <cell r="C934">
            <v>4</v>
          </cell>
          <cell r="D934">
            <v>2</v>
          </cell>
          <cell r="E934">
            <v>2</v>
          </cell>
        </row>
        <row r="935">
          <cell r="A935" t="str">
            <v>TEL</v>
          </cell>
          <cell r="B935" t="str">
            <v>200820</v>
          </cell>
          <cell r="C935">
            <v>18</v>
          </cell>
          <cell r="D935">
            <v>11</v>
          </cell>
          <cell r="E935">
            <v>7</v>
          </cell>
        </row>
        <row r="936">
          <cell r="A936" t="str">
            <v>TEL</v>
          </cell>
          <cell r="B936" t="str">
            <v>200910</v>
          </cell>
          <cell r="C936">
            <v>6</v>
          </cell>
          <cell r="D936">
            <v>5</v>
          </cell>
          <cell r="E936">
            <v>1</v>
          </cell>
        </row>
        <row r="937">
          <cell r="A937" t="str">
            <v>TEL</v>
          </cell>
          <cell r="B937" t="str">
            <v>200920</v>
          </cell>
          <cell r="C937">
            <v>9</v>
          </cell>
          <cell r="D937">
            <v>6</v>
          </cell>
          <cell r="E937">
            <v>3</v>
          </cell>
        </row>
        <row r="938">
          <cell r="A938" t="str">
            <v>TEL</v>
          </cell>
          <cell r="B938" t="str">
            <v>201010</v>
          </cell>
          <cell r="C938">
            <v>8</v>
          </cell>
          <cell r="D938">
            <v>4</v>
          </cell>
          <cell r="E938">
            <v>4</v>
          </cell>
        </row>
        <row r="939">
          <cell r="A939" t="str">
            <v>TEL</v>
          </cell>
          <cell r="B939" t="str">
            <v>201020</v>
          </cell>
          <cell r="C939">
            <v>8</v>
          </cell>
          <cell r="D939">
            <v>3</v>
          </cell>
          <cell r="E939">
            <v>5</v>
          </cell>
        </row>
        <row r="940">
          <cell r="A940" t="str">
            <v>TEL</v>
          </cell>
          <cell r="B940" t="str">
            <v>201110</v>
          </cell>
          <cell r="C940">
            <v>7</v>
          </cell>
          <cell r="D940">
            <v>3</v>
          </cell>
          <cell r="E940">
            <v>4</v>
          </cell>
        </row>
        <row r="941">
          <cell r="A941" t="str">
            <v>TEL</v>
          </cell>
          <cell r="B941" t="str">
            <v>201120</v>
          </cell>
          <cell r="C941">
            <v>11</v>
          </cell>
          <cell r="D941">
            <v>7</v>
          </cell>
          <cell r="E941">
            <v>4</v>
          </cell>
        </row>
        <row r="942">
          <cell r="A942" t="str">
            <v>TEL</v>
          </cell>
          <cell r="B942" t="str">
            <v>201210</v>
          </cell>
          <cell r="C942">
            <v>11</v>
          </cell>
          <cell r="D942">
            <v>5</v>
          </cell>
          <cell r="E942">
            <v>6</v>
          </cell>
        </row>
        <row r="943">
          <cell r="A943" t="str">
            <v>TEL</v>
          </cell>
          <cell r="B943" t="str">
            <v>201220</v>
          </cell>
          <cell r="C943">
            <v>6</v>
          </cell>
          <cell r="D943">
            <v>1</v>
          </cell>
          <cell r="E943">
            <v>5</v>
          </cell>
        </row>
        <row r="944">
          <cell r="A944" t="str">
            <v>TEL</v>
          </cell>
          <cell r="B944" t="str">
            <v>201310</v>
          </cell>
          <cell r="C944">
            <v>11</v>
          </cell>
          <cell r="D944">
            <v>8</v>
          </cell>
          <cell r="E944">
            <v>3</v>
          </cell>
        </row>
        <row r="945">
          <cell r="A945" t="str">
            <v>TEL</v>
          </cell>
          <cell r="B945" t="str">
            <v>201320</v>
          </cell>
          <cell r="C945">
            <v>8</v>
          </cell>
          <cell r="D945">
            <v>5</v>
          </cell>
          <cell r="E945">
            <v>3</v>
          </cell>
        </row>
        <row r="946">
          <cell r="A946" t="str">
            <v>TEL</v>
          </cell>
          <cell r="B946" t="str">
            <v>201410</v>
          </cell>
          <cell r="C946">
            <v>10</v>
          </cell>
          <cell r="D946">
            <v>5</v>
          </cell>
          <cell r="E946">
            <v>5</v>
          </cell>
        </row>
        <row r="947">
          <cell r="A947" t="str">
            <v>TEL</v>
          </cell>
          <cell r="B947" t="str">
            <v>201420</v>
          </cell>
          <cell r="C947">
            <v>10</v>
          </cell>
          <cell r="D947">
            <v>4</v>
          </cell>
          <cell r="E947">
            <v>6</v>
          </cell>
        </row>
        <row r="948">
          <cell r="A948" t="str">
            <v>TEL</v>
          </cell>
          <cell r="B948" t="str">
            <v>201510</v>
          </cell>
          <cell r="C948">
            <v>15</v>
          </cell>
          <cell r="D948">
            <v>6</v>
          </cell>
          <cell r="E948">
            <v>9</v>
          </cell>
        </row>
        <row r="949">
          <cell r="A949" t="str">
            <v>TEL</v>
          </cell>
          <cell r="B949" t="str">
            <v>201520</v>
          </cell>
          <cell r="C949">
            <v>7</v>
          </cell>
          <cell r="D949">
            <v>2</v>
          </cell>
          <cell r="E949">
            <v>5</v>
          </cell>
        </row>
        <row r="950">
          <cell r="A950" t="str">
            <v>TEL</v>
          </cell>
          <cell r="B950" t="str">
            <v>201610</v>
          </cell>
          <cell r="C950">
            <v>21</v>
          </cell>
          <cell r="D950">
            <v>8</v>
          </cell>
          <cell r="E950">
            <v>13</v>
          </cell>
        </row>
        <row r="951">
          <cell r="A951" t="str">
            <v>TEL</v>
          </cell>
          <cell r="B951" t="str">
            <v>201620</v>
          </cell>
          <cell r="C951">
            <v>5</v>
          </cell>
          <cell r="D951">
            <v>2</v>
          </cell>
          <cell r="E951">
            <v>3</v>
          </cell>
        </row>
        <row r="952">
          <cell r="A952" t="str">
            <v>TEL</v>
          </cell>
          <cell r="B952" t="str">
            <v>201710</v>
          </cell>
          <cell r="C952">
            <v>25</v>
          </cell>
          <cell r="D952">
            <v>12</v>
          </cell>
          <cell r="E952">
            <v>12</v>
          </cell>
        </row>
        <row r="953">
          <cell r="A953" t="str">
            <v>TEL</v>
          </cell>
          <cell r="B953" t="str">
            <v>201720</v>
          </cell>
          <cell r="C953">
            <v>4</v>
          </cell>
          <cell r="D953">
            <v>2</v>
          </cell>
          <cell r="E953">
            <v>0</v>
          </cell>
        </row>
        <row r="954">
          <cell r="A954" t="str">
            <v>TEL</v>
          </cell>
          <cell r="B954" t="str">
            <v>201810</v>
          </cell>
          <cell r="C954">
            <v>8</v>
          </cell>
          <cell r="D954">
            <v>4</v>
          </cell>
          <cell r="E954">
            <v>3</v>
          </cell>
        </row>
        <row r="955">
          <cell r="A955" t="str">
            <v>TEL</v>
          </cell>
          <cell r="B955" t="str">
            <v>201820</v>
          </cell>
          <cell r="C955">
            <v>8</v>
          </cell>
          <cell r="D955">
            <v>4</v>
          </cell>
          <cell r="E955">
            <v>3</v>
          </cell>
        </row>
        <row r="956">
          <cell r="A956" t="str">
            <v>TEL</v>
          </cell>
          <cell r="B956" t="str">
            <v>201910</v>
          </cell>
          <cell r="C956">
            <v>10</v>
          </cell>
          <cell r="D956">
            <v>3</v>
          </cell>
          <cell r="E956">
            <v>7</v>
          </cell>
        </row>
        <row r="957">
          <cell r="A957" t="str">
            <v>TEL</v>
          </cell>
          <cell r="B957" t="str">
            <v>201920</v>
          </cell>
          <cell r="C957">
            <v>6</v>
          </cell>
          <cell r="D957">
            <v>1</v>
          </cell>
          <cell r="E957">
            <v>1</v>
          </cell>
        </row>
        <row r="958">
          <cell r="A958" t="str">
            <v>TEL</v>
          </cell>
          <cell r="B958" t="str">
            <v>202010</v>
          </cell>
          <cell r="C958">
            <v>17</v>
          </cell>
          <cell r="D958">
            <v>2</v>
          </cell>
          <cell r="E958">
            <v>0</v>
          </cell>
        </row>
        <row r="959">
          <cell r="A959" t="str">
            <v>TEL</v>
          </cell>
          <cell r="B959" t="str">
            <v>202020</v>
          </cell>
          <cell r="C959">
            <v>4</v>
          </cell>
          <cell r="D959">
            <v>0</v>
          </cell>
          <cell r="E959">
            <v>1</v>
          </cell>
        </row>
        <row r="960">
          <cell r="A960" t="str">
            <v>TEL</v>
          </cell>
          <cell r="B960" t="str">
            <v>202110</v>
          </cell>
          <cell r="C960">
            <v>5</v>
          </cell>
          <cell r="D960">
            <v>0</v>
          </cell>
          <cell r="E960">
            <v>0</v>
          </cell>
        </row>
        <row r="961">
          <cell r="A961" t="str">
            <v>TEL</v>
          </cell>
          <cell r="B961" t="str">
            <v>202120</v>
          </cell>
          <cell r="C961">
            <v>3</v>
          </cell>
          <cell r="D961">
            <v>0</v>
          </cell>
          <cell r="E961">
            <v>0</v>
          </cell>
        </row>
        <row r="962">
          <cell r="A962" t="str">
            <v>TEL</v>
          </cell>
          <cell r="B962" t="str">
            <v>202210</v>
          </cell>
          <cell r="C962">
            <v>11</v>
          </cell>
          <cell r="D962">
            <v>2</v>
          </cell>
          <cell r="E962">
            <v>0</v>
          </cell>
        </row>
        <row r="963">
          <cell r="A963" t="str">
            <v>TEL</v>
          </cell>
          <cell r="B963" t="str">
            <v>202220</v>
          </cell>
          <cell r="C963">
            <v>7</v>
          </cell>
          <cell r="D963">
            <v>3</v>
          </cell>
          <cell r="E963">
            <v>0</v>
          </cell>
        </row>
        <row r="964">
          <cell r="A964" t="str">
            <v>TEL</v>
          </cell>
          <cell r="B964" t="str">
            <v>202310</v>
          </cell>
          <cell r="C964">
            <v>17</v>
          </cell>
          <cell r="D964">
            <v>1</v>
          </cell>
          <cell r="E964">
            <v>0</v>
          </cell>
        </row>
        <row r="965">
          <cell r="A965" t="str">
            <v>TEL</v>
          </cell>
          <cell r="B965" t="str">
            <v>202320</v>
          </cell>
          <cell r="C965">
            <v>9</v>
          </cell>
          <cell r="D965">
            <v>0</v>
          </cell>
          <cell r="E965">
            <v>0</v>
          </cell>
        </row>
      </sheetData>
      <sheetData sheetId="10">
        <row r="1">
          <cell r="K1"/>
          <cell r="L1"/>
          <cell r="M1"/>
          <cell r="O1"/>
        </row>
        <row r="2">
          <cell r="K2"/>
          <cell r="L2"/>
          <cell r="M2"/>
          <cell r="O2"/>
        </row>
        <row r="3">
          <cell r="K3"/>
          <cell r="L3"/>
          <cell r="M3"/>
          <cell r="O3"/>
        </row>
        <row r="5">
          <cell r="K5" t="str">
            <v xml:space="preserve">Gráfico. Porcentaje de retiro por facultad y  por cohorte segundos períodos </v>
          </cell>
        </row>
        <row r="26">
          <cell r="K26" t="str">
            <v>Cohortes períodos</v>
          </cell>
          <cell r="L26" t="str">
            <v>Número estudiantes</v>
          </cell>
          <cell r="M26" t="str">
            <v>retirados</v>
          </cell>
          <cell r="O26" t="str">
            <v>Graduados</v>
          </cell>
        </row>
        <row r="27">
          <cell r="K27">
            <v>200020</v>
          </cell>
          <cell r="L27">
            <v>290</v>
          </cell>
          <cell r="M27">
            <v>145</v>
          </cell>
          <cell r="O27">
            <v>145</v>
          </cell>
        </row>
        <row r="28">
          <cell r="K28">
            <v>200120</v>
          </cell>
          <cell r="L28">
            <v>241</v>
          </cell>
          <cell r="M28">
            <v>116</v>
          </cell>
          <cell r="O28">
            <v>124</v>
          </cell>
        </row>
        <row r="29">
          <cell r="K29">
            <v>200220</v>
          </cell>
          <cell r="L29">
            <v>206</v>
          </cell>
          <cell r="M29">
            <v>109</v>
          </cell>
          <cell r="O29">
            <v>97</v>
          </cell>
        </row>
        <row r="30">
          <cell r="K30">
            <v>200320</v>
          </cell>
          <cell r="L30">
            <v>316</v>
          </cell>
          <cell r="M30">
            <v>177</v>
          </cell>
          <cell r="O30">
            <v>139</v>
          </cell>
        </row>
        <row r="31">
          <cell r="K31">
            <v>200420</v>
          </cell>
          <cell r="L31">
            <v>331</v>
          </cell>
          <cell r="M31">
            <v>193</v>
          </cell>
          <cell r="O31">
            <v>138</v>
          </cell>
        </row>
        <row r="32">
          <cell r="K32">
            <v>200520</v>
          </cell>
          <cell r="L32">
            <v>459</v>
          </cell>
          <cell r="M32">
            <v>240</v>
          </cell>
          <cell r="O32">
            <v>219</v>
          </cell>
        </row>
        <row r="33">
          <cell r="K33">
            <v>200620</v>
          </cell>
          <cell r="L33">
            <v>524</v>
          </cell>
          <cell r="M33">
            <v>256</v>
          </cell>
          <cell r="O33">
            <v>268</v>
          </cell>
        </row>
        <row r="34">
          <cell r="K34">
            <v>200720</v>
          </cell>
          <cell r="L34">
            <v>537</v>
          </cell>
          <cell r="M34">
            <v>248</v>
          </cell>
          <cell r="O34">
            <v>289</v>
          </cell>
        </row>
        <row r="35">
          <cell r="K35">
            <v>200820</v>
          </cell>
          <cell r="L35">
            <v>451</v>
          </cell>
          <cell r="M35">
            <v>216</v>
          </cell>
          <cell r="O35">
            <v>234</v>
          </cell>
        </row>
        <row r="36">
          <cell r="K36">
            <v>200920</v>
          </cell>
          <cell r="L36">
            <v>382</v>
          </cell>
          <cell r="M36">
            <v>154</v>
          </cell>
          <cell r="O36">
            <v>228</v>
          </cell>
        </row>
        <row r="37">
          <cell r="K37">
            <v>201020</v>
          </cell>
          <cell r="L37">
            <v>326</v>
          </cell>
          <cell r="M37">
            <v>124</v>
          </cell>
          <cell r="O37">
            <v>201</v>
          </cell>
        </row>
        <row r="38">
          <cell r="K38">
            <v>201120</v>
          </cell>
          <cell r="L38">
            <v>350</v>
          </cell>
          <cell r="M38">
            <v>134</v>
          </cell>
          <cell r="O38">
            <v>215</v>
          </cell>
        </row>
        <row r="39">
          <cell r="K39">
            <v>201220</v>
          </cell>
          <cell r="L39">
            <v>332</v>
          </cell>
          <cell r="M39">
            <v>122</v>
          </cell>
          <cell r="O39">
            <v>209</v>
          </cell>
        </row>
        <row r="40">
          <cell r="K40">
            <v>201320</v>
          </cell>
          <cell r="L40">
            <v>288</v>
          </cell>
          <cell r="M40">
            <v>116</v>
          </cell>
          <cell r="O40">
            <v>171</v>
          </cell>
        </row>
        <row r="41">
          <cell r="K41">
            <v>201420</v>
          </cell>
          <cell r="L41">
            <v>364</v>
          </cell>
          <cell r="M41">
            <v>147</v>
          </cell>
          <cell r="O41">
            <v>216</v>
          </cell>
        </row>
        <row r="42">
          <cell r="K42">
            <v>201520</v>
          </cell>
          <cell r="L42">
            <v>289</v>
          </cell>
          <cell r="M42">
            <v>86</v>
          </cell>
          <cell r="O42">
            <v>201</v>
          </cell>
        </row>
        <row r="43">
          <cell r="K43">
            <v>201620</v>
          </cell>
          <cell r="L43">
            <v>292</v>
          </cell>
          <cell r="M43">
            <v>94</v>
          </cell>
          <cell r="O43">
            <v>194</v>
          </cell>
        </row>
        <row r="44">
          <cell r="K44">
            <v>201720</v>
          </cell>
          <cell r="L44">
            <v>252</v>
          </cell>
          <cell r="M44">
            <v>71</v>
          </cell>
          <cell r="O44">
            <v>165</v>
          </cell>
        </row>
        <row r="45">
          <cell r="K45">
            <v>201820</v>
          </cell>
          <cell r="L45">
            <v>199</v>
          </cell>
          <cell r="M45">
            <v>60</v>
          </cell>
          <cell r="O45">
            <v>105</v>
          </cell>
        </row>
        <row r="46">
          <cell r="K46">
            <v>201920</v>
          </cell>
          <cell r="L46">
            <v>197</v>
          </cell>
          <cell r="M46">
            <v>52</v>
          </cell>
          <cell r="O46">
            <v>18</v>
          </cell>
        </row>
        <row r="47">
          <cell r="K47">
            <v>202020</v>
          </cell>
          <cell r="L47">
            <v>190</v>
          </cell>
          <cell r="M47">
            <v>39</v>
          </cell>
          <cell r="O47">
            <v>9</v>
          </cell>
        </row>
        <row r="48">
          <cell r="K48">
            <v>202120</v>
          </cell>
          <cell r="L48">
            <v>142</v>
          </cell>
          <cell r="M48">
            <v>31</v>
          </cell>
          <cell r="O48">
            <v>0</v>
          </cell>
        </row>
        <row r="49">
          <cell r="K49">
            <v>202220</v>
          </cell>
          <cell r="L49">
            <v>175</v>
          </cell>
          <cell r="M49">
            <v>40</v>
          </cell>
          <cell r="O49">
            <v>0</v>
          </cell>
        </row>
        <row r="50">
          <cell r="K50">
            <v>202320</v>
          </cell>
          <cell r="L50">
            <v>195</v>
          </cell>
          <cell r="M50">
            <v>10</v>
          </cell>
          <cell r="O50">
            <v>0</v>
          </cell>
        </row>
      </sheetData>
      <sheetData sheetId="11">
        <row r="1">
          <cell r="K1"/>
          <cell r="L1"/>
          <cell r="M1"/>
          <cell r="O1"/>
        </row>
        <row r="2">
          <cell r="K2"/>
          <cell r="L2"/>
          <cell r="M2"/>
          <cell r="O2"/>
        </row>
        <row r="3">
          <cell r="K3"/>
          <cell r="L3"/>
          <cell r="M3"/>
          <cell r="O3"/>
        </row>
        <row r="5">
          <cell r="K5" t="str">
            <v xml:space="preserve">Gráfico. Porcentaje de retiro por facultad y  por cohorte segundos períodos </v>
          </cell>
        </row>
        <row r="26">
          <cell r="K26" t="str">
            <v>Cohortes períodos</v>
          </cell>
          <cell r="L26" t="str">
            <v>Número estudiantes</v>
          </cell>
          <cell r="M26" t="str">
            <v>retirados</v>
          </cell>
          <cell r="O26" t="str">
            <v>Graduados</v>
          </cell>
        </row>
        <row r="27">
          <cell r="K27">
            <v>200020</v>
          </cell>
          <cell r="L27">
            <v>180</v>
          </cell>
          <cell r="M27">
            <v>99</v>
          </cell>
          <cell r="O27">
            <v>81</v>
          </cell>
        </row>
        <row r="28">
          <cell r="K28">
            <v>200120</v>
          </cell>
          <cell r="L28">
            <v>155</v>
          </cell>
          <cell r="M28">
            <v>86</v>
          </cell>
          <cell r="O28">
            <v>69</v>
          </cell>
        </row>
        <row r="29">
          <cell r="K29">
            <v>200220</v>
          </cell>
          <cell r="L29">
            <v>158</v>
          </cell>
          <cell r="M29">
            <v>80</v>
          </cell>
          <cell r="O29">
            <v>78</v>
          </cell>
        </row>
        <row r="30">
          <cell r="K30">
            <v>200320</v>
          </cell>
          <cell r="L30">
            <v>174</v>
          </cell>
          <cell r="M30">
            <v>92</v>
          </cell>
          <cell r="O30">
            <v>82</v>
          </cell>
        </row>
        <row r="31">
          <cell r="K31">
            <v>200420</v>
          </cell>
          <cell r="L31">
            <v>169</v>
          </cell>
          <cell r="M31">
            <v>77</v>
          </cell>
          <cell r="O31">
            <v>92</v>
          </cell>
        </row>
        <row r="32">
          <cell r="K32">
            <v>200520</v>
          </cell>
          <cell r="L32">
            <v>222</v>
          </cell>
          <cell r="M32">
            <v>108</v>
          </cell>
          <cell r="O32">
            <v>114</v>
          </cell>
        </row>
        <row r="33">
          <cell r="K33">
            <v>200620</v>
          </cell>
          <cell r="L33">
            <v>258</v>
          </cell>
          <cell r="M33">
            <v>109</v>
          </cell>
          <cell r="O33">
            <v>149</v>
          </cell>
        </row>
        <row r="34">
          <cell r="K34">
            <v>200720</v>
          </cell>
          <cell r="L34">
            <v>254</v>
          </cell>
          <cell r="M34">
            <v>115</v>
          </cell>
          <cell r="O34">
            <v>139</v>
          </cell>
        </row>
        <row r="35">
          <cell r="K35">
            <v>200820</v>
          </cell>
          <cell r="L35">
            <v>331</v>
          </cell>
          <cell r="M35">
            <v>129</v>
          </cell>
          <cell r="O35">
            <v>202</v>
          </cell>
        </row>
        <row r="36">
          <cell r="K36">
            <v>200920</v>
          </cell>
          <cell r="L36">
            <v>270</v>
          </cell>
          <cell r="M36">
            <v>123</v>
          </cell>
          <cell r="O36">
            <v>147</v>
          </cell>
        </row>
        <row r="37">
          <cell r="K37">
            <v>201020</v>
          </cell>
          <cell r="L37">
            <v>256</v>
          </cell>
          <cell r="M37">
            <v>104</v>
          </cell>
          <cell r="O37">
            <v>152</v>
          </cell>
        </row>
        <row r="38">
          <cell r="K38">
            <v>201120</v>
          </cell>
          <cell r="L38">
            <v>276</v>
          </cell>
          <cell r="M38">
            <v>115</v>
          </cell>
          <cell r="O38">
            <v>161</v>
          </cell>
        </row>
        <row r="39">
          <cell r="K39">
            <v>201220</v>
          </cell>
          <cell r="L39">
            <v>276</v>
          </cell>
          <cell r="M39">
            <v>130</v>
          </cell>
          <cell r="O39">
            <v>145</v>
          </cell>
        </row>
        <row r="40">
          <cell r="K40">
            <v>201320</v>
          </cell>
          <cell r="L40">
            <v>261</v>
          </cell>
          <cell r="M40">
            <v>111</v>
          </cell>
          <cell r="O40">
            <v>150</v>
          </cell>
        </row>
        <row r="41">
          <cell r="K41">
            <v>201420</v>
          </cell>
          <cell r="L41">
            <v>294</v>
          </cell>
          <cell r="M41">
            <v>126</v>
          </cell>
          <cell r="O41">
            <v>167</v>
          </cell>
        </row>
        <row r="42">
          <cell r="K42">
            <v>201520</v>
          </cell>
          <cell r="L42">
            <v>254</v>
          </cell>
          <cell r="M42">
            <v>86</v>
          </cell>
          <cell r="O42">
            <v>166</v>
          </cell>
        </row>
        <row r="43">
          <cell r="K43">
            <v>201620</v>
          </cell>
          <cell r="L43">
            <v>335</v>
          </cell>
          <cell r="M43">
            <v>124</v>
          </cell>
          <cell r="O43">
            <v>209</v>
          </cell>
        </row>
        <row r="44">
          <cell r="K44">
            <v>201720</v>
          </cell>
          <cell r="L44">
            <v>239</v>
          </cell>
          <cell r="M44">
            <v>73</v>
          </cell>
          <cell r="O44">
            <v>148</v>
          </cell>
        </row>
        <row r="45">
          <cell r="K45">
            <v>201820</v>
          </cell>
          <cell r="L45">
            <v>251</v>
          </cell>
          <cell r="M45">
            <v>69</v>
          </cell>
          <cell r="O45">
            <v>146</v>
          </cell>
        </row>
        <row r="46">
          <cell r="K46">
            <v>201920</v>
          </cell>
          <cell r="L46">
            <v>198</v>
          </cell>
          <cell r="M46">
            <v>55</v>
          </cell>
          <cell r="O46">
            <v>8</v>
          </cell>
        </row>
        <row r="47">
          <cell r="K47">
            <v>202020</v>
          </cell>
          <cell r="L47">
            <v>231</v>
          </cell>
          <cell r="M47">
            <v>55</v>
          </cell>
          <cell r="O47">
            <v>4</v>
          </cell>
        </row>
        <row r="48">
          <cell r="K48">
            <v>202120</v>
          </cell>
          <cell r="L48">
            <v>189</v>
          </cell>
          <cell r="M48">
            <v>38</v>
          </cell>
          <cell r="O48">
            <v>0</v>
          </cell>
        </row>
        <row r="49">
          <cell r="K49">
            <v>202220</v>
          </cell>
          <cell r="L49">
            <v>258</v>
          </cell>
          <cell r="M49">
            <v>55</v>
          </cell>
          <cell r="O49">
            <v>0</v>
          </cell>
        </row>
        <row r="50">
          <cell r="K50">
            <v>202320</v>
          </cell>
          <cell r="L50">
            <v>323</v>
          </cell>
          <cell r="M50">
            <v>14</v>
          </cell>
          <cell r="O50">
            <v>0</v>
          </cell>
        </row>
      </sheetData>
      <sheetData sheetId="12">
        <row r="1">
          <cell r="K1"/>
          <cell r="L1"/>
          <cell r="M1"/>
          <cell r="O1"/>
        </row>
        <row r="2">
          <cell r="K2"/>
          <cell r="L2"/>
          <cell r="M2"/>
          <cell r="O2"/>
        </row>
        <row r="3">
          <cell r="K3"/>
          <cell r="L3"/>
          <cell r="M3"/>
          <cell r="O3"/>
        </row>
        <row r="5">
          <cell r="K5" t="str">
            <v xml:space="preserve">Gráfico. Porcentaje de retiro por facultad y  por cohorte segundos períodos </v>
          </cell>
        </row>
        <row r="26">
          <cell r="K26" t="str">
            <v>Cohortes períodos</v>
          </cell>
          <cell r="L26" t="str">
            <v>Número estudiantes</v>
          </cell>
          <cell r="M26" t="str">
            <v>retirados</v>
          </cell>
          <cell r="O26" t="str">
            <v>Graduados</v>
          </cell>
        </row>
        <row r="27">
          <cell r="K27">
            <v>200020</v>
          </cell>
          <cell r="L27">
            <v>16</v>
          </cell>
          <cell r="M27">
            <v>10</v>
          </cell>
          <cell r="O27">
            <v>6</v>
          </cell>
        </row>
        <row r="28">
          <cell r="K28">
            <v>200120</v>
          </cell>
          <cell r="L28">
            <v>20</v>
          </cell>
          <cell r="M28">
            <v>8</v>
          </cell>
          <cell r="O28">
            <v>12</v>
          </cell>
        </row>
        <row r="29">
          <cell r="K29">
            <v>200220</v>
          </cell>
          <cell r="L29">
            <v>33</v>
          </cell>
          <cell r="M29">
            <v>7</v>
          </cell>
          <cell r="O29">
            <v>26</v>
          </cell>
        </row>
        <row r="30">
          <cell r="K30">
            <v>200320</v>
          </cell>
          <cell r="L30">
            <v>30</v>
          </cell>
          <cell r="M30">
            <v>17</v>
          </cell>
          <cell r="O30">
            <v>13</v>
          </cell>
        </row>
        <row r="31">
          <cell r="K31">
            <v>200420</v>
          </cell>
          <cell r="L31">
            <v>34</v>
          </cell>
          <cell r="M31">
            <v>18</v>
          </cell>
          <cell r="O31">
            <v>16</v>
          </cell>
        </row>
        <row r="32">
          <cell r="K32">
            <v>200520</v>
          </cell>
          <cell r="L32">
            <v>37</v>
          </cell>
          <cell r="M32">
            <v>19</v>
          </cell>
          <cell r="O32">
            <v>18</v>
          </cell>
        </row>
        <row r="33">
          <cell r="K33">
            <v>200620</v>
          </cell>
          <cell r="L33">
            <v>100</v>
          </cell>
          <cell r="M33">
            <v>53</v>
          </cell>
          <cell r="O33">
            <v>47</v>
          </cell>
        </row>
        <row r="34">
          <cell r="K34">
            <v>200720</v>
          </cell>
          <cell r="L34">
            <v>93</v>
          </cell>
          <cell r="M34">
            <v>32</v>
          </cell>
          <cell r="O34">
            <v>61</v>
          </cell>
        </row>
        <row r="35">
          <cell r="K35">
            <v>200820</v>
          </cell>
          <cell r="L35">
            <v>105</v>
          </cell>
          <cell r="M35">
            <v>37</v>
          </cell>
          <cell r="O35">
            <v>68</v>
          </cell>
        </row>
        <row r="36">
          <cell r="K36">
            <v>200920</v>
          </cell>
          <cell r="L36">
            <v>99</v>
          </cell>
          <cell r="M36">
            <v>33</v>
          </cell>
          <cell r="O36">
            <v>66</v>
          </cell>
        </row>
        <row r="37">
          <cell r="K37">
            <v>201020</v>
          </cell>
          <cell r="L37">
            <v>79</v>
          </cell>
          <cell r="M37">
            <v>35</v>
          </cell>
          <cell r="O37">
            <v>44</v>
          </cell>
        </row>
        <row r="38">
          <cell r="K38">
            <v>201120</v>
          </cell>
          <cell r="L38">
            <v>117</v>
          </cell>
          <cell r="M38">
            <v>39</v>
          </cell>
          <cell r="O38">
            <v>78</v>
          </cell>
        </row>
        <row r="39">
          <cell r="K39">
            <v>201220</v>
          </cell>
          <cell r="L39">
            <v>139</v>
          </cell>
          <cell r="M39">
            <v>52</v>
          </cell>
          <cell r="O39">
            <v>86</v>
          </cell>
        </row>
        <row r="40">
          <cell r="K40">
            <v>201320</v>
          </cell>
          <cell r="L40">
            <v>106</v>
          </cell>
          <cell r="M40">
            <v>40</v>
          </cell>
          <cell r="O40">
            <v>65</v>
          </cell>
        </row>
        <row r="41">
          <cell r="K41">
            <v>201420</v>
          </cell>
          <cell r="L41">
            <v>130</v>
          </cell>
          <cell r="M41">
            <v>43</v>
          </cell>
          <cell r="O41">
            <v>83</v>
          </cell>
        </row>
        <row r="42">
          <cell r="K42">
            <v>201520</v>
          </cell>
          <cell r="L42">
            <v>130</v>
          </cell>
          <cell r="M42">
            <v>47</v>
          </cell>
          <cell r="O42">
            <v>82</v>
          </cell>
        </row>
        <row r="43">
          <cell r="K43">
            <v>201620</v>
          </cell>
          <cell r="L43">
            <v>131</v>
          </cell>
          <cell r="M43">
            <v>50</v>
          </cell>
          <cell r="O43">
            <v>75</v>
          </cell>
        </row>
        <row r="44">
          <cell r="K44">
            <v>201720</v>
          </cell>
          <cell r="L44">
            <v>175</v>
          </cell>
          <cell r="M44">
            <v>55</v>
          </cell>
          <cell r="O44">
            <v>111</v>
          </cell>
        </row>
        <row r="45">
          <cell r="K45">
            <v>201820</v>
          </cell>
          <cell r="L45">
            <v>151</v>
          </cell>
          <cell r="M45">
            <v>56</v>
          </cell>
          <cell r="O45">
            <v>52</v>
          </cell>
        </row>
        <row r="46">
          <cell r="K46">
            <v>201920</v>
          </cell>
          <cell r="L46">
            <v>120</v>
          </cell>
          <cell r="M46">
            <v>26</v>
          </cell>
          <cell r="O46">
            <v>7</v>
          </cell>
        </row>
        <row r="47">
          <cell r="K47">
            <v>202020</v>
          </cell>
          <cell r="L47">
            <v>214</v>
          </cell>
          <cell r="M47">
            <v>36</v>
          </cell>
          <cell r="O47">
            <v>12</v>
          </cell>
        </row>
        <row r="48">
          <cell r="K48">
            <v>202120</v>
          </cell>
          <cell r="L48">
            <v>118</v>
          </cell>
          <cell r="M48">
            <v>29</v>
          </cell>
          <cell r="O48">
            <v>0</v>
          </cell>
        </row>
        <row r="49">
          <cell r="K49">
            <v>202220</v>
          </cell>
          <cell r="L49">
            <v>166</v>
          </cell>
          <cell r="M49">
            <v>33</v>
          </cell>
          <cell r="O49">
            <v>0</v>
          </cell>
        </row>
        <row r="50">
          <cell r="K50">
            <v>202320</v>
          </cell>
          <cell r="L50">
            <v>189</v>
          </cell>
          <cell r="M50">
            <v>19</v>
          </cell>
          <cell r="O50">
            <v>0</v>
          </cell>
        </row>
      </sheetData>
      <sheetData sheetId="13"/>
      <sheetData sheetId="14">
        <row r="1">
          <cell r="K1"/>
          <cell r="L1"/>
          <cell r="M1"/>
          <cell r="O1"/>
        </row>
        <row r="2">
          <cell r="K2"/>
          <cell r="L2"/>
          <cell r="M2"/>
          <cell r="O2"/>
        </row>
        <row r="3">
          <cell r="K3"/>
          <cell r="L3"/>
          <cell r="M3"/>
          <cell r="O3"/>
        </row>
        <row r="5">
          <cell r="K5" t="str">
            <v xml:space="preserve">Gráfico. Porcentaje de retiro por facultad y  por cohorte segundos períodos </v>
          </cell>
        </row>
        <row r="26">
          <cell r="K26" t="str">
            <v>Cohortes períodos</v>
          </cell>
          <cell r="L26" t="str">
            <v>Número estudiantes</v>
          </cell>
          <cell r="M26" t="str">
            <v>retirados</v>
          </cell>
          <cell r="O26" t="str">
            <v>Graduados</v>
          </cell>
        </row>
        <row r="27">
          <cell r="K27">
            <v>200020</v>
          </cell>
          <cell r="L27">
            <v>62</v>
          </cell>
          <cell r="M27">
            <v>37</v>
          </cell>
          <cell r="O27">
            <v>25</v>
          </cell>
        </row>
        <row r="28">
          <cell r="K28">
            <v>200120</v>
          </cell>
          <cell r="L28">
            <v>46</v>
          </cell>
          <cell r="M28">
            <v>21</v>
          </cell>
          <cell r="O28">
            <v>25</v>
          </cell>
        </row>
        <row r="29">
          <cell r="K29">
            <v>200220</v>
          </cell>
          <cell r="L29">
            <v>58</v>
          </cell>
          <cell r="M29">
            <v>38</v>
          </cell>
          <cell r="O29">
            <v>20</v>
          </cell>
        </row>
        <row r="30">
          <cell r="K30">
            <v>200320</v>
          </cell>
          <cell r="L30">
            <v>99</v>
          </cell>
          <cell r="M30">
            <v>60</v>
          </cell>
          <cell r="O30">
            <v>39</v>
          </cell>
        </row>
        <row r="31">
          <cell r="K31">
            <v>200420</v>
          </cell>
          <cell r="L31">
            <v>102</v>
          </cell>
          <cell r="M31">
            <v>57</v>
          </cell>
          <cell r="O31">
            <v>45</v>
          </cell>
        </row>
        <row r="32">
          <cell r="K32">
            <v>200520</v>
          </cell>
          <cell r="L32">
            <v>134</v>
          </cell>
          <cell r="M32">
            <v>77</v>
          </cell>
          <cell r="O32">
            <v>57</v>
          </cell>
        </row>
        <row r="33">
          <cell r="K33">
            <v>200620</v>
          </cell>
          <cell r="L33">
            <v>176</v>
          </cell>
          <cell r="M33">
            <v>90</v>
          </cell>
          <cell r="O33">
            <v>86</v>
          </cell>
        </row>
        <row r="34">
          <cell r="K34">
            <v>200720</v>
          </cell>
          <cell r="L34">
            <v>184</v>
          </cell>
          <cell r="M34">
            <v>102</v>
          </cell>
          <cell r="O34">
            <v>82</v>
          </cell>
        </row>
        <row r="35">
          <cell r="K35">
            <v>200820</v>
          </cell>
          <cell r="L35">
            <v>174</v>
          </cell>
          <cell r="M35">
            <v>90</v>
          </cell>
          <cell r="O35">
            <v>84</v>
          </cell>
        </row>
        <row r="36">
          <cell r="K36">
            <v>200920</v>
          </cell>
          <cell r="L36">
            <v>129</v>
          </cell>
          <cell r="M36">
            <v>47</v>
          </cell>
          <cell r="O36">
            <v>82</v>
          </cell>
        </row>
        <row r="37">
          <cell r="K37">
            <v>201020</v>
          </cell>
          <cell r="L37">
            <v>97</v>
          </cell>
          <cell r="M37">
            <v>37</v>
          </cell>
          <cell r="O37">
            <v>59</v>
          </cell>
        </row>
        <row r="38">
          <cell r="K38">
            <v>201120</v>
          </cell>
          <cell r="L38">
            <v>132</v>
          </cell>
          <cell r="M38">
            <v>50</v>
          </cell>
          <cell r="O38">
            <v>81</v>
          </cell>
        </row>
        <row r="39">
          <cell r="K39">
            <v>201220</v>
          </cell>
          <cell r="L39">
            <v>126</v>
          </cell>
          <cell r="M39">
            <v>43</v>
          </cell>
          <cell r="O39">
            <v>82</v>
          </cell>
        </row>
        <row r="40">
          <cell r="K40">
            <v>201320</v>
          </cell>
          <cell r="L40">
            <v>120</v>
          </cell>
          <cell r="M40">
            <v>47</v>
          </cell>
          <cell r="O40">
            <v>73</v>
          </cell>
        </row>
        <row r="41">
          <cell r="K41">
            <v>201420</v>
          </cell>
          <cell r="L41">
            <v>139</v>
          </cell>
          <cell r="M41">
            <v>59</v>
          </cell>
          <cell r="O41">
            <v>80</v>
          </cell>
        </row>
        <row r="42">
          <cell r="K42">
            <v>201520</v>
          </cell>
          <cell r="L42">
            <v>119</v>
          </cell>
          <cell r="M42">
            <v>34</v>
          </cell>
          <cell r="O42">
            <v>84</v>
          </cell>
        </row>
        <row r="43">
          <cell r="K43">
            <v>201620</v>
          </cell>
          <cell r="L43">
            <v>107</v>
          </cell>
          <cell r="M43">
            <v>37</v>
          </cell>
          <cell r="O43">
            <v>68</v>
          </cell>
        </row>
        <row r="44">
          <cell r="K44">
            <v>201720</v>
          </cell>
          <cell r="L44">
            <v>91</v>
          </cell>
          <cell r="M44">
            <v>24</v>
          </cell>
          <cell r="O44">
            <v>57</v>
          </cell>
        </row>
        <row r="45">
          <cell r="K45">
            <v>201820</v>
          </cell>
          <cell r="L45">
            <v>71</v>
          </cell>
          <cell r="M45">
            <v>20</v>
          </cell>
          <cell r="O45">
            <v>42</v>
          </cell>
        </row>
        <row r="46">
          <cell r="K46">
            <v>201920</v>
          </cell>
          <cell r="L46">
            <v>65</v>
          </cell>
          <cell r="M46">
            <v>17</v>
          </cell>
          <cell r="O46">
            <v>6</v>
          </cell>
        </row>
        <row r="47">
          <cell r="K47">
            <v>202020</v>
          </cell>
          <cell r="L47">
            <v>53</v>
          </cell>
          <cell r="M47">
            <v>12</v>
          </cell>
          <cell r="O47">
            <v>3</v>
          </cell>
        </row>
        <row r="48">
          <cell r="K48">
            <v>202120</v>
          </cell>
          <cell r="L48">
            <v>60</v>
          </cell>
          <cell r="M48">
            <v>12</v>
          </cell>
          <cell r="O48">
            <v>0</v>
          </cell>
        </row>
        <row r="49">
          <cell r="K49">
            <v>202220</v>
          </cell>
          <cell r="L49">
            <v>97</v>
          </cell>
          <cell r="M49">
            <v>20</v>
          </cell>
          <cell r="O49">
            <v>0</v>
          </cell>
        </row>
        <row r="50">
          <cell r="K50">
            <v>202320</v>
          </cell>
          <cell r="L50">
            <v>94</v>
          </cell>
          <cell r="M50">
            <v>2</v>
          </cell>
          <cell r="O50">
            <v>0</v>
          </cell>
        </row>
        <row r="51">
          <cell r="L51"/>
          <cell r="M51"/>
          <cell r="O51"/>
        </row>
      </sheetData>
      <sheetData sheetId="15"/>
      <sheetData sheetId="16">
        <row r="1">
          <cell r="K1"/>
          <cell r="L1"/>
          <cell r="M1"/>
          <cell r="O1"/>
        </row>
        <row r="2">
          <cell r="K2"/>
          <cell r="L2"/>
          <cell r="M2"/>
          <cell r="O2"/>
        </row>
        <row r="3">
          <cell r="K3"/>
          <cell r="L3"/>
          <cell r="M3"/>
          <cell r="O3"/>
        </row>
        <row r="5">
          <cell r="K5" t="str">
            <v xml:space="preserve">Gráfico. Porcentaje de retiro por facultad y  por cohorte segundos períodos </v>
          </cell>
        </row>
        <row r="25">
          <cell r="K25" t="str">
            <v>Cohortes períodos</v>
          </cell>
          <cell r="L25" t="str">
            <v>Número estudiantes</v>
          </cell>
          <cell r="M25" t="str">
            <v>retirados</v>
          </cell>
          <cell r="O25" t="str">
            <v>Graduados</v>
          </cell>
        </row>
        <row r="26">
          <cell r="K26">
            <v>200020</v>
          </cell>
          <cell r="L26">
            <v>4</v>
          </cell>
          <cell r="M26">
            <v>2</v>
          </cell>
          <cell r="O26">
            <v>2</v>
          </cell>
        </row>
        <row r="27">
          <cell r="K27">
            <v>200120</v>
          </cell>
          <cell r="L27">
            <v>4</v>
          </cell>
          <cell r="M27">
            <v>3</v>
          </cell>
          <cell r="O27">
            <v>1</v>
          </cell>
        </row>
        <row r="28">
          <cell r="K28">
            <v>200220</v>
          </cell>
          <cell r="L28">
            <v>2</v>
          </cell>
          <cell r="M28">
            <v>0</v>
          </cell>
          <cell r="O28">
            <v>2</v>
          </cell>
        </row>
        <row r="29">
          <cell r="K29">
            <v>200320</v>
          </cell>
          <cell r="L29">
            <v>9</v>
          </cell>
          <cell r="M29">
            <v>5</v>
          </cell>
          <cell r="O29">
            <v>4</v>
          </cell>
        </row>
        <row r="30">
          <cell r="K30">
            <v>200420</v>
          </cell>
          <cell r="L30">
            <v>12</v>
          </cell>
          <cell r="M30">
            <v>8</v>
          </cell>
          <cell r="O30">
            <v>4</v>
          </cell>
        </row>
        <row r="31">
          <cell r="K31">
            <v>200520</v>
          </cell>
          <cell r="L31">
            <v>12</v>
          </cell>
          <cell r="M31">
            <v>6</v>
          </cell>
          <cell r="O31">
            <v>6</v>
          </cell>
        </row>
        <row r="32">
          <cell r="K32">
            <v>200620</v>
          </cell>
          <cell r="L32">
            <v>33</v>
          </cell>
          <cell r="M32">
            <v>20</v>
          </cell>
          <cell r="O32">
            <v>13</v>
          </cell>
        </row>
        <row r="33">
          <cell r="K33">
            <v>200720</v>
          </cell>
          <cell r="L33">
            <v>27</v>
          </cell>
          <cell r="M33">
            <v>12</v>
          </cell>
          <cell r="O33">
            <v>15</v>
          </cell>
        </row>
        <row r="34">
          <cell r="K34">
            <v>200820</v>
          </cell>
          <cell r="L34">
            <v>46</v>
          </cell>
          <cell r="M34">
            <v>15</v>
          </cell>
          <cell r="O34">
            <v>31</v>
          </cell>
        </row>
        <row r="35">
          <cell r="K35">
            <v>200920</v>
          </cell>
          <cell r="L35">
            <v>37</v>
          </cell>
          <cell r="M35">
            <v>13</v>
          </cell>
          <cell r="O35">
            <v>24</v>
          </cell>
        </row>
        <row r="36">
          <cell r="K36">
            <v>201020</v>
          </cell>
          <cell r="L36">
            <v>26</v>
          </cell>
          <cell r="M36">
            <v>14</v>
          </cell>
          <cell r="O36">
            <v>12</v>
          </cell>
        </row>
        <row r="37">
          <cell r="K37">
            <v>201120</v>
          </cell>
          <cell r="L37">
            <v>56</v>
          </cell>
          <cell r="M37">
            <v>14</v>
          </cell>
          <cell r="O37">
            <v>42</v>
          </cell>
        </row>
        <row r="38">
          <cell r="K38">
            <v>201220</v>
          </cell>
          <cell r="L38">
            <v>59</v>
          </cell>
          <cell r="M38">
            <v>31</v>
          </cell>
          <cell r="O38">
            <v>28</v>
          </cell>
        </row>
        <row r="39">
          <cell r="K39">
            <v>201320</v>
          </cell>
          <cell r="L39">
            <v>54</v>
          </cell>
          <cell r="M39">
            <v>16</v>
          </cell>
          <cell r="O39">
            <v>37</v>
          </cell>
        </row>
        <row r="40">
          <cell r="K40">
            <v>201420</v>
          </cell>
          <cell r="L40">
            <v>67</v>
          </cell>
          <cell r="M40">
            <v>25</v>
          </cell>
          <cell r="O40">
            <v>39</v>
          </cell>
        </row>
        <row r="41">
          <cell r="K41">
            <v>201520</v>
          </cell>
          <cell r="L41">
            <v>69</v>
          </cell>
          <cell r="M41">
            <v>27</v>
          </cell>
          <cell r="O41">
            <v>41</v>
          </cell>
        </row>
        <row r="42">
          <cell r="K42">
            <v>201620</v>
          </cell>
          <cell r="L42">
            <v>80</v>
          </cell>
          <cell r="M42">
            <v>32</v>
          </cell>
          <cell r="O42">
            <v>46</v>
          </cell>
        </row>
        <row r="43">
          <cell r="K43">
            <v>201720</v>
          </cell>
          <cell r="L43">
            <v>88</v>
          </cell>
          <cell r="M43">
            <v>27</v>
          </cell>
          <cell r="O43">
            <v>56</v>
          </cell>
        </row>
        <row r="44">
          <cell r="K44">
            <v>201820</v>
          </cell>
          <cell r="L44">
            <v>72</v>
          </cell>
          <cell r="M44">
            <v>31</v>
          </cell>
          <cell r="O44">
            <v>20</v>
          </cell>
        </row>
        <row r="45">
          <cell r="K45">
            <v>201920</v>
          </cell>
          <cell r="L45">
            <v>52</v>
          </cell>
          <cell r="M45">
            <v>10</v>
          </cell>
          <cell r="O45">
            <v>3</v>
          </cell>
        </row>
        <row r="46">
          <cell r="K46">
            <v>202020</v>
          </cell>
          <cell r="L46">
            <v>82</v>
          </cell>
          <cell r="M46">
            <v>9</v>
          </cell>
          <cell r="O46">
            <v>6</v>
          </cell>
        </row>
        <row r="47">
          <cell r="K47">
            <v>202120</v>
          </cell>
          <cell r="L47">
            <v>63</v>
          </cell>
          <cell r="M47">
            <v>11</v>
          </cell>
          <cell r="O47">
            <v>0</v>
          </cell>
        </row>
        <row r="48">
          <cell r="K48">
            <v>202220</v>
          </cell>
          <cell r="L48">
            <v>100</v>
          </cell>
          <cell r="M48">
            <v>15</v>
          </cell>
          <cell r="O48">
            <v>0</v>
          </cell>
        </row>
        <row r="49">
          <cell r="K49">
            <v>202320</v>
          </cell>
          <cell r="L49">
            <v>116</v>
          </cell>
          <cell r="M49">
            <v>11</v>
          </cell>
          <cell r="O49">
            <v>0</v>
          </cell>
        </row>
        <row r="50">
          <cell r="L50"/>
          <cell r="M50"/>
          <cell r="O50"/>
        </row>
        <row r="51">
          <cell r="L51"/>
          <cell r="M51"/>
          <cell r="O51"/>
        </row>
        <row r="52">
          <cell r="L52"/>
          <cell r="M52"/>
          <cell r="O52"/>
        </row>
        <row r="53">
          <cell r="L53"/>
          <cell r="M53"/>
          <cell r="O53"/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C18" sqref="C18"/>
    </sheetView>
  </sheetViews>
  <sheetFormatPr baseColWidth="10" defaultColWidth="11.44140625" defaultRowHeight="14.4"/>
  <sheetData>
    <row r="1" spans="1:8">
      <c r="A1" s="52" t="s">
        <v>0</v>
      </c>
      <c r="B1" s="39" t="s">
        <v>1</v>
      </c>
      <c r="C1" s="39" t="s">
        <v>2</v>
      </c>
      <c r="D1" s="39" t="s">
        <v>3</v>
      </c>
      <c r="E1" s="41" t="s">
        <v>4</v>
      </c>
      <c r="F1" s="40" t="s">
        <v>5</v>
      </c>
      <c r="G1" s="40" t="s">
        <v>6</v>
      </c>
      <c r="H1" s="40" t="s">
        <v>7</v>
      </c>
    </row>
    <row r="2" spans="1:8">
      <c r="A2" t="s">
        <v>8</v>
      </c>
      <c r="B2" s="39">
        <v>308</v>
      </c>
      <c r="C2" s="39">
        <v>43</v>
      </c>
      <c r="D2" s="39">
        <v>0</v>
      </c>
      <c r="E2">
        <v>265</v>
      </c>
      <c r="F2" s="40">
        <v>0.1396103896103896</v>
      </c>
      <c r="G2" s="40">
        <v>0</v>
      </c>
      <c r="H2" s="40">
        <v>0.86038961038961037</v>
      </c>
    </row>
    <row r="3" spans="1:8">
      <c r="A3" t="s">
        <v>9</v>
      </c>
      <c r="B3" s="39">
        <v>193</v>
      </c>
      <c r="C3" s="39">
        <v>30</v>
      </c>
      <c r="D3" s="39">
        <v>0</v>
      </c>
      <c r="E3">
        <v>163</v>
      </c>
      <c r="F3" s="40">
        <v>0.15544041450777199</v>
      </c>
      <c r="G3" s="40">
        <v>0</v>
      </c>
      <c r="H3" s="40">
        <v>0.84455958549222798</v>
      </c>
    </row>
    <row r="4" spans="1:8">
      <c r="A4" t="s">
        <v>10</v>
      </c>
      <c r="B4" s="39">
        <v>418</v>
      </c>
      <c r="C4" s="39">
        <v>28</v>
      </c>
      <c r="D4" s="39">
        <v>0</v>
      </c>
      <c r="E4">
        <v>390</v>
      </c>
      <c r="F4" s="40">
        <v>6.6985645933014357E-2</v>
      </c>
      <c r="G4" s="40">
        <v>0</v>
      </c>
      <c r="H4" s="40">
        <v>0.93301435406698563</v>
      </c>
    </row>
    <row r="6" spans="1:8">
      <c r="B6" s="51">
        <v>2021</v>
      </c>
      <c r="C6" s="51">
        <v>2022</v>
      </c>
    </row>
    <row r="7" spans="1:8">
      <c r="B7" s="50">
        <f>((B2*F2)+(B3*F3))/(B2+B3)</f>
        <v>0.14570858283433133</v>
      </c>
      <c r="C7" s="50">
        <f>F4</f>
        <v>6.6985645933014357E-2</v>
      </c>
    </row>
  </sheetData>
  <autoFilter ref="A1:H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"/>
  <sheetViews>
    <sheetView workbookViewId="0">
      <pane ySplit="1" topLeftCell="A66" activePane="bottomLeft" state="frozen"/>
      <selection pane="bottomLeft" activeCell="D99" sqref="D99"/>
    </sheetView>
  </sheetViews>
  <sheetFormatPr baseColWidth="10" defaultColWidth="9.109375" defaultRowHeight="10.199999999999999"/>
  <cols>
    <col min="1" max="1" width="15.6640625" style="7" customWidth="1"/>
    <col min="2" max="4" width="15.6640625" style="47" customWidth="1"/>
    <col min="5" max="5" width="15.6640625" style="49" customWidth="1"/>
    <col min="6" max="8" width="15.6640625" style="48" customWidth="1"/>
    <col min="9" max="16384" width="9.109375" style="7"/>
  </cols>
  <sheetData>
    <row r="1" spans="1:8" s="46" customFormat="1" ht="20.399999999999999">
      <c r="A1" s="42" t="s">
        <v>0</v>
      </c>
      <c r="B1" s="43" t="s">
        <v>1</v>
      </c>
      <c r="C1" s="43" t="s">
        <v>2</v>
      </c>
      <c r="D1" s="43" t="s">
        <v>3</v>
      </c>
      <c r="E1" s="44" t="s">
        <v>4</v>
      </c>
      <c r="F1" s="45" t="s">
        <v>5</v>
      </c>
      <c r="G1" s="45" t="s">
        <v>6</v>
      </c>
      <c r="H1" s="45" t="s">
        <v>7</v>
      </c>
    </row>
    <row r="2" spans="1:8" hidden="1">
      <c r="A2" s="7" t="s">
        <v>11</v>
      </c>
      <c r="B2" s="47">
        <v>40</v>
      </c>
      <c r="C2" s="47">
        <v>26</v>
      </c>
      <c r="D2" s="47">
        <v>14</v>
      </c>
      <c r="E2" s="7">
        <v>0</v>
      </c>
      <c r="F2" s="48">
        <v>0.65</v>
      </c>
      <c r="G2" s="48">
        <v>0.35</v>
      </c>
      <c r="H2" s="48">
        <v>0</v>
      </c>
    </row>
    <row r="3" spans="1:8" hidden="1">
      <c r="A3" s="7" t="s">
        <v>12</v>
      </c>
      <c r="B3" s="47">
        <v>5</v>
      </c>
      <c r="C3" s="47">
        <v>1</v>
      </c>
      <c r="D3" s="47">
        <v>4</v>
      </c>
      <c r="E3" s="7">
        <v>0</v>
      </c>
      <c r="F3" s="48">
        <v>0.2</v>
      </c>
      <c r="G3" s="48">
        <v>0.8</v>
      </c>
      <c r="H3" s="48">
        <v>0</v>
      </c>
    </row>
    <row r="4" spans="1:8" hidden="1">
      <c r="A4" s="7" t="s">
        <v>13</v>
      </c>
      <c r="B4" s="47">
        <v>37</v>
      </c>
      <c r="C4" s="47">
        <v>13</v>
      </c>
      <c r="D4" s="47">
        <v>24</v>
      </c>
      <c r="E4" s="7">
        <v>0</v>
      </c>
      <c r="F4" s="48">
        <v>0.35135135135135143</v>
      </c>
      <c r="G4" s="48">
        <v>0.64864864864864868</v>
      </c>
      <c r="H4" s="48">
        <v>0</v>
      </c>
    </row>
    <row r="5" spans="1:8" hidden="1">
      <c r="A5" s="7" t="s">
        <v>14</v>
      </c>
      <c r="B5" s="47">
        <v>4</v>
      </c>
      <c r="C5" s="47">
        <v>1</v>
      </c>
      <c r="D5" s="47">
        <v>3</v>
      </c>
      <c r="E5" s="7">
        <v>0</v>
      </c>
      <c r="F5" s="48">
        <v>0.25</v>
      </c>
      <c r="G5" s="48">
        <v>0.75</v>
      </c>
      <c r="H5" s="48">
        <v>0</v>
      </c>
    </row>
    <row r="6" spans="1:8" hidden="1">
      <c r="A6" s="7" t="s">
        <v>15</v>
      </c>
      <c r="B6" s="47">
        <v>41</v>
      </c>
      <c r="C6" s="47">
        <v>11</v>
      </c>
      <c r="D6" s="47">
        <v>30</v>
      </c>
      <c r="E6" s="7">
        <v>0</v>
      </c>
      <c r="F6" s="48">
        <v>0.26829268292682928</v>
      </c>
      <c r="G6" s="48">
        <v>0.73170731707317072</v>
      </c>
      <c r="H6" s="48">
        <v>0</v>
      </c>
    </row>
    <row r="7" spans="1:8" hidden="1">
      <c r="A7" s="7" t="s">
        <v>16</v>
      </c>
      <c r="B7" s="47">
        <v>40</v>
      </c>
      <c r="C7" s="47">
        <v>18</v>
      </c>
      <c r="D7" s="47">
        <v>22</v>
      </c>
      <c r="E7" s="7">
        <v>0</v>
      </c>
      <c r="F7" s="48">
        <v>0.45</v>
      </c>
      <c r="G7" s="48">
        <v>0.55000000000000004</v>
      </c>
      <c r="H7" s="48">
        <v>0</v>
      </c>
    </row>
    <row r="8" spans="1:8" hidden="1">
      <c r="A8" s="7" t="s">
        <v>17</v>
      </c>
      <c r="B8" s="47">
        <v>50</v>
      </c>
      <c r="C8" s="47">
        <v>23</v>
      </c>
      <c r="D8" s="47">
        <v>27</v>
      </c>
      <c r="E8" s="7">
        <v>0</v>
      </c>
      <c r="F8" s="48">
        <v>0.46</v>
      </c>
      <c r="G8" s="48">
        <v>0.54</v>
      </c>
      <c r="H8" s="48">
        <v>0</v>
      </c>
    </row>
    <row r="9" spans="1:8" hidden="1">
      <c r="A9" s="7" t="s">
        <v>18</v>
      </c>
      <c r="B9" s="47">
        <v>42</v>
      </c>
      <c r="C9" s="47">
        <v>20</v>
      </c>
      <c r="D9" s="47">
        <v>22</v>
      </c>
      <c r="E9" s="7">
        <v>0</v>
      </c>
      <c r="F9" s="48">
        <v>0.47619047619047622</v>
      </c>
      <c r="G9" s="48">
        <v>0.52380952380952384</v>
      </c>
      <c r="H9" s="48">
        <v>0</v>
      </c>
    </row>
    <row r="10" spans="1:8" hidden="1">
      <c r="A10" s="7" t="s">
        <v>19</v>
      </c>
      <c r="B10" s="47">
        <v>57</v>
      </c>
      <c r="C10" s="47">
        <v>17</v>
      </c>
      <c r="D10" s="47">
        <v>40</v>
      </c>
      <c r="E10" s="7">
        <v>0</v>
      </c>
      <c r="F10" s="48">
        <v>0.2982456140350877</v>
      </c>
      <c r="G10" s="48">
        <v>0.70175438596491224</v>
      </c>
      <c r="H10" s="48">
        <v>0</v>
      </c>
    </row>
    <row r="11" spans="1:8" hidden="1">
      <c r="A11" s="7" t="s">
        <v>20</v>
      </c>
      <c r="B11" s="47">
        <v>109</v>
      </c>
      <c r="C11" s="47">
        <v>48</v>
      </c>
      <c r="D11" s="47">
        <v>61</v>
      </c>
      <c r="E11" s="7">
        <v>0</v>
      </c>
      <c r="F11" s="48">
        <v>0.44036697247706419</v>
      </c>
      <c r="G11" s="48">
        <v>0.55963302752293576</v>
      </c>
      <c r="H11" s="48">
        <v>0</v>
      </c>
    </row>
    <row r="12" spans="1:8" hidden="1">
      <c r="A12" s="7" t="s">
        <v>21</v>
      </c>
      <c r="B12" s="47">
        <v>142</v>
      </c>
      <c r="C12" s="47">
        <v>49</v>
      </c>
      <c r="D12" s="47">
        <v>93</v>
      </c>
      <c r="E12" s="7">
        <v>0</v>
      </c>
      <c r="F12" s="48">
        <v>0.34507042253521131</v>
      </c>
      <c r="G12" s="48">
        <v>0.65492957746478875</v>
      </c>
      <c r="H12" s="48">
        <v>0</v>
      </c>
    </row>
    <row r="13" spans="1:8" hidden="1">
      <c r="A13" s="7" t="s">
        <v>22</v>
      </c>
      <c r="B13" s="47">
        <v>121</v>
      </c>
      <c r="C13" s="47">
        <v>58</v>
      </c>
      <c r="D13" s="47">
        <v>63</v>
      </c>
      <c r="E13" s="7">
        <v>0</v>
      </c>
      <c r="F13" s="48">
        <v>0.47933884297520668</v>
      </c>
      <c r="G13" s="48">
        <v>0.52066115702479343</v>
      </c>
      <c r="H13" s="48">
        <v>0</v>
      </c>
    </row>
    <row r="14" spans="1:8" hidden="1">
      <c r="A14" s="7" t="s">
        <v>23</v>
      </c>
      <c r="B14" s="47">
        <v>132</v>
      </c>
      <c r="C14" s="47">
        <v>42</v>
      </c>
      <c r="D14" s="47">
        <v>90</v>
      </c>
      <c r="E14" s="7">
        <v>0</v>
      </c>
      <c r="F14" s="48">
        <v>0.31818181818181818</v>
      </c>
      <c r="G14" s="48">
        <v>0.68181818181818177</v>
      </c>
      <c r="H14" s="48">
        <v>0</v>
      </c>
    </row>
    <row r="15" spans="1:8" hidden="1">
      <c r="A15" s="7" t="s">
        <v>24</v>
      </c>
      <c r="B15" s="47">
        <v>98</v>
      </c>
      <c r="C15" s="47">
        <v>38</v>
      </c>
      <c r="D15" s="47">
        <v>60</v>
      </c>
      <c r="E15" s="7">
        <v>0</v>
      </c>
      <c r="F15" s="48">
        <v>0.38775510204081631</v>
      </c>
      <c r="G15" s="48">
        <v>0.6122448979591838</v>
      </c>
      <c r="H15" s="48">
        <v>0</v>
      </c>
    </row>
    <row r="16" spans="1:8" hidden="1">
      <c r="A16" s="7" t="s">
        <v>25</v>
      </c>
      <c r="B16" s="47">
        <v>148</v>
      </c>
      <c r="C16" s="47">
        <v>57</v>
      </c>
      <c r="D16" s="47">
        <v>91</v>
      </c>
      <c r="E16" s="7">
        <v>0</v>
      </c>
      <c r="F16" s="48">
        <v>0.38513513513513509</v>
      </c>
      <c r="G16" s="48">
        <v>0.61486486486486491</v>
      </c>
      <c r="H16" s="48">
        <v>0</v>
      </c>
    </row>
    <row r="17" spans="1:8" hidden="1">
      <c r="A17" s="7" t="s">
        <v>26</v>
      </c>
      <c r="B17" s="47">
        <v>105</v>
      </c>
      <c r="C17" s="47">
        <v>59</v>
      </c>
      <c r="D17" s="47">
        <v>46</v>
      </c>
      <c r="E17" s="7">
        <v>0</v>
      </c>
      <c r="F17" s="48">
        <v>0.56190476190476191</v>
      </c>
      <c r="G17" s="48">
        <v>0.43809523809523809</v>
      </c>
      <c r="H17" s="48">
        <v>0</v>
      </c>
    </row>
    <row r="18" spans="1:8" hidden="1">
      <c r="A18" s="7" t="s">
        <v>27</v>
      </c>
      <c r="B18" s="47">
        <v>165</v>
      </c>
      <c r="C18" s="47">
        <v>77</v>
      </c>
      <c r="D18" s="47">
        <v>88</v>
      </c>
      <c r="E18" s="7">
        <v>0</v>
      </c>
      <c r="F18" s="48">
        <v>0.46666666666666667</v>
      </c>
      <c r="G18" s="48">
        <v>0.53333333333333333</v>
      </c>
      <c r="H18" s="48">
        <v>0</v>
      </c>
    </row>
    <row r="19" spans="1:8" hidden="1">
      <c r="A19" s="7" t="s">
        <v>28</v>
      </c>
      <c r="B19" s="47">
        <v>92</v>
      </c>
      <c r="C19" s="47">
        <v>55</v>
      </c>
      <c r="D19" s="47">
        <v>37</v>
      </c>
      <c r="E19" s="7">
        <v>0</v>
      </c>
      <c r="F19" s="48">
        <v>0.59782608695652173</v>
      </c>
      <c r="G19" s="48">
        <v>0.40217391304347833</v>
      </c>
      <c r="H19" s="48">
        <v>0</v>
      </c>
    </row>
    <row r="20" spans="1:8" hidden="1">
      <c r="A20" s="7" t="s">
        <v>29</v>
      </c>
      <c r="B20" s="47">
        <v>175</v>
      </c>
      <c r="C20" s="47">
        <v>71</v>
      </c>
      <c r="D20" s="47">
        <v>104</v>
      </c>
      <c r="E20" s="7">
        <v>0</v>
      </c>
      <c r="F20" s="48">
        <v>0.40571428571428569</v>
      </c>
      <c r="G20" s="48">
        <v>0.59428571428571431</v>
      </c>
      <c r="H20" s="48">
        <v>0</v>
      </c>
    </row>
    <row r="21" spans="1:8" hidden="1">
      <c r="A21" s="7" t="s">
        <v>30</v>
      </c>
      <c r="B21" s="47">
        <v>119</v>
      </c>
      <c r="C21" s="47">
        <v>62</v>
      </c>
      <c r="D21" s="47">
        <v>57</v>
      </c>
      <c r="E21" s="7">
        <v>0</v>
      </c>
      <c r="F21" s="48">
        <v>0.52100840336134457</v>
      </c>
      <c r="G21" s="48">
        <v>0.47899159663865548</v>
      </c>
      <c r="H21" s="48">
        <v>0</v>
      </c>
    </row>
    <row r="22" spans="1:8" hidden="1">
      <c r="A22" s="7" t="s">
        <v>31</v>
      </c>
      <c r="B22" s="47">
        <v>178</v>
      </c>
      <c r="C22" s="47">
        <v>88</v>
      </c>
      <c r="D22" s="47">
        <v>90</v>
      </c>
      <c r="E22" s="7">
        <v>0</v>
      </c>
      <c r="F22" s="48">
        <v>0.4943820224719101</v>
      </c>
      <c r="G22" s="48">
        <v>0.5056179775280899</v>
      </c>
      <c r="H22" s="48">
        <v>0</v>
      </c>
    </row>
    <row r="23" spans="1:8" hidden="1">
      <c r="A23" s="7" t="s">
        <v>32</v>
      </c>
      <c r="B23" s="47">
        <v>116</v>
      </c>
      <c r="C23" s="47">
        <v>59</v>
      </c>
      <c r="D23" s="47">
        <v>57</v>
      </c>
      <c r="E23" s="7">
        <v>0</v>
      </c>
      <c r="F23" s="48">
        <v>0.50862068965517238</v>
      </c>
      <c r="G23" s="48">
        <v>0.49137931034482762</v>
      </c>
      <c r="H23" s="48">
        <v>0</v>
      </c>
    </row>
    <row r="24" spans="1:8" hidden="1">
      <c r="A24" s="7" t="s">
        <v>33</v>
      </c>
      <c r="B24" s="47">
        <v>176</v>
      </c>
      <c r="C24" s="47">
        <v>69</v>
      </c>
      <c r="D24" s="47">
        <v>107</v>
      </c>
      <c r="E24" s="7">
        <v>0</v>
      </c>
      <c r="F24" s="48">
        <v>0.39204545454545447</v>
      </c>
      <c r="G24" s="48">
        <v>0.60795454545454541</v>
      </c>
      <c r="H24" s="48">
        <v>0</v>
      </c>
    </row>
    <row r="25" spans="1:8" hidden="1">
      <c r="A25" s="7" t="s">
        <v>34</v>
      </c>
      <c r="B25" s="47">
        <v>104</v>
      </c>
      <c r="C25" s="47">
        <v>48</v>
      </c>
      <c r="D25" s="47">
        <v>56</v>
      </c>
      <c r="E25" s="7">
        <v>0</v>
      </c>
      <c r="F25" s="48">
        <v>0.46153846153846162</v>
      </c>
      <c r="G25" s="48">
        <v>0.53846153846153844</v>
      </c>
      <c r="H25" s="48">
        <v>0</v>
      </c>
    </row>
    <row r="26" spans="1:8" hidden="1">
      <c r="A26" s="7" t="s">
        <v>35</v>
      </c>
      <c r="B26" s="47">
        <v>170</v>
      </c>
      <c r="C26" s="47">
        <v>66</v>
      </c>
      <c r="D26" s="47">
        <v>104</v>
      </c>
      <c r="E26" s="7">
        <v>0</v>
      </c>
      <c r="F26" s="48">
        <v>0.38823529411764712</v>
      </c>
      <c r="G26" s="48">
        <v>0.61176470588235299</v>
      </c>
      <c r="H26" s="48">
        <v>0</v>
      </c>
    </row>
    <row r="27" spans="1:8" hidden="1">
      <c r="A27" s="7" t="s">
        <v>36</v>
      </c>
      <c r="B27" s="47">
        <v>112</v>
      </c>
      <c r="C27" s="47">
        <v>52</v>
      </c>
      <c r="D27" s="47">
        <v>60</v>
      </c>
      <c r="E27" s="7">
        <v>0</v>
      </c>
      <c r="F27" s="48">
        <v>0.4642857142857143</v>
      </c>
      <c r="G27" s="48">
        <v>0.5357142857142857</v>
      </c>
      <c r="H27" s="48">
        <v>0</v>
      </c>
    </row>
    <row r="28" spans="1:8" hidden="1">
      <c r="A28" s="7" t="s">
        <v>37</v>
      </c>
      <c r="B28" s="47">
        <v>186</v>
      </c>
      <c r="C28" s="47">
        <v>62</v>
      </c>
      <c r="D28" s="47">
        <v>124</v>
      </c>
      <c r="E28" s="7">
        <v>0</v>
      </c>
      <c r="F28" s="48">
        <v>0.33333333333333331</v>
      </c>
      <c r="G28" s="48">
        <v>0.66666666666666663</v>
      </c>
      <c r="H28" s="48">
        <v>0</v>
      </c>
    </row>
    <row r="29" spans="1:8" hidden="1">
      <c r="A29" s="7" t="s">
        <v>38</v>
      </c>
      <c r="B29" s="47">
        <v>97</v>
      </c>
      <c r="C29" s="47">
        <v>43</v>
      </c>
      <c r="D29" s="47">
        <v>54</v>
      </c>
      <c r="E29" s="7">
        <v>0</v>
      </c>
      <c r="F29" s="48">
        <v>0.44329896907216487</v>
      </c>
      <c r="G29" s="48">
        <v>0.55670103092783507</v>
      </c>
      <c r="H29" s="48">
        <v>0</v>
      </c>
    </row>
    <row r="30" spans="1:8" hidden="1">
      <c r="A30" s="7" t="s">
        <v>39</v>
      </c>
      <c r="B30" s="47">
        <v>158</v>
      </c>
      <c r="C30" s="47">
        <v>65</v>
      </c>
      <c r="D30" s="47">
        <v>93</v>
      </c>
      <c r="E30" s="7">
        <v>0</v>
      </c>
      <c r="F30" s="48">
        <v>0.41139240506329111</v>
      </c>
      <c r="G30" s="48">
        <v>0.58860759493670889</v>
      </c>
      <c r="H30" s="48">
        <v>0</v>
      </c>
    </row>
    <row r="31" spans="1:8" hidden="1">
      <c r="A31" s="7" t="s">
        <v>40</v>
      </c>
      <c r="B31" s="47">
        <v>101</v>
      </c>
      <c r="C31" s="47">
        <v>47</v>
      </c>
      <c r="D31" s="47">
        <v>54</v>
      </c>
      <c r="E31" s="7">
        <v>0</v>
      </c>
      <c r="F31" s="48">
        <v>0.46534653465346543</v>
      </c>
      <c r="G31" s="48">
        <v>0.53465346534653468</v>
      </c>
      <c r="H31" s="48">
        <v>0</v>
      </c>
    </row>
    <row r="32" spans="1:8" hidden="1">
      <c r="A32" s="7" t="s">
        <v>41</v>
      </c>
      <c r="B32" s="47">
        <v>185</v>
      </c>
      <c r="C32" s="47">
        <v>70</v>
      </c>
      <c r="D32" s="47">
        <v>115</v>
      </c>
      <c r="E32" s="7">
        <v>0</v>
      </c>
      <c r="F32" s="48">
        <v>0.37837837837837829</v>
      </c>
      <c r="G32" s="48">
        <v>0.6216216216216216</v>
      </c>
      <c r="H32" s="48">
        <v>0</v>
      </c>
    </row>
    <row r="33" spans="1:8" hidden="1">
      <c r="A33" s="7" t="s">
        <v>42</v>
      </c>
      <c r="B33" s="47">
        <v>116</v>
      </c>
      <c r="C33" s="47">
        <v>62</v>
      </c>
      <c r="D33" s="47">
        <v>54</v>
      </c>
      <c r="E33" s="7">
        <v>0</v>
      </c>
      <c r="F33" s="48">
        <v>0.53448275862068961</v>
      </c>
      <c r="G33" s="48">
        <v>0.46551724137931028</v>
      </c>
      <c r="H33" s="48">
        <v>0</v>
      </c>
    </row>
    <row r="34" spans="1:8" hidden="1">
      <c r="A34" s="7" t="s">
        <v>43</v>
      </c>
      <c r="B34" s="47">
        <v>182</v>
      </c>
      <c r="C34" s="47">
        <v>68</v>
      </c>
      <c r="D34" s="47">
        <v>114</v>
      </c>
      <c r="E34" s="7">
        <v>0</v>
      </c>
      <c r="F34" s="48">
        <v>0.37362637362637358</v>
      </c>
      <c r="G34" s="48">
        <v>0.62637362637362637</v>
      </c>
      <c r="H34" s="48">
        <v>0</v>
      </c>
    </row>
    <row r="35" spans="1:8" hidden="1">
      <c r="A35" s="7" t="s">
        <v>44</v>
      </c>
      <c r="B35" s="47">
        <v>111</v>
      </c>
      <c r="C35" s="47">
        <v>43</v>
      </c>
      <c r="D35" s="47">
        <v>68</v>
      </c>
      <c r="E35" s="7">
        <v>0</v>
      </c>
      <c r="F35" s="48">
        <v>0.38738738738738743</v>
      </c>
      <c r="G35" s="48">
        <v>0.61261261261261257</v>
      </c>
      <c r="H35" s="48">
        <v>0</v>
      </c>
    </row>
    <row r="36" spans="1:8" hidden="1">
      <c r="A36" s="7" t="s">
        <v>45</v>
      </c>
      <c r="B36" s="47">
        <v>183</v>
      </c>
      <c r="C36" s="47">
        <v>74</v>
      </c>
      <c r="D36" s="47">
        <v>109</v>
      </c>
      <c r="E36" s="7">
        <v>0</v>
      </c>
      <c r="F36" s="48">
        <v>0.40437158469945361</v>
      </c>
      <c r="G36" s="48">
        <v>0.59562841530054644</v>
      </c>
      <c r="H36" s="48">
        <v>0</v>
      </c>
    </row>
    <row r="37" spans="1:8" hidden="1">
      <c r="A37" s="7" t="s">
        <v>46</v>
      </c>
      <c r="B37" s="47">
        <v>62</v>
      </c>
      <c r="C37" s="47">
        <v>39</v>
      </c>
      <c r="D37" s="47">
        <v>23</v>
      </c>
      <c r="E37" s="7">
        <v>0</v>
      </c>
      <c r="F37" s="48">
        <v>0.62903225806451613</v>
      </c>
      <c r="G37" s="48">
        <v>0.37096774193548387</v>
      </c>
      <c r="H37" s="48">
        <v>0</v>
      </c>
    </row>
    <row r="38" spans="1:8" hidden="1">
      <c r="A38" s="7" t="s">
        <v>47</v>
      </c>
      <c r="B38" s="47">
        <v>201</v>
      </c>
      <c r="C38" s="47">
        <v>93</v>
      </c>
      <c r="D38" s="47">
        <v>108</v>
      </c>
      <c r="E38" s="7">
        <v>0</v>
      </c>
      <c r="F38" s="48">
        <v>0.46268656716417922</v>
      </c>
      <c r="G38" s="48">
        <v>0.53731343283582089</v>
      </c>
      <c r="H38" s="48">
        <v>0</v>
      </c>
    </row>
    <row r="39" spans="1:8" hidden="1">
      <c r="A39" s="7" t="s">
        <v>48</v>
      </c>
      <c r="B39" s="47">
        <v>87</v>
      </c>
      <c r="C39" s="47">
        <v>46</v>
      </c>
      <c r="D39" s="47">
        <v>41</v>
      </c>
      <c r="E39" s="7">
        <v>0</v>
      </c>
      <c r="F39" s="48">
        <v>0.52873563218390807</v>
      </c>
      <c r="G39" s="48">
        <v>0.47126436781609188</v>
      </c>
      <c r="H39" s="48">
        <v>0</v>
      </c>
    </row>
    <row r="40" spans="1:8" hidden="1">
      <c r="A40" s="7" t="s">
        <v>49</v>
      </c>
      <c r="B40" s="47">
        <v>389</v>
      </c>
      <c r="C40" s="47">
        <v>184</v>
      </c>
      <c r="D40" s="47">
        <v>205</v>
      </c>
      <c r="E40" s="7">
        <v>0</v>
      </c>
      <c r="F40" s="48">
        <v>0.47300771208226222</v>
      </c>
      <c r="G40" s="48">
        <v>0.52699228791773778</v>
      </c>
      <c r="H40" s="48">
        <v>0</v>
      </c>
    </row>
    <row r="41" spans="1:8" hidden="1">
      <c r="A41" s="7" t="s">
        <v>50</v>
      </c>
      <c r="B41" s="47">
        <v>154</v>
      </c>
      <c r="C41" s="47">
        <v>74</v>
      </c>
      <c r="D41" s="47">
        <v>80</v>
      </c>
      <c r="E41" s="7">
        <v>0</v>
      </c>
      <c r="F41" s="48">
        <v>0.48051948051948051</v>
      </c>
      <c r="G41" s="48">
        <v>0.51948051948051943</v>
      </c>
      <c r="H41" s="48">
        <v>0</v>
      </c>
    </row>
    <row r="42" spans="1:8" hidden="1">
      <c r="A42" s="7" t="s">
        <v>51</v>
      </c>
      <c r="B42" s="47">
        <v>352</v>
      </c>
      <c r="C42" s="47">
        <v>149</v>
      </c>
      <c r="D42" s="47">
        <v>203</v>
      </c>
      <c r="E42" s="7">
        <v>0</v>
      </c>
      <c r="F42" s="48">
        <v>0.42329545454545447</v>
      </c>
      <c r="G42" s="48">
        <v>0.57670454545454541</v>
      </c>
      <c r="H42" s="48">
        <v>0</v>
      </c>
    </row>
    <row r="43" spans="1:8" hidden="1">
      <c r="A43" s="7" t="s">
        <v>52</v>
      </c>
      <c r="B43" s="47">
        <v>133</v>
      </c>
      <c r="C43" s="47">
        <v>59</v>
      </c>
      <c r="D43" s="47">
        <v>74</v>
      </c>
      <c r="E43" s="7">
        <v>0</v>
      </c>
      <c r="F43" s="48">
        <v>0.44360902255639101</v>
      </c>
      <c r="G43" s="48">
        <v>0.55639097744360899</v>
      </c>
      <c r="H43" s="48">
        <v>0</v>
      </c>
    </row>
    <row r="44" spans="1:8" hidden="1">
      <c r="A44" s="7" t="s">
        <v>53</v>
      </c>
      <c r="B44" s="47">
        <v>422</v>
      </c>
      <c r="C44" s="47">
        <v>185</v>
      </c>
      <c r="D44" s="47">
        <v>237</v>
      </c>
      <c r="E44" s="7">
        <v>0</v>
      </c>
      <c r="F44" s="48">
        <v>0.43838862559241698</v>
      </c>
      <c r="G44" s="48">
        <v>0.56161137440758291</v>
      </c>
      <c r="H44" s="48">
        <v>0</v>
      </c>
    </row>
    <row r="45" spans="1:8" hidden="1">
      <c r="A45" s="7" t="s">
        <v>54</v>
      </c>
      <c r="B45" s="47">
        <v>125</v>
      </c>
      <c r="C45" s="47">
        <v>70</v>
      </c>
      <c r="D45" s="47">
        <v>55</v>
      </c>
      <c r="E45" s="7">
        <v>0</v>
      </c>
      <c r="F45" s="48">
        <v>0.56000000000000005</v>
      </c>
      <c r="G45" s="48">
        <v>0.44</v>
      </c>
      <c r="H45" s="48">
        <v>0</v>
      </c>
    </row>
    <row r="46" spans="1:8" hidden="1">
      <c r="A46" s="7" t="s">
        <v>55</v>
      </c>
      <c r="B46" s="47">
        <v>340</v>
      </c>
      <c r="C46" s="47">
        <v>143</v>
      </c>
      <c r="D46" s="47">
        <v>197</v>
      </c>
      <c r="E46" s="7">
        <v>0</v>
      </c>
      <c r="F46" s="48">
        <v>0.42058823529411771</v>
      </c>
      <c r="G46" s="48">
        <v>0.5794117647058824</v>
      </c>
      <c r="H46" s="48">
        <v>0</v>
      </c>
    </row>
    <row r="47" spans="1:8" hidden="1">
      <c r="A47" s="7" t="s">
        <v>56</v>
      </c>
      <c r="B47" s="47">
        <v>129</v>
      </c>
      <c r="C47" s="47">
        <v>81</v>
      </c>
      <c r="D47" s="47">
        <v>48</v>
      </c>
      <c r="E47" s="7">
        <v>0</v>
      </c>
      <c r="F47" s="48">
        <v>0.62790697674418616</v>
      </c>
      <c r="G47" s="48">
        <v>0.37209302325581389</v>
      </c>
      <c r="H47" s="48">
        <v>0</v>
      </c>
    </row>
    <row r="48" spans="1:8" hidden="1">
      <c r="A48" s="7" t="s">
        <v>57</v>
      </c>
      <c r="B48" s="47">
        <v>308</v>
      </c>
      <c r="C48" s="47">
        <v>124</v>
      </c>
      <c r="D48" s="47">
        <v>183</v>
      </c>
      <c r="E48" s="7">
        <v>1</v>
      </c>
      <c r="F48" s="48">
        <v>0.40259740259740262</v>
      </c>
      <c r="G48" s="48">
        <v>0.5941558441558441</v>
      </c>
      <c r="H48" s="48">
        <v>3.246753246753247E-3</v>
      </c>
    </row>
    <row r="49" spans="1:8" hidden="1">
      <c r="A49" s="7" t="s">
        <v>58</v>
      </c>
      <c r="B49" s="47">
        <v>120</v>
      </c>
      <c r="C49" s="47">
        <v>67</v>
      </c>
      <c r="D49" s="47">
        <v>52</v>
      </c>
      <c r="E49" s="7">
        <v>1</v>
      </c>
      <c r="F49" s="48">
        <v>0.55833333333333335</v>
      </c>
      <c r="G49" s="48">
        <v>0.4333333333333334</v>
      </c>
      <c r="H49" s="48">
        <v>8.3333333333333332E-3</v>
      </c>
    </row>
    <row r="50" spans="1:8" hidden="1">
      <c r="A50" s="7" t="s">
        <v>59</v>
      </c>
      <c r="B50" s="47">
        <v>410</v>
      </c>
      <c r="C50" s="47">
        <v>177</v>
      </c>
      <c r="D50" s="47">
        <v>233</v>
      </c>
      <c r="E50" s="7">
        <v>0</v>
      </c>
      <c r="F50" s="48">
        <v>0.43170731707317073</v>
      </c>
      <c r="G50" s="48">
        <v>0.56829268292682922</v>
      </c>
      <c r="H50" s="48">
        <v>0</v>
      </c>
    </row>
    <row r="51" spans="1:8" hidden="1">
      <c r="A51" s="7" t="s">
        <v>60</v>
      </c>
      <c r="B51" s="47">
        <v>137</v>
      </c>
      <c r="C51" s="47">
        <v>62</v>
      </c>
      <c r="D51" s="47">
        <v>75</v>
      </c>
      <c r="E51" s="7">
        <v>0</v>
      </c>
      <c r="F51" s="48">
        <v>0.45255474452554739</v>
      </c>
      <c r="G51" s="48">
        <v>0.54744525547445255</v>
      </c>
      <c r="H51" s="48">
        <v>0</v>
      </c>
    </row>
    <row r="52" spans="1:8" hidden="1">
      <c r="A52" s="7" t="s">
        <v>61</v>
      </c>
      <c r="B52" s="47">
        <v>417</v>
      </c>
      <c r="C52" s="47">
        <v>179</v>
      </c>
      <c r="D52" s="47">
        <v>238</v>
      </c>
      <c r="E52" s="7">
        <v>0</v>
      </c>
      <c r="F52" s="48">
        <v>0.42925659472422062</v>
      </c>
      <c r="G52" s="48">
        <v>0.57074340527577938</v>
      </c>
      <c r="H52" s="48">
        <v>0</v>
      </c>
    </row>
    <row r="53" spans="1:8" hidden="1">
      <c r="A53" s="7" t="s">
        <v>62</v>
      </c>
      <c r="B53" s="47">
        <v>134</v>
      </c>
      <c r="C53" s="47">
        <v>72</v>
      </c>
      <c r="D53" s="47">
        <v>62</v>
      </c>
      <c r="E53" s="7">
        <v>0</v>
      </c>
      <c r="F53" s="48">
        <v>0.53731343283582089</v>
      </c>
      <c r="G53" s="48">
        <v>0.46268656716417922</v>
      </c>
      <c r="H53" s="48">
        <v>0</v>
      </c>
    </row>
    <row r="54" spans="1:8" hidden="1">
      <c r="A54" s="7" t="s">
        <v>63</v>
      </c>
      <c r="B54" s="47">
        <v>554</v>
      </c>
      <c r="C54" s="47">
        <v>225</v>
      </c>
      <c r="D54" s="47">
        <v>328</v>
      </c>
      <c r="E54" s="7">
        <v>1</v>
      </c>
      <c r="F54" s="48">
        <v>0.40613718411552352</v>
      </c>
      <c r="G54" s="48">
        <v>0.59205776173285196</v>
      </c>
      <c r="H54" s="48">
        <v>1.805054151624549E-3</v>
      </c>
    </row>
    <row r="55" spans="1:8" hidden="1">
      <c r="A55" s="7" t="s">
        <v>64</v>
      </c>
      <c r="B55" s="47">
        <v>209</v>
      </c>
      <c r="C55" s="47">
        <v>86</v>
      </c>
      <c r="D55" s="47">
        <v>123</v>
      </c>
      <c r="E55" s="7">
        <v>0</v>
      </c>
      <c r="F55" s="48">
        <v>0.41148325358851667</v>
      </c>
      <c r="G55" s="48">
        <v>0.58851674641148322</v>
      </c>
      <c r="H55" s="48">
        <v>0</v>
      </c>
    </row>
    <row r="56" spans="1:8" hidden="1">
      <c r="A56" s="7" t="s">
        <v>65</v>
      </c>
      <c r="B56" s="47">
        <v>718</v>
      </c>
      <c r="C56" s="47">
        <v>275</v>
      </c>
      <c r="D56" s="47">
        <v>442</v>
      </c>
      <c r="E56" s="7">
        <v>1</v>
      </c>
      <c r="F56" s="48">
        <v>0.38300835654596099</v>
      </c>
      <c r="G56" s="48">
        <v>0.6155988857938719</v>
      </c>
      <c r="H56" s="48">
        <v>1.3927576601671309E-3</v>
      </c>
    </row>
    <row r="57" spans="1:8" hidden="1">
      <c r="A57" s="7" t="s">
        <v>66</v>
      </c>
      <c r="B57" s="47">
        <v>267</v>
      </c>
      <c r="C57" s="47">
        <v>115</v>
      </c>
      <c r="D57" s="47">
        <v>152</v>
      </c>
      <c r="E57" s="7">
        <v>0</v>
      </c>
      <c r="F57" s="48">
        <v>0.43071161048689138</v>
      </c>
      <c r="G57" s="48">
        <v>0.56928838951310856</v>
      </c>
      <c r="H57" s="48">
        <v>0</v>
      </c>
    </row>
    <row r="58" spans="1:8" hidden="1">
      <c r="A58" s="7" t="s">
        <v>67</v>
      </c>
      <c r="B58" s="47">
        <v>709</v>
      </c>
      <c r="C58" s="47">
        <v>252</v>
      </c>
      <c r="D58" s="47">
        <v>456</v>
      </c>
      <c r="E58" s="7">
        <v>1</v>
      </c>
      <c r="F58" s="48">
        <v>0.35543018335684062</v>
      </c>
      <c r="G58" s="48">
        <v>0.64315937940761636</v>
      </c>
      <c r="H58" s="48">
        <v>1.4104372355430181E-3</v>
      </c>
    </row>
    <row r="59" spans="1:8" hidden="1">
      <c r="A59" s="7" t="s">
        <v>68</v>
      </c>
      <c r="B59" s="47">
        <v>315</v>
      </c>
      <c r="C59" s="47">
        <v>141</v>
      </c>
      <c r="D59" s="47">
        <v>173</v>
      </c>
      <c r="E59" s="7">
        <v>1</v>
      </c>
      <c r="F59" s="48">
        <v>0.44761904761904758</v>
      </c>
      <c r="G59" s="48">
        <v>0.54920634920634925</v>
      </c>
      <c r="H59" s="48">
        <v>3.174603174603175E-3</v>
      </c>
    </row>
    <row r="60" spans="1:8" hidden="1">
      <c r="A60" s="7" t="s">
        <v>69</v>
      </c>
      <c r="B60" s="47">
        <v>740</v>
      </c>
      <c r="C60" s="47">
        <v>250</v>
      </c>
      <c r="D60" s="47">
        <v>487</v>
      </c>
      <c r="E60" s="7">
        <v>3</v>
      </c>
      <c r="F60" s="48">
        <v>0.33783783783783777</v>
      </c>
      <c r="G60" s="48">
        <v>0.65810810810810816</v>
      </c>
      <c r="H60" s="48">
        <v>4.0540540540540543E-3</v>
      </c>
    </row>
    <row r="61" spans="1:8" hidden="1">
      <c r="A61" s="7" t="s">
        <v>70</v>
      </c>
      <c r="B61" s="47">
        <v>317</v>
      </c>
      <c r="C61" s="47">
        <v>130</v>
      </c>
      <c r="D61" s="47">
        <v>183</v>
      </c>
      <c r="E61" s="7">
        <v>4</v>
      </c>
      <c r="F61" s="48">
        <v>0.41009463722397482</v>
      </c>
      <c r="G61" s="48">
        <v>0.57728706624605675</v>
      </c>
      <c r="H61" s="48">
        <v>1.261829652996845E-2</v>
      </c>
    </row>
    <row r="62" spans="1:8" hidden="1">
      <c r="A62" s="7" t="s">
        <v>71</v>
      </c>
      <c r="B62" s="47">
        <v>653</v>
      </c>
      <c r="C62" s="47">
        <v>207</v>
      </c>
      <c r="D62" s="47">
        <v>444</v>
      </c>
      <c r="E62" s="7">
        <v>2</v>
      </c>
      <c r="F62" s="48">
        <v>0.31699846860643183</v>
      </c>
      <c r="G62" s="48">
        <v>0.67993874425727407</v>
      </c>
      <c r="H62" s="48">
        <v>3.0627871362940281E-3</v>
      </c>
    </row>
    <row r="63" spans="1:8" hidden="1">
      <c r="A63" s="7" t="s">
        <v>72</v>
      </c>
      <c r="B63" s="47">
        <v>301</v>
      </c>
      <c r="C63" s="47">
        <v>121</v>
      </c>
      <c r="D63" s="47">
        <v>175</v>
      </c>
      <c r="E63" s="7">
        <v>5</v>
      </c>
      <c r="F63" s="48">
        <v>0.4019933554817276</v>
      </c>
      <c r="G63" s="48">
        <v>0.58139534883720934</v>
      </c>
      <c r="H63" s="48">
        <v>1.6611295681063121E-2</v>
      </c>
    </row>
    <row r="64" spans="1:8" hidden="1">
      <c r="A64" s="7" t="s">
        <v>73</v>
      </c>
      <c r="B64" s="47">
        <v>593</v>
      </c>
      <c r="C64" s="47">
        <v>190</v>
      </c>
      <c r="D64" s="47">
        <v>401</v>
      </c>
      <c r="E64" s="7">
        <v>2</v>
      </c>
      <c r="F64" s="48">
        <v>0.32040472175379431</v>
      </c>
      <c r="G64" s="48">
        <v>0.67622259696458686</v>
      </c>
      <c r="H64" s="48">
        <v>3.3726812816188868E-3</v>
      </c>
    </row>
    <row r="65" spans="1:8" hidden="1">
      <c r="A65" s="7" t="s">
        <v>74</v>
      </c>
      <c r="B65" s="47">
        <v>381</v>
      </c>
      <c r="C65" s="47">
        <v>148</v>
      </c>
      <c r="D65" s="47">
        <v>228</v>
      </c>
      <c r="E65" s="7">
        <v>5</v>
      </c>
      <c r="F65" s="48">
        <v>0.3884514435695538</v>
      </c>
      <c r="G65" s="48">
        <v>0.59842519685039375</v>
      </c>
      <c r="H65" s="48">
        <v>1.312335958005249E-2</v>
      </c>
    </row>
    <row r="66" spans="1:8" hidden="1">
      <c r="A66" s="7" t="s">
        <v>75</v>
      </c>
      <c r="B66" s="47">
        <v>682</v>
      </c>
      <c r="C66" s="47">
        <v>217</v>
      </c>
      <c r="D66" s="47">
        <v>455</v>
      </c>
      <c r="E66" s="7">
        <v>10</v>
      </c>
      <c r="F66" s="48">
        <v>0.31818181818181818</v>
      </c>
      <c r="G66" s="48">
        <v>0.6671554252199412</v>
      </c>
      <c r="H66" s="48">
        <v>1.466275659824047E-2</v>
      </c>
    </row>
    <row r="67" spans="1:8" hidden="1">
      <c r="A67" s="7" t="s">
        <v>76</v>
      </c>
      <c r="B67" s="47">
        <v>444</v>
      </c>
      <c r="C67" s="47">
        <v>172</v>
      </c>
      <c r="D67" s="47">
        <v>265</v>
      </c>
      <c r="E67" s="7">
        <v>7</v>
      </c>
      <c r="F67" s="48">
        <v>0.38738738738738743</v>
      </c>
      <c r="G67" s="48">
        <v>0.59684684684684686</v>
      </c>
      <c r="H67" s="48">
        <v>1.5765765765765761E-2</v>
      </c>
    </row>
    <row r="68" spans="1:8" hidden="1">
      <c r="A68" s="7" t="s">
        <v>77</v>
      </c>
      <c r="B68" s="47">
        <v>661</v>
      </c>
      <c r="C68" s="47">
        <v>227</v>
      </c>
      <c r="D68" s="47">
        <v>420</v>
      </c>
      <c r="E68" s="7">
        <v>14</v>
      </c>
      <c r="F68" s="48">
        <v>0.34341906202723149</v>
      </c>
      <c r="G68" s="48">
        <v>0.63540090771558244</v>
      </c>
      <c r="H68" s="48">
        <v>2.118003025718608E-2</v>
      </c>
    </row>
    <row r="69" spans="1:8" hidden="1">
      <c r="A69" s="7" t="s">
        <v>78</v>
      </c>
      <c r="B69" s="47">
        <v>477</v>
      </c>
      <c r="C69" s="47">
        <v>176</v>
      </c>
      <c r="D69" s="47">
        <v>284</v>
      </c>
      <c r="E69" s="7">
        <v>17</v>
      </c>
      <c r="F69" s="48">
        <v>0.36897274633123689</v>
      </c>
      <c r="G69" s="48">
        <v>0.5953878406708597</v>
      </c>
      <c r="H69" s="48">
        <v>3.5639412997903561E-2</v>
      </c>
    </row>
    <row r="70" spans="1:8" hidden="1">
      <c r="A70" s="7" t="s">
        <v>79</v>
      </c>
      <c r="B70" s="47">
        <v>573</v>
      </c>
      <c r="C70" s="47">
        <v>181</v>
      </c>
      <c r="D70" s="47">
        <v>367</v>
      </c>
      <c r="E70" s="7">
        <v>25</v>
      </c>
      <c r="F70" s="48">
        <v>0.31588132635253052</v>
      </c>
      <c r="G70" s="48">
        <v>0.64048865619546258</v>
      </c>
      <c r="H70" s="48">
        <v>4.3630017452006981E-2</v>
      </c>
    </row>
    <row r="71" spans="1:8" hidden="1">
      <c r="A71" s="7" t="s">
        <v>80</v>
      </c>
      <c r="B71" s="47">
        <v>469</v>
      </c>
      <c r="C71" s="47">
        <v>165</v>
      </c>
      <c r="D71" s="47">
        <v>258</v>
      </c>
      <c r="E71" s="7">
        <v>46</v>
      </c>
      <c r="F71" s="48">
        <v>0.35181236673773991</v>
      </c>
      <c r="G71" s="48">
        <v>0.55010660980810233</v>
      </c>
      <c r="H71" s="48">
        <v>9.8081023454157784E-2</v>
      </c>
    </row>
    <row r="72" spans="1:8" hidden="1">
      <c r="A72" s="7" t="s">
        <v>81</v>
      </c>
      <c r="B72" s="47">
        <v>723</v>
      </c>
      <c r="C72" s="47">
        <v>233</v>
      </c>
      <c r="D72" s="47">
        <v>396</v>
      </c>
      <c r="E72" s="7">
        <v>94</v>
      </c>
      <c r="F72" s="48">
        <v>0.32226832641770398</v>
      </c>
      <c r="G72" s="48">
        <v>0.5477178423236515</v>
      </c>
      <c r="H72" s="48">
        <v>0.13001383125864449</v>
      </c>
    </row>
    <row r="73" spans="1:8" hidden="1">
      <c r="A73" s="7" t="s">
        <v>82</v>
      </c>
      <c r="B73" s="47">
        <v>826</v>
      </c>
      <c r="C73" s="47">
        <v>220</v>
      </c>
      <c r="D73" s="47">
        <v>370</v>
      </c>
      <c r="E73" s="7">
        <v>236</v>
      </c>
      <c r="F73" s="48">
        <v>0.26634382566585962</v>
      </c>
      <c r="G73" s="48">
        <v>0.44794188861985468</v>
      </c>
      <c r="H73" s="48">
        <v>0.2857142857142857</v>
      </c>
    </row>
    <row r="74" spans="1:8" hidden="1">
      <c r="A74" s="7" t="s">
        <v>83</v>
      </c>
      <c r="B74" s="47">
        <v>579</v>
      </c>
      <c r="C74" s="47">
        <v>156</v>
      </c>
      <c r="D74" s="47">
        <v>162</v>
      </c>
      <c r="E74" s="7">
        <v>261</v>
      </c>
      <c r="F74" s="48">
        <v>0.26943005181347152</v>
      </c>
      <c r="G74" s="48">
        <v>0.27979274611398958</v>
      </c>
      <c r="H74" s="48">
        <v>0.45077720207253891</v>
      </c>
    </row>
    <row r="75" spans="1:8" hidden="1">
      <c r="A75" s="7" t="s">
        <v>84</v>
      </c>
      <c r="B75" s="47">
        <v>959</v>
      </c>
      <c r="C75" s="47">
        <v>284</v>
      </c>
      <c r="D75" s="47">
        <v>13</v>
      </c>
      <c r="E75" s="7">
        <v>662</v>
      </c>
      <c r="F75" s="48">
        <v>0.29614181438998949</v>
      </c>
      <c r="G75" s="48">
        <v>1.355578727841502E-2</v>
      </c>
      <c r="H75" s="48">
        <v>0.69030239833159557</v>
      </c>
    </row>
    <row r="76" spans="1:8" hidden="1">
      <c r="A76" s="7" t="s">
        <v>85</v>
      </c>
      <c r="B76" s="47">
        <v>674</v>
      </c>
      <c r="C76" s="47">
        <v>187</v>
      </c>
      <c r="D76" s="47">
        <v>0</v>
      </c>
      <c r="E76" s="7">
        <v>487</v>
      </c>
      <c r="F76" s="48">
        <v>0.27744807121661719</v>
      </c>
      <c r="G76" s="48">
        <v>0</v>
      </c>
      <c r="H76" s="48">
        <v>0.72255192878338281</v>
      </c>
    </row>
    <row r="77" spans="1:8" hidden="1">
      <c r="A77" s="7" t="s">
        <v>86</v>
      </c>
      <c r="B77" s="47">
        <v>812</v>
      </c>
      <c r="C77" s="47">
        <v>200</v>
      </c>
      <c r="D77" s="47">
        <v>2</v>
      </c>
      <c r="E77" s="7">
        <v>610</v>
      </c>
      <c r="F77" s="48">
        <v>0.2463054187192118</v>
      </c>
      <c r="G77" s="48">
        <v>2.4630541871921178E-3</v>
      </c>
      <c r="H77" s="48">
        <v>0.75123152709359609</v>
      </c>
    </row>
    <row r="78" spans="1:8" hidden="1">
      <c r="A78" s="7" t="s">
        <v>87</v>
      </c>
      <c r="B78" s="47">
        <v>620</v>
      </c>
      <c r="C78" s="47">
        <v>137</v>
      </c>
      <c r="D78" s="47">
        <v>0</v>
      </c>
      <c r="E78" s="7">
        <v>483</v>
      </c>
      <c r="F78" s="48">
        <v>0.22096774193548391</v>
      </c>
      <c r="G78" s="48">
        <v>0</v>
      </c>
      <c r="H78" s="48">
        <v>0.77903225806451615</v>
      </c>
    </row>
    <row r="79" spans="1:8" hidden="1">
      <c r="A79" s="7" t="s">
        <v>88</v>
      </c>
      <c r="B79" s="47">
        <v>646</v>
      </c>
      <c r="C79" s="47">
        <v>123</v>
      </c>
      <c r="D79" s="47">
        <v>0</v>
      </c>
      <c r="E79" s="7">
        <v>523</v>
      </c>
      <c r="F79" s="48">
        <v>0.19040247678018579</v>
      </c>
      <c r="G79" s="48">
        <v>0</v>
      </c>
      <c r="H79" s="48">
        <v>0.80959752321981426</v>
      </c>
    </row>
    <row r="80" spans="1:8" hidden="1">
      <c r="A80" s="7" t="s">
        <v>89</v>
      </c>
      <c r="B80" s="47">
        <v>571</v>
      </c>
      <c r="C80" s="47">
        <v>110</v>
      </c>
      <c r="D80" s="47">
        <v>0</v>
      </c>
      <c r="E80" s="7">
        <v>461</v>
      </c>
      <c r="F80" s="48">
        <v>0.19264448336252191</v>
      </c>
      <c r="G80" s="48">
        <v>0</v>
      </c>
      <c r="H80" s="48">
        <v>0.80735551663747807</v>
      </c>
    </row>
    <row r="81" spans="1:8">
      <c r="A81" s="7" t="s">
        <v>8</v>
      </c>
      <c r="B81" s="47">
        <v>466</v>
      </c>
      <c r="C81" s="47">
        <v>78</v>
      </c>
      <c r="D81" s="47">
        <v>0</v>
      </c>
      <c r="E81" s="7">
        <v>388</v>
      </c>
      <c r="F81" s="48">
        <v>0.16738197424892701</v>
      </c>
      <c r="G81" s="48">
        <v>0</v>
      </c>
      <c r="H81" s="48">
        <v>0.83261802575107291</v>
      </c>
    </row>
    <row r="82" spans="1:8">
      <c r="A82" s="7" t="s">
        <v>9</v>
      </c>
      <c r="B82" s="47">
        <v>492</v>
      </c>
      <c r="C82" s="47">
        <v>81</v>
      </c>
      <c r="D82" s="47">
        <v>0</v>
      </c>
      <c r="E82" s="7">
        <v>411</v>
      </c>
      <c r="F82" s="48">
        <v>0.16463414634146339</v>
      </c>
      <c r="G82" s="48">
        <v>0</v>
      </c>
      <c r="H82" s="48">
        <v>0.83536585365853655</v>
      </c>
    </row>
    <row r="83" spans="1:8">
      <c r="A83" s="7" t="s">
        <v>10</v>
      </c>
      <c r="B83" s="47">
        <v>569</v>
      </c>
      <c r="C83" s="47">
        <v>46</v>
      </c>
      <c r="D83" s="47">
        <v>0</v>
      </c>
      <c r="E83" s="7">
        <v>523</v>
      </c>
      <c r="F83" s="48">
        <v>8.0843585237258347E-2</v>
      </c>
      <c r="G83" s="48">
        <v>0</v>
      </c>
      <c r="H83" s="48">
        <v>0.91915641476274168</v>
      </c>
    </row>
    <row r="84" spans="1:8">
      <c r="A84" s="7" t="s">
        <v>90</v>
      </c>
      <c r="B84" s="47">
        <v>1</v>
      </c>
      <c r="C84" s="47">
        <v>0</v>
      </c>
      <c r="D84" s="47">
        <v>0</v>
      </c>
      <c r="E84" s="7">
        <v>1</v>
      </c>
      <c r="F84" s="48">
        <v>0</v>
      </c>
      <c r="G84" s="48">
        <v>0</v>
      </c>
      <c r="H84" s="48">
        <v>1</v>
      </c>
    </row>
    <row r="86" spans="1:8">
      <c r="B86" s="51">
        <v>2021</v>
      </c>
      <c r="C86" s="51">
        <v>2022</v>
      </c>
    </row>
    <row r="87" spans="1:8">
      <c r="B87" s="50">
        <f>((B82*F82)+(B83*F83))/(B82+B83)</f>
        <v>0.11969839773798302</v>
      </c>
      <c r="C87" s="50">
        <f>F84</f>
        <v>0</v>
      </c>
    </row>
  </sheetData>
  <autoFilter ref="A1:H84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L38"/>
  <sheetViews>
    <sheetView showGridLines="0" topLeftCell="A9" zoomScaleNormal="100" workbookViewId="0">
      <selection activeCell="E27" sqref="E27"/>
    </sheetView>
  </sheetViews>
  <sheetFormatPr baseColWidth="10" defaultColWidth="11.44140625" defaultRowHeight="10.199999999999999"/>
  <cols>
    <col min="1" max="1" width="6.5546875" style="4" customWidth="1"/>
    <col min="2" max="2" width="11.109375" style="5" customWidth="1"/>
    <col min="3" max="3" width="10.44140625" style="6" customWidth="1"/>
    <col min="4" max="5" width="11" style="6" customWidth="1"/>
    <col min="6" max="6" width="13" style="6" customWidth="1"/>
    <col min="7" max="7" width="12.6640625" style="6" customWidth="1"/>
    <col min="8" max="8" width="11" style="6" customWidth="1"/>
    <col min="9" max="9" width="12.33203125" style="6" customWidth="1"/>
    <col min="10" max="16384" width="11.44140625" style="7"/>
  </cols>
  <sheetData>
    <row r="2" spans="1:9">
      <c r="B2" s="208" t="s">
        <v>91</v>
      </c>
      <c r="C2" s="208"/>
      <c r="D2" s="208"/>
      <c r="E2" s="208"/>
      <c r="F2" s="208"/>
      <c r="G2" s="208"/>
      <c r="H2" s="208"/>
      <c r="I2" s="208"/>
    </row>
    <row r="3" spans="1:9" ht="12" customHeight="1">
      <c r="B3" s="209" t="s">
        <v>240</v>
      </c>
      <c r="C3" s="209"/>
      <c r="D3" s="209"/>
      <c r="E3" s="209"/>
      <c r="F3" s="209"/>
      <c r="G3" s="209"/>
      <c r="H3" s="209"/>
      <c r="I3" s="209"/>
    </row>
    <row r="4" spans="1:9" ht="11.25" customHeight="1" thickBot="1">
      <c r="A4" s="8"/>
      <c r="B4" s="207" t="s">
        <v>92</v>
      </c>
      <c r="C4" s="207"/>
      <c r="D4" s="207"/>
      <c r="E4" s="207"/>
      <c r="F4" s="207"/>
      <c r="G4" s="207"/>
      <c r="H4" s="207"/>
      <c r="I4" s="207"/>
    </row>
    <row r="5" spans="1:9" s="9" customFormat="1" ht="42" customHeight="1">
      <c r="A5" s="1"/>
      <c r="B5" s="63" t="s">
        <v>0</v>
      </c>
      <c r="C5" s="64" t="s">
        <v>93</v>
      </c>
      <c r="D5" s="64" t="s">
        <v>94</v>
      </c>
      <c r="E5" s="64" t="s">
        <v>95</v>
      </c>
      <c r="F5" s="64" t="s">
        <v>96</v>
      </c>
      <c r="G5" s="64" t="s">
        <v>97</v>
      </c>
      <c r="H5" s="64" t="s">
        <v>98</v>
      </c>
      <c r="I5" s="65" t="s">
        <v>99</v>
      </c>
    </row>
    <row r="6" spans="1:9" ht="15.75" customHeight="1">
      <c r="A6" s="10"/>
      <c r="B6" s="67">
        <v>201310</v>
      </c>
      <c r="C6" s="53">
        <v>477</v>
      </c>
      <c r="D6" s="53">
        <v>107</v>
      </c>
      <c r="E6" s="68">
        <v>0.22431865828092243</v>
      </c>
      <c r="F6" s="53">
        <v>0</v>
      </c>
      <c r="G6" s="68">
        <v>0</v>
      </c>
      <c r="H6" s="53">
        <v>370</v>
      </c>
      <c r="I6" s="108">
        <v>0.77568134171907754</v>
      </c>
    </row>
    <row r="7" spans="1:9" ht="17.25" customHeight="1">
      <c r="A7" s="11"/>
      <c r="B7" s="67">
        <v>201320</v>
      </c>
      <c r="C7" s="57">
        <v>580</v>
      </c>
      <c r="D7" s="57">
        <v>136</v>
      </c>
      <c r="E7" s="76">
        <v>0.23448275862068965</v>
      </c>
      <c r="F7" s="57">
        <v>0</v>
      </c>
      <c r="G7" s="76">
        <v>0</v>
      </c>
      <c r="H7" s="59">
        <v>444</v>
      </c>
      <c r="I7" s="79">
        <v>0.76551724137931032</v>
      </c>
    </row>
    <row r="8" spans="1:9" ht="17.25" customHeight="1">
      <c r="A8" s="11"/>
      <c r="B8" s="67">
        <v>201410</v>
      </c>
      <c r="C8" s="57">
        <v>475</v>
      </c>
      <c r="D8" s="57">
        <v>110</v>
      </c>
      <c r="E8" s="76">
        <v>0.23200000000000001</v>
      </c>
      <c r="F8" s="57">
        <v>0</v>
      </c>
      <c r="G8" s="76">
        <v>0</v>
      </c>
      <c r="H8" s="59">
        <v>365</v>
      </c>
      <c r="I8" s="79">
        <v>0.76800000000000002</v>
      </c>
    </row>
    <row r="9" spans="1:9" ht="17.25" customHeight="1">
      <c r="A9" s="11"/>
      <c r="B9" s="67">
        <v>201420</v>
      </c>
      <c r="C9" s="57">
        <v>739</v>
      </c>
      <c r="D9" s="57">
        <v>175</v>
      </c>
      <c r="E9" s="76">
        <v>0.23699999999999999</v>
      </c>
      <c r="F9" s="57">
        <v>0</v>
      </c>
      <c r="G9" s="76">
        <v>0</v>
      </c>
      <c r="H9" s="59">
        <v>564</v>
      </c>
      <c r="I9" s="79">
        <v>0.76300000000000001</v>
      </c>
    </row>
    <row r="10" spans="1:9" ht="17.25" customHeight="1">
      <c r="A10" s="11"/>
      <c r="B10" s="67">
        <v>201510</v>
      </c>
      <c r="C10" s="57">
        <v>838</v>
      </c>
      <c r="D10" s="57">
        <v>159</v>
      </c>
      <c r="E10" s="76">
        <v>0.19</v>
      </c>
      <c r="F10" s="57">
        <v>0</v>
      </c>
      <c r="G10" s="76">
        <v>0</v>
      </c>
      <c r="H10" s="59">
        <v>679</v>
      </c>
      <c r="I10" s="79">
        <v>0.81</v>
      </c>
    </row>
    <row r="11" spans="1:9" ht="17.25" customHeight="1">
      <c r="A11" s="11"/>
      <c r="B11" s="67">
        <v>201520</v>
      </c>
      <c r="C11" s="57">
        <v>591</v>
      </c>
      <c r="D11" s="57">
        <v>119</v>
      </c>
      <c r="E11" s="76">
        <v>0.20135363790186125</v>
      </c>
      <c r="F11" s="57">
        <v>0</v>
      </c>
      <c r="G11" s="76">
        <v>0</v>
      </c>
      <c r="H11" s="59">
        <v>472</v>
      </c>
      <c r="I11" s="79">
        <v>0.79864636209813877</v>
      </c>
    </row>
    <row r="12" spans="1:9" ht="17.25" customHeight="1">
      <c r="A12" s="11"/>
      <c r="B12" s="67">
        <v>201610</v>
      </c>
      <c r="C12" s="57">
        <v>985</v>
      </c>
      <c r="D12" s="57">
        <v>190</v>
      </c>
      <c r="E12" s="76">
        <v>0.19289340101522842</v>
      </c>
      <c r="F12" s="57">
        <v>0</v>
      </c>
      <c r="G12" s="76">
        <v>0</v>
      </c>
      <c r="H12" s="59">
        <v>795</v>
      </c>
      <c r="I12" s="79">
        <v>0.80710659898477155</v>
      </c>
    </row>
    <row r="13" spans="1:9" ht="15" customHeight="1">
      <c r="A13" s="11"/>
      <c r="B13" s="67">
        <v>201620</v>
      </c>
      <c r="C13" s="57">
        <v>669</v>
      </c>
      <c r="D13" s="57">
        <v>137</v>
      </c>
      <c r="E13" s="76">
        <v>0.20478325859491778</v>
      </c>
      <c r="F13" s="53">
        <v>0</v>
      </c>
      <c r="G13" s="76">
        <v>0</v>
      </c>
      <c r="H13" s="59">
        <v>532</v>
      </c>
      <c r="I13" s="79">
        <v>0.79521674140508225</v>
      </c>
    </row>
    <row r="14" spans="1:9" ht="17.25" customHeight="1">
      <c r="A14" s="11"/>
      <c r="B14" s="67">
        <v>201710</v>
      </c>
      <c r="C14" s="57">
        <v>812</v>
      </c>
      <c r="D14" s="57">
        <v>156</v>
      </c>
      <c r="E14" s="58">
        <v>0.19211822660098521</v>
      </c>
      <c r="F14" s="57">
        <v>0</v>
      </c>
      <c r="G14" s="58">
        <v>0</v>
      </c>
      <c r="H14" s="57">
        <v>656</v>
      </c>
      <c r="I14" s="62">
        <v>0.80788177339901479</v>
      </c>
    </row>
    <row r="15" spans="1:9" ht="17.25" customHeight="1">
      <c r="A15" s="11"/>
      <c r="B15" s="67">
        <v>201720</v>
      </c>
      <c r="C15" s="57">
        <v>619</v>
      </c>
      <c r="D15" s="57">
        <v>107</v>
      </c>
      <c r="E15" s="58">
        <v>0.172859450726979</v>
      </c>
      <c r="F15" s="57">
        <v>0</v>
      </c>
      <c r="G15" s="58">
        <v>0</v>
      </c>
      <c r="H15" s="57">
        <v>512</v>
      </c>
      <c r="I15" s="62">
        <v>0.82714054927302105</v>
      </c>
    </row>
    <row r="16" spans="1:9" ht="17.25" customHeight="1">
      <c r="A16" s="11"/>
      <c r="B16" s="67">
        <v>201810</v>
      </c>
      <c r="C16" s="57">
        <v>647</v>
      </c>
      <c r="D16" s="57">
        <v>114</v>
      </c>
      <c r="E16" s="58">
        <v>0.17619783616692428</v>
      </c>
      <c r="F16" s="57">
        <v>0</v>
      </c>
      <c r="G16" s="58">
        <v>0</v>
      </c>
      <c r="H16" s="57">
        <v>533</v>
      </c>
      <c r="I16" s="62">
        <v>0.8238021638330757</v>
      </c>
    </row>
    <row r="17" spans="1:12" ht="17.25" customHeight="1">
      <c r="A17" s="11"/>
      <c r="B17" s="67">
        <v>201820</v>
      </c>
      <c r="C17" s="57">
        <v>570</v>
      </c>
      <c r="D17" s="57">
        <v>90</v>
      </c>
      <c r="E17" s="58">
        <v>0.15789473684210525</v>
      </c>
      <c r="F17" s="57">
        <v>0</v>
      </c>
      <c r="G17" s="58">
        <v>0</v>
      </c>
      <c r="H17" s="57">
        <v>480</v>
      </c>
      <c r="I17" s="62">
        <v>0.84210526315789469</v>
      </c>
    </row>
    <row r="18" spans="1:12" ht="17.25" customHeight="1">
      <c r="A18" s="11"/>
      <c r="B18" s="67">
        <v>201910</v>
      </c>
      <c r="C18" s="57">
        <v>466</v>
      </c>
      <c r="D18" s="57">
        <v>78</v>
      </c>
      <c r="E18" s="58">
        <v>0.16738197424892701</v>
      </c>
      <c r="F18" s="57">
        <v>0</v>
      </c>
      <c r="G18" s="58">
        <v>0</v>
      </c>
      <c r="H18" s="57">
        <v>388</v>
      </c>
      <c r="I18" s="62">
        <v>0.83261802575107291</v>
      </c>
    </row>
    <row r="19" spans="1:12" ht="17.25" customHeight="1">
      <c r="A19" s="11"/>
      <c r="B19" s="67">
        <v>201920</v>
      </c>
      <c r="C19" s="57">
        <v>492</v>
      </c>
      <c r="D19" s="57">
        <v>81</v>
      </c>
      <c r="E19" s="58">
        <v>0.16463414634146339</v>
      </c>
      <c r="F19" s="57">
        <v>0</v>
      </c>
      <c r="G19" s="58">
        <v>0</v>
      </c>
      <c r="H19" s="57">
        <v>411</v>
      </c>
      <c r="I19" s="62">
        <v>0.83536585365853655</v>
      </c>
    </row>
    <row r="20" spans="1:12" ht="17.25" customHeight="1">
      <c r="A20" s="11"/>
      <c r="B20" s="67">
        <v>202010</v>
      </c>
      <c r="C20" s="57">
        <v>568</v>
      </c>
      <c r="D20" s="57">
        <v>66</v>
      </c>
      <c r="E20" s="58">
        <v>0.11619718309859151</v>
      </c>
      <c r="F20" s="57">
        <v>0</v>
      </c>
      <c r="G20" s="58">
        <v>0</v>
      </c>
      <c r="H20" s="57">
        <v>502</v>
      </c>
      <c r="I20" s="62">
        <v>0.88380281690140849</v>
      </c>
    </row>
    <row r="21" spans="1:12" ht="17.25" customHeight="1">
      <c r="A21" s="11"/>
      <c r="B21" s="67">
        <v>202020</v>
      </c>
      <c r="C21" s="57">
        <v>536</v>
      </c>
      <c r="D21" s="57">
        <v>62</v>
      </c>
      <c r="E21" s="58">
        <v>0.1157</v>
      </c>
      <c r="F21" s="57">
        <v>0</v>
      </c>
      <c r="G21" s="58">
        <v>0</v>
      </c>
      <c r="H21" s="57">
        <v>474</v>
      </c>
      <c r="I21" s="62">
        <v>0.88429999999999997</v>
      </c>
    </row>
    <row r="22" spans="1:12" ht="17.25" customHeight="1">
      <c r="A22" s="11"/>
      <c r="B22" s="67">
        <v>202110</v>
      </c>
      <c r="C22" s="57">
        <v>474</v>
      </c>
      <c r="D22" s="57">
        <v>46</v>
      </c>
      <c r="E22" s="58">
        <v>9.7046413502109699E-2</v>
      </c>
      <c r="F22" s="57">
        <v>0</v>
      </c>
      <c r="G22" s="58">
        <v>0</v>
      </c>
      <c r="H22" s="57">
        <v>428</v>
      </c>
      <c r="I22" s="62">
        <v>0.90295358649789026</v>
      </c>
    </row>
    <row r="23" spans="1:12" ht="17.25" customHeight="1">
      <c r="A23" s="11"/>
      <c r="B23" s="67">
        <v>202120</v>
      </c>
      <c r="C23" s="57">
        <v>509</v>
      </c>
      <c r="D23" s="57">
        <v>70</v>
      </c>
      <c r="E23" s="58">
        <v>0.13752455795677801</v>
      </c>
      <c r="F23" s="57">
        <v>0</v>
      </c>
      <c r="G23" s="58">
        <v>0</v>
      </c>
      <c r="H23" s="57">
        <v>439</v>
      </c>
      <c r="I23" s="62">
        <v>0.86247544204322202</v>
      </c>
    </row>
    <row r="24" spans="1:12" ht="17.25" customHeight="1">
      <c r="A24" s="11"/>
      <c r="B24" s="67">
        <v>202210</v>
      </c>
      <c r="C24" s="57">
        <v>584</v>
      </c>
      <c r="D24" s="57">
        <v>70</v>
      </c>
      <c r="E24" s="58">
        <f>D24/C24</f>
        <v>0.11986301369863013</v>
      </c>
      <c r="F24" s="57">
        <v>0</v>
      </c>
      <c r="G24" s="58">
        <f>F24/C24</f>
        <v>0</v>
      </c>
      <c r="H24" s="57">
        <v>514</v>
      </c>
      <c r="I24" s="62">
        <f>H24/C24</f>
        <v>0.88013698630136983</v>
      </c>
    </row>
    <row r="25" spans="1:12" ht="17.25" customHeight="1">
      <c r="A25" s="11"/>
      <c r="B25" s="67">
        <v>202220</v>
      </c>
      <c r="C25" s="57">
        <v>641</v>
      </c>
      <c r="D25" s="57">
        <v>94</v>
      </c>
      <c r="E25" s="58">
        <f>D25/C25</f>
        <v>0.14664586583463338</v>
      </c>
      <c r="F25" s="57">
        <v>0</v>
      </c>
      <c r="G25" s="58">
        <f>F25/C25</f>
        <v>0</v>
      </c>
      <c r="H25" s="57">
        <v>547</v>
      </c>
      <c r="I25" s="62">
        <f>H25/C25</f>
        <v>0.85335413416536665</v>
      </c>
    </row>
    <row r="26" spans="1:12" ht="17.25" customHeight="1" thickBot="1">
      <c r="A26" s="11"/>
      <c r="B26" s="176">
        <v>202310</v>
      </c>
      <c r="C26" s="177">
        <v>552</v>
      </c>
      <c r="D26" s="177">
        <v>77</v>
      </c>
      <c r="E26" s="178">
        <f>D26/C26</f>
        <v>0.13949275362318841</v>
      </c>
      <c r="F26" s="177">
        <v>0</v>
      </c>
      <c r="G26" s="178">
        <f>F26/C26</f>
        <v>0</v>
      </c>
      <c r="H26" s="177">
        <v>475</v>
      </c>
      <c r="I26" s="179">
        <f>H26/C26</f>
        <v>0.86050724637681164</v>
      </c>
      <c r="K26" s="47"/>
    </row>
    <row r="27" spans="1:12">
      <c r="C27" s="248">
        <f>SUM(C6:C26)</f>
        <v>12824</v>
      </c>
      <c r="D27" s="248">
        <f>SUM(D6:D26)</f>
        <v>2244</v>
      </c>
      <c r="E27" s="249">
        <f>D27/C27</f>
        <v>0.17498440424204617</v>
      </c>
    </row>
    <row r="28" spans="1:12" ht="37.5" hidden="1" customHeight="1">
      <c r="B28" s="211" t="s">
        <v>100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2"/>
    </row>
    <row r="29" spans="1:12" ht="15" hidden="1" customHeight="1">
      <c r="B29" s="213" t="s">
        <v>101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</row>
    <row r="30" spans="1:12" ht="20.399999999999999" hidden="1">
      <c r="B30" s="90" t="s">
        <v>102</v>
      </c>
      <c r="C30" s="90" t="s">
        <v>103</v>
      </c>
      <c r="D30" s="90" t="s">
        <v>104</v>
      </c>
      <c r="E30" s="90" t="s">
        <v>105</v>
      </c>
      <c r="F30" s="90" t="s">
        <v>106</v>
      </c>
      <c r="G30" s="90" t="s">
        <v>107</v>
      </c>
      <c r="H30" s="90" t="s">
        <v>108</v>
      </c>
      <c r="I30" s="90" t="s">
        <v>109</v>
      </c>
      <c r="J30" s="90" t="s">
        <v>110</v>
      </c>
      <c r="K30" s="90" t="s">
        <v>111</v>
      </c>
      <c r="L30" s="90" t="s">
        <v>233</v>
      </c>
    </row>
    <row r="31" spans="1:12" hidden="1">
      <c r="B31" s="32">
        <f>+E6</f>
        <v>0.22431865828092243</v>
      </c>
      <c r="C31" s="37">
        <f>+((C7*E7)+(C8*E8))/(C7+C8)</f>
        <v>0.23336492890995258</v>
      </c>
      <c r="D31" s="32">
        <f>+((C9*E9)+(C10*E10))/(C9+C10)</f>
        <v>0.21202473050095116</v>
      </c>
      <c r="E31" s="32">
        <f>+((C11*E11)+(C12*E12))/(C11+C12)</f>
        <v>0.19606598984771573</v>
      </c>
      <c r="F31" s="32">
        <f>+((C13*E13)+(C14*E14))/(C13+C14)</f>
        <v>0.19783929777177583</v>
      </c>
      <c r="G31" s="32">
        <f>((C15*E15)+(C16*E16))/(C15+C16)</f>
        <v>0.174565560821485</v>
      </c>
      <c r="H31" s="32">
        <f>((C17*E17)+(C18*E18))/(C17+C18)</f>
        <v>0.16216216216216217</v>
      </c>
      <c r="I31" s="32">
        <f>((C19*E19)+(C20*E20))/(C19+C20)</f>
        <v>0.13867924528301881</v>
      </c>
      <c r="J31" s="32">
        <f>((C21*E21)+(C22*E22))/(C21+C22)</f>
        <v>0.10694574257425742</v>
      </c>
      <c r="K31" s="32">
        <f>(D23+D24)/(C23+C24)</f>
        <v>0.12808783165599269</v>
      </c>
      <c r="L31" s="32">
        <f>E25</f>
        <v>0.14664586583463338</v>
      </c>
    </row>
    <row r="32" spans="1:12" ht="21.75" hidden="1" customHeight="1">
      <c r="B32" s="210" t="s">
        <v>112</v>
      </c>
      <c r="C32" s="210"/>
      <c r="D32" s="210"/>
      <c r="E32" s="210"/>
      <c r="F32" s="210"/>
      <c r="G32" s="210"/>
      <c r="H32" s="210"/>
    </row>
    <row r="33" spans="2:12" hidden="1">
      <c r="B33" s="206" t="s">
        <v>234</v>
      </c>
      <c r="C33" s="206"/>
      <c r="D33" s="206"/>
      <c r="E33" s="206"/>
      <c r="F33" s="206"/>
      <c r="G33" s="206"/>
      <c r="H33" s="206"/>
      <c r="I33" s="206"/>
      <c r="J33" s="206"/>
      <c r="K33" s="206"/>
      <c r="L33" s="206"/>
    </row>
    <row r="36" spans="2:12">
      <c r="J36" s="47"/>
    </row>
    <row r="37" spans="2:12">
      <c r="J37" s="47"/>
    </row>
    <row r="38" spans="2:12">
      <c r="J38" s="170"/>
    </row>
  </sheetData>
  <mergeCells count="7">
    <mergeCell ref="B33:L33"/>
    <mergeCell ref="B4:I4"/>
    <mergeCell ref="B2:I2"/>
    <mergeCell ref="B3:I3"/>
    <mergeCell ref="B32:H32"/>
    <mergeCell ref="B28:L28"/>
    <mergeCell ref="B29:L2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N33"/>
  <sheetViews>
    <sheetView showGridLines="0" topLeftCell="A3" zoomScaleNormal="100" workbookViewId="0">
      <selection activeCell="E17" sqref="E17"/>
    </sheetView>
  </sheetViews>
  <sheetFormatPr baseColWidth="10" defaultColWidth="7.109375" defaultRowHeight="10.199999999999999"/>
  <cols>
    <col min="1" max="1" width="7.109375" style="7"/>
    <col min="2" max="2" width="9" style="7" bestFit="1" customWidth="1"/>
    <col min="3" max="3" width="11.6640625" style="6" customWidth="1"/>
    <col min="4" max="4" width="11.88671875" style="6" customWidth="1"/>
    <col min="5" max="5" width="11.44140625" style="6" customWidth="1"/>
    <col min="6" max="6" width="12.109375" style="6" customWidth="1"/>
    <col min="7" max="7" width="13.44140625" style="6" customWidth="1"/>
    <col min="8" max="8" width="11.33203125" style="6" customWidth="1"/>
    <col min="9" max="9" width="12.33203125" style="6" customWidth="1"/>
    <col min="10" max="10" width="12" style="7" customWidth="1"/>
    <col min="11" max="11" width="14" style="7" bestFit="1" customWidth="1"/>
    <col min="12" max="16384" width="7.109375" style="7"/>
  </cols>
  <sheetData>
    <row r="2" spans="2:9">
      <c r="B2" s="208" t="s">
        <v>113</v>
      </c>
      <c r="C2" s="208"/>
      <c r="D2" s="208"/>
      <c r="E2" s="208"/>
      <c r="F2" s="208"/>
      <c r="G2" s="208"/>
      <c r="H2" s="208"/>
      <c r="I2" s="208"/>
    </row>
    <row r="3" spans="2:9" ht="12.75" customHeight="1">
      <c r="B3" s="209" t="s">
        <v>240</v>
      </c>
      <c r="C3" s="209"/>
      <c r="D3" s="209"/>
      <c r="E3" s="209"/>
      <c r="F3" s="209"/>
      <c r="G3" s="209"/>
      <c r="H3" s="209"/>
      <c r="I3" s="209"/>
    </row>
    <row r="4" spans="2:9" ht="11.25" customHeight="1" thickBot="1">
      <c r="B4" s="207" t="s">
        <v>92</v>
      </c>
      <c r="C4" s="207"/>
      <c r="D4" s="207"/>
      <c r="E4" s="207"/>
      <c r="F4" s="207"/>
      <c r="G4" s="207"/>
      <c r="H4" s="207"/>
      <c r="I4" s="207"/>
    </row>
    <row r="5" spans="2:9" s="9" customFormat="1" ht="42" customHeight="1">
      <c r="B5" s="63" t="s">
        <v>0</v>
      </c>
      <c r="C5" s="64" t="s">
        <v>93</v>
      </c>
      <c r="D5" s="64" t="s">
        <v>94</v>
      </c>
      <c r="E5" s="64" t="s">
        <v>95</v>
      </c>
      <c r="F5" s="64" t="s">
        <v>96</v>
      </c>
      <c r="G5" s="64" t="s">
        <v>97</v>
      </c>
      <c r="H5" s="64" t="s">
        <v>98</v>
      </c>
      <c r="I5" s="65" t="s">
        <v>99</v>
      </c>
    </row>
    <row r="6" spans="2:9" ht="12" customHeight="1">
      <c r="B6" s="66">
        <v>201310</v>
      </c>
      <c r="C6" s="53">
        <v>340</v>
      </c>
      <c r="D6" s="53">
        <v>68</v>
      </c>
      <c r="E6" s="53">
        <v>0.2</v>
      </c>
      <c r="F6" s="53">
        <v>0</v>
      </c>
      <c r="G6" s="53">
        <v>0</v>
      </c>
      <c r="H6" s="53">
        <v>272</v>
      </c>
      <c r="I6" s="107">
        <v>0.8</v>
      </c>
    </row>
    <row r="7" spans="2:9" ht="12" customHeight="1">
      <c r="B7" s="66">
        <v>201320</v>
      </c>
      <c r="C7" s="53">
        <v>277</v>
      </c>
      <c r="D7" s="53">
        <v>68</v>
      </c>
      <c r="E7" s="68">
        <v>0.24548736462093862</v>
      </c>
      <c r="F7" s="53">
        <v>0</v>
      </c>
      <c r="G7" s="68">
        <v>0</v>
      </c>
      <c r="H7" s="53">
        <v>209</v>
      </c>
      <c r="I7" s="108">
        <v>0.75451263537906132</v>
      </c>
    </row>
    <row r="8" spans="2:9" ht="12" customHeight="1">
      <c r="B8" s="66">
        <v>201410</v>
      </c>
      <c r="C8" s="53">
        <v>329</v>
      </c>
      <c r="D8" s="53">
        <v>67</v>
      </c>
      <c r="E8" s="54">
        <v>0.20399999999999999</v>
      </c>
      <c r="F8" s="53">
        <v>0</v>
      </c>
      <c r="G8" s="54">
        <v>0</v>
      </c>
      <c r="H8" s="55">
        <v>262</v>
      </c>
      <c r="I8" s="61">
        <v>0.79600000000000004</v>
      </c>
    </row>
    <row r="9" spans="2:9" ht="12" customHeight="1">
      <c r="B9" s="66">
        <v>201420</v>
      </c>
      <c r="C9" s="53">
        <v>351</v>
      </c>
      <c r="D9" s="53">
        <v>82</v>
      </c>
      <c r="E9" s="54">
        <v>0.23361823361823361</v>
      </c>
      <c r="F9" s="53">
        <v>0</v>
      </c>
      <c r="G9" s="54">
        <v>0</v>
      </c>
      <c r="H9" s="55">
        <v>269</v>
      </c>
      <c r="I9" s="61">
        <v>0.76638176638176636</v>
      </c>
    </row>
    <row r="10" spans="2:9" ht="12" customHeight="1">
      <c r="B10" s="66">
        <v>201510</v>
      </c>
      <c r="C10" s="53">
        <v>685</v>
      </c>
      <c r="D10" s="53">
        <v>124</v>
      </c>
      <c r="E10" s="54">
        <v>0.18102189781021899</v>
      </c>
      <c r="F10" s="53">
        <v>0</v>
      </c>
      <c r="G10" s="54">
        <v>0</v>
      </c>
      <c r="H10" s="55">
        <v>561</v>
      </c>
      <c r="I10" s="61">
        <v>0.81897810218978107</v>
      </c>
    </row>
    <row r="11" spans="2:9" ht="12" customHeight="1">
      <c r="B11" s="66">
        <v>201520</v>
      </c>
      <c r="C11" s="53">
        <v>267</v>
      </c>
      <c r="D11" s="53">
        <v>59</v>
      </c>
      <c r="E11" s="54">
        <v>0.22097378277153559</v>
      </c>
      <c r="F11" s="53">
        <v>0</v>
      </c>
      <c r="G11" s="54">
        <v>0</v>
      </c>
      <c r="H11" s="55">
        <v>208</v>
      </c>
      <c r="I11" s="61">
        <v>0.77902621722846443</v>
      </c>
    </row>
    <row r="12" spans="2:9" ht="12" customHeight="1">
      <c r="B12" s="66">
        <v>201610</v>
      </c>
      <c r="C12" s="53">
        <v>812</v>
      </c>
      <c r="D12" s="53">
        <v>145</v>
      </c>
      <c r="E12" s="54">
        <v>0.17857142857142858</v>
      </c>
      <c r="F12" s="53">
        <v>0</v>
      </c>
      <c r="G12" s="54">
        <v>0</v>
      </c>
      <c r="H12" s="55">
        <v>667</v>
      </c>
      <c r="I12" s="61">
        <v>0.8214285714285714</v>
      </c>
    </row>
    <row r="13" spans="2:9" ht="12" customHeight="1">
      <c r="B13" s="66">
        <v>201620</v>
      </c>
      <c r="C13" s="53">
        <v>282</v>
      </c>
      <c r="D13" s="53">
        <v>60</v>
      </c>
      <c r="E13" s="54">
        <v>0.21276595744680851</v>
      </c>
      <c r="F13" s="53">
        <v>0</v>
      </c>
      <c r="G13" s="54">
        <v>0</v>
      </c>
      <c r="H13" s="55">
        <v>222</v>
      </c>
      <c r="I13" s="61">
        <v>0.78723404255319152</v>
      </c>
    </row>
    <row r="14" spans="2:9" ht="12" customHeight="1">
      <c r="B14" s="66">
        <v>201710</v>
      </c>
      <c r="C14" s="53">
        <v>634</v>
      </c>
      <c r="D14" s="53">
        <v>110</v>
      </c>
      <c r="E14" s="54">
        <v>0.17350157728706625</v>
      </c>
      <c r="F14" s="53">
        <v>0</v>
      </c>
      <c r="G14" s="54">
        <v>0</v>
      </c>
      <c r="H14" s="55">
        <v>524</v>
      </c>
      <c r="I14" s="61">
        <v>0.82649842271293372</v>
      </c>
    </row>
    <row r="15" spans="2:9" ht="12" customHeight="1">
      <c r="B15" s="66">
        <v>201720</v>
      </c>
      <c r="C15" s="53">
        <v>247</v>
      </c>
      <c r="D15" s="53">
        <v>35</v>
      </c>
      <c r="E15" s="54">
        <v>0.1417004048582996</v>
      </c>
      <c r="F15" s="53">
        <v>0</v>
      </c>
      <c r="G15" s="54">
        <v>0</v>
      </c>
      <c r="H15" s="55">
        <v>212</v>
      </c>
      <c r="I15" s="61">
        <v>0.8582995951417004</v>
      </c>
    </row>
    <row r="16" spans="2:9" ht="12" customHeight="1">
      <c r="B16" s="67">
        <v>201810</v>
      </c>
      <c r="C16" s="53">
        <v>444</v>
      </c>
      <c r="D16" s="53">
        <v>72</v>
      </c>
      <c r="E16" s="68">
        <v>0.16216216216216217</v>
      </c>
      <c r="F16" s="53">
        <v>0</v>
      </c>
      <c r="G16" s="68">
        <v>0</v>
      </c>
      <c r="H16" s="53">
        <v>372</v>
      </c>
      <c r="I16" s="108">
        <v>0.83783783783783783</v>
      </c>
    </row>
    <row r="17" spans="2:14" ht="12" customHeight="1">
      <c r="B17" s="67">
        <v>201820</v>
      </c>
      <c r="C17" s="57">
        <v>218</v>
      </c>
      <c r="D17" s="57">
        <v>44</v>
      </c>
      <c r="E17" s="58">
        <v>0.20183486238532111</v>
      </c>
      <c r="F17" s="57">
        <v>0</v>
      </c>
      <c r="G17" s="58">
        <v>0</v>
      </c>
      <c r="H17" s="57">
        <v>174</v>
      </c>
      <c r="I17" s="62">
        <v>0.79816513761467889</v>
      </c>
    </row>
    <row r="18" spans="2:14" ht="12" customHeight="1">
      <c r="B18" s="67">
        <v>201910</v>
      </c>
      <c r="C18" s="57">
        <v>308</v>
      </c>
      <c r="D18" s="57">
        <v>43</v>
      </c>
      <c r="E18" s="58">
        <v>0.1396103896103896</v>
      </c>
      <c r="F18" s="57">
        <v>0</v>
      </c>
      <c r="G18" s="58">
        <v>0</v>
      </c>
      <c r="H18" s="57">
        <v>265</v>
      </c>
      <c r="I18" s="62">
        <v>0.86038961038961037</v>
      </c>
    </row>
    <row r="19" spans="2:14" s="18" customFormat="1" ht="12" customHeight="1">
      <c r="B19" s="67">
        <v>201920</v>
      </c>
      <c r="C19" s="53">
        <v>193</v>
      </c>
      <c r="D19" s="53">
        <v>28</v>
      </c>
      <c r="E19" s="68">
        <v>0.14510000000000001</v>
      </c>
      <c r="F19" s="53">
        <v>0</v>
      </c>
      <c r="G19" s="68">
        <v>0</v>
      </c>
      <c r="H19" s="53">
        <v>165</v>
      </c>
      <c r="I19" s="108">
        <v>0.85489999999999999</v>
      </c>
    </row>
    <row r="20" spans="2:14" s="18" customFormat="1" ht="12" customHeight="1">
      <c r="B20" s="67">
        <v>202010</v>
      </c>
      <c r="C20" s="53">
        <v>417</v>
      </c>
      <c r="D20" s="53">
        <v>37</v>
      </c>
      <c r="E20" s="68">
        <v>8.8729016786570747E-2</v>
      </c>
      <c r="F20" s="53">
        <v>0</v>
      </c>
      <c r="G20" s="68">
        <v>0</v>
      </c>
      <c r="H20" s="53">
        <v>380</v>
      </c>
      <c r="I20" s="108">
        <v>0.91127098321342925</v>
      </c>
    </row>
    <row r="21" spans="2:14" s="18" customFormat="1" ht="12" customHeight="1">
      <c r="B21" s="67">
        <v>202020</v>
      </c>
      <c r="C21" s="53">
        <v>168</v>
      </c>
      <c r="D21" s="53">
        <v>17</v>
      </c>
      <c r="E21" s="68">
        <v>0.10119047619047621</v>
      </c>
      <c r="F21" s="53">
        <v>0</v>
      </c>
      <c r="G21" s="68">
        <v>0</v>
      </c>
      <c r="H21" s="53">
        <v>151</v>
      </c>
      <c r="I21" s="108">
        <v>0.89880952380952384</v>
      </c>
    </row>
    <row r="22" spans="2:14" s="18" customFormat="1" ht="12" customHeight="1">
      <c r="B22" s="67">
        <v>202110</v>
      </c>
      <c r="C22" s="53">
        <v>276</v>
      </c>
      <c r="D22" s="53">
        <v>20</v>
      </c>
      <c r="E22" s="68">
        <v>7.2463768115942032E-2</v>
      </c>
      <c r="F22" s="53">
        <v>0</v>
      </c>
      <c r="G22" s="68">
        <v>0</v>
      </c>
      <c r="H22" s="53">
        <v>256</v>
      </c>
      <c r="I22" s="108">
        <v>0.92753623188405798</v>
      </c>
    </row>
    <row r="23" spans="2:14" s="18" customFormat="1" ht="12" customHeight="1">
      <c r="B23" s="67">
        <v>202120</v>
      </c>
      <c r="C23" s="53">
        <v>250</v>
      </c>
      <c r="D23" s="53">
        <v>27</v>
      </c>
      <c r="E23" s="68">
        <v>0.108</v>
      </c>
      <c r="F23" s="53">
        <v>0</v>
      </c>
      <c r="G23" s="68">
        <v>0</v>
      </c>
      <c r="H23" s="53">
        <v>223</v>
      </c>
      <c r="I23" s="108">
        <v>0.89200000000000002</v>
      </c>
    </row>
    <row r="24" spans="2:14" s="18" customFormat="1" ht="12" customHeight="1">
      <c r="B24" s="67">
        <v>202210</v>
      </c>
      <c r="C24" s="53">
        <f>IF(RIGHT($B24,2)="10",_xlfn.XLOOKUP(TEXT($B24,"@"),'[1]ICESI SIN ADN 123'!$A:$A,'[1]ICESI SIN ADN 123'!B:B,0),_xlfn.XLOOKUP(TEXT($B24,"@"),'[2]ICESI SIN ADN 123'!$A:$A,'[2]ICESI SIN ADN 123'!B:B,0))</f>
        <v>421</v>
      </c>
      <c r="D24" s="53">
        <f>IF(RIGHT($B24,2)="10",_xlfn.XLOOKUP(TEXT($B24,"@"),'[1]ICESI SIN ADN 123'!$A:$A,'[1]ICESI SIN ADN 123'!C:C,0),_xlfn.XLOOKUP(TEXT($B24,"@"),'[2]ICESI SIN ADN 123'!$A:$A,'[2]ICESI SIN ADN 123'!C:C,0))</f>
        <v>37</v>
      </c>
      <c r="E24" s="68">
        <f>IFERROR(D24/C24,0)</f>
        <v>8.7885985748218529E-2</v>
      </c>
      <c r="F24" s="53">
        <f>IF(RIGHT($B24,2)="10",_xlfn.XLOOKUP(TEXT($B24,"@"),'[1]ICESI SIN ADN 123'!$A:$A,'[1]ICESI SIN ADN 123'!D:D,0),_xlfn.XLOOKUP(TEXT($B24,"@"),'[2]ICESI SIN ADN 123'!$A:$A,'[2]ICESI SIN ADN 123'!D:D,0))</f>
        <v>0</v>
      </c>
      <c r="G24" s="68">
        <f>IFERROR(F24/C24,0)</f>
        <v>0</v>
      </c>
      <c r="H24" s="53">
        <f>C24-D24</f>
        <v>384</v>
      </c>
      <c r="I24" s="108">
        <f>IFERROR(H24/C24,0)</f>
        <v>0.91211401425178151</v>
      </c>
    </row>
    <row r="25" spans="2:14" s="18" customFormat="1" ht="12" customHeight="1">
      <c r="B25" s="67">
        <v>202220</v>
      </c>
      <c r="C25" s="53">
        <f>IF(RIGHT($B25,2)="10",_xlfn.XLOOKUP(TEXT($B25,"@"),'[1]ICESI SIN ADN 123'!$A:$A,'[1]ICESI SIN ADN 123'!B:B,0),_xlfn.XLOOKUP(TEXT($B25,"@"),'[2]ICESI SIN ADN 123'!$A:$A,'[2]ICESI SIN ADN 123'!B:B,0))</f>
        <v>357</v>
      </c>
      <c r="D25" s="53">
        <f>IF(RIGHT($B25,2)="10",_xlfn.XLOOKUP(TEXT($B25,"@"),'[1]ICESI SIN ADN 123'!$A:$A,'[1]ICESI SIN ADN 123'!C:C,0),_xlfn.XLOOKUP(TEXT($B25,"@"),'[2]ICESI SIN ADN 123'!$A:$A,'[2]ICESI SIN ADN 123'!C:C,0))</f>
        <v>52</v>
      </c>
      <c r="E25" s="68">
        <f>IFERROR(D25/C25,0)</f>
        <v>0.14565826330532214</v>
      </c>
      <c r="F25" s="53">
        <f>IF(RIGHT($B25,2)="10",_xlfn.XLOOKUP(TEXT($B25,"@"),'[1]ICESI SIN ADN 123'!$A:$A,'[1]ICESI SIN ADN 123'!D:D,0),_xlfn.XLOOKUP(TEXT($B25,"@"),'[2]ICESI SIN ADN 123'!$A:$A,'[2]ICESI SIN ADN 123'!D:D,0))</f>
        <v>0</v>
      </c>
      <c r="G25" s="68">
        <f>IFERROR(F25/C25,0)</f>
        <v>0</v>
      </c>
      <c r="H25" s="53">
        <f>C25-D25</f>
        <v>305</v>
      </c>
      <c r="I25" s="108">
        <f>IFERROR(H25/C25,0)</f>
        <v>0.85434173669467783</v>
      </c>
    </row>
    <row r="26" spans="2:14" s="18" customFormat="1" ht="12" customHeight="1" thickBot="1">
      <c r="B26" s="172">
        <v>202310</v>
      </c>
      <c r="C26" s="173">
        <v>393</v>
      </c>
      <c r="D26" s="173">
        <v>55</v>
      </c>
      <c r="E26" s="174">
        <f>IFERROR(D26/C26,0)</f>
        <v>0.13994910941475827</v>
      </c>
      <c r="F26" s="173">
        <v>0</v>
      </c>
      <c r="G26" s="174">
        <f>IFERROR(F26/C26,0)</f>
        <v>0</v>
      </c>
      <c r="H26" s="173">
        <v>338</v>
      </c>
      <c r="I26" s="175">
        <f>IFERROR(H26/C26,0)</f>
        <v>0.86005089058524176</v>
      </c>
    </row>
    <row r="28" spans="2:14" ht="37.5" hidden="1" customHeight="1">
      <c r="B28" s="211" t="s">
        <v>114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12"/>
      <c r="N28" s="12"/>
    </row>
    <row r="29" spans="2:14" ht="15" hidden="1" customHeight="1">
      <c r="B29" s="213" t="s">
        <v>101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18"/>
      <c r="N29" s="18"/>
    </row>
    <row r="30" spans="2:14" ht="20.399999999999999" hidden="1">
      <c r="B30" s="90" t="s">
        <v>102</v>
      </c>
      <c r="C30" s="90" t="s">
        <v>103</v>
      </c>
      <c r="D30" s="90" t="s">
        <v>104</v>
      </c>
      <c r="E30" s="90" t="s">
        <v>105</v>
      </c>
      <c r="F30" s="90" t="s">
        <v>106</v>
      </c>
      <c r="G30" s="90" t="s">
        <v>107</v>
      </c>
      <c r="H30" s="90" t="s">
        <v>108</v>
      </c>
      <c r="I30" s="90" t="s">
        <v>109</v>
      </c>
      <c r="J30" s="90" t="s">
        <v>110</v>
      </c>
      <c r="K30" s="90" t="str">
        <f>'1d. Retiro temprano.'!K30</f>
        <v>2023
212-221</v>
      </c>
      <c r="L30" s="90" t="s">
        <v>233</v>
      </c>
    </row>
    <row r="31" spans="2:14" hidden="1">
      <c r="B31" s="32">
        <f>+E6</f>
        <v>0.2</v>
      </c>
      <c r="C31" s="32">
        <f>((C7*E7)+(C8*E8))/(C7+C8)</f>
        <v>0.22296369636963695</v>
      </c>
      <c r="D31" s="32">
        <f>((C9*E9)+(C10*E10))/(C9+C10)</f>
        <v>0.19884169884169883</v>
      </c>
      <c r="E31" s="32">
        <f>((C11*E11)+(C12*E12))/(C11+C12)</f>
        <v>0.18906394810009267</v>
      </c>
      <c r="F31" s="32">
        <f>((C13*E13)+(C14*E14))/(C13+C14)</f>
        <v>0.18558951965065501</v>
      </c>
      <c r="G31" s="32">
        <f>((C15*E15)+(C16*E16))/(C15+C16)</f>
        <v>0.15484804630969609</v>
      </c>
      <c r="H31" s="32">
        <f>((C17*E17)+(C18*E18))/(C17+C18)</f>
        <v>0.16539923954372623</v>
      </c>
      <c r="I31" s="32">
        <f>((C19*E19)+(C20*E20))/(C19+C20)</f>
        <v>0.10656442622950819</v>
      </c>
      <c r="J31" s="32">
        <f>((C21*E21)+(C22*E22))/(C21+C22)</f>
        <v>8.3333333333333329E-2</v>
      </c>
      <c r="K31" s="32">
        <f>(D23+D24)/(C23+C24)</f>
        <v>9.5380029806259314E-2</v>
      </c>
      <c r="L31" s="32">
        <f>E25</f>
        <v>0.14565826330532214</v>
      </c>
    </row>
    <row r="32" spans="2:14" ht="33" hidden="1" customHeight="1">
      <c r="B32" s="215" t="s">
        <v>112</v>
      </c>
      <c r="C32" s="215"/>
      <c r="D32" s="215"/>
      <c r="E32" s="215"/>
      <c r="F32" s="215"/>
      <c r="G32" s="215"/>
      <c r="H32" s="215"/>
      <c r="K32" s="18"/>
      <c r="L32" s="18"/>
      <c r="M32" s="18"/>
      <c r="N32" s="18"/>
    </row>
    <row r="33" spans="2:12" hidden="1">
      <c r="B33" s="206" t="s">
        <v>234</v>
      </c>
      <c r="C33" s="206"/>
      <c r="D33" s="206"/>
      <c r="E33" s="206"/>
      <c r="F33" s="206"/>
      <c r="G33" s="206"/>
      <c r="H33" s="206"/>
      <c r="I33" s="206"/>
      <c r="J33" s="206"/>
      <c r="K33" s="206"/>
      <c r="L33" s="206"/>
    </row>
  </sheetData>
  <mergeCells count="7">
    <mergeCell ref="B33:L33"/>
    <mergeCell ref="B32:H32"/>
    <mergeCell ref="B2:I2"/>
    <mergeCell ref="B3:I3"/>
    <mergeCell ref="B4:I4"/>
    <mergeCell ref="B28:L28"/>
    <mergeCell ref="B29:L2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W31"/>
  <sheetViews>
    <sheetView showGridLines="0" topLeftCell="A4" zoomScaleNormal="10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109375" style="7" customWidth="1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87"/>
      <c r="J1" s="187"/>
      <c r="K1" s="187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5" customHeight="1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</row>
    <row r="3" spans="1:20" ht="10.8" thickBot="1">
      <c r="A3" s="216" t="s">
        <v>115</v>
      </c>
      <c r="B3" s="217"/>
      <c r="C3" s="217"/>
      <c r="D3" s="217"/>
      <c r="E3" s="217"/>
      <c r="F3" s="217"/>
      <c r="G3" s="217"/>
      <c r="H3" s="218"/>
      <c r="I3" s="188"/>
      <c r="J3" s="188"/>
      <c r="K3" s="188"/>
      <c r="L3" s="19"/>
      <c r="M3" s="216" t="s">
        <v>116</v>
      </c>
      <c r="N3" s="217"/>
      <c r="O3" s="217"/>
      <c r="P3" s="217"/>
      <c r="Q3" s="217"/>
      <c r="R3" s="217"/>
      <c r="S3" s="217"/>
      <c r="T3" s="218"/>
    </row>
    <row r="4" spans="1:20" ht="51">
      <c r="A4" s="153" t="s">
        <v>0</v>
      </c>
      <c r="B4" s="164" t="s">
        <v>93</v>
      </c>
      <c r="C4" s="164" t="s">
        <v>94</v>
      </c>
      <c r="D4" s="164" t="s">
        <v>95</v>
      </c>
      <c r="E4" s="164" t="s">
        <v>96</v>
      </c>
      <c r="F4" s="164" t="s">
        <v>97</v>
      </c>
      <c r="G4" s="164" t="s">
        <v>98</v>
      </c>
      <c r="H4" s="165" t="s">
        <v>99</v>
      </c>
      <c r="I4" s="189"/>
      <c r="J4" s="189"/>
      <c r="K4" s="189"/>
      <c r="M4" s="63" t="s">
        <v>0</v>
      </c>
      <c r="N4" s="64" t="s">
        <v>93</v>
      </c>
      <c r="O4" s="64" t="s">
        <v>94</v>
      </c>
      <c r="P4" s="64" t="s">
        <v>95</v>
      </c>
      <c r="Q4" s="64" t="s">
        <v>96</v>
      </c>
      <c r="R4" s="64" t="s">
        <v>97</v>
      </c>
      <c r="S4" s="64" t="s">
        <v>98</v>
      </c>
      <c r="T4" s="65" t="s">
        <v>99</v>
      </c>
    </row>
    <row r="5" spans="1:20" ht="17.25" customHeight="1">
      <c r="A5" s="109">
        <v>201310</v>
      </c>
      <c r="B5" s="93">
        <v>212</v>
      </c>
      <c r="C5" s="93">
        <v>48</v>
      </c>
      <c r="D5" s="94">
        <f>C5/B5</f>
        <v>0.22641509433962265</v>
      </c>
      <c r="E5" s="93">
        <v>0</v>
      </c>
      <c r="F5" s="94">
        <f>E5/B5</f>
        <v>0</v>
      </c>
      <c r="G5" s="93">
        <v>164</v>
      </c>
      <c r="H5" s="110">
        <f>G5/B5</f>
        <v>0.77358490566037741</v>
      </c>
      <c r="I5" s="190"/>
      <c r="J5" s="190"/>
      <c r="K5" s="190"/>
      <c r="M5" s="66">
        <v>201310</v>
      </c>
      <c r="N5" s="57">
        <v>89</v>
      </c>
      <c r="O5" s="57">
        <v>16</v>
      </c>
      <c r="P5" s="58">
        <f>O5/N5</f>
        <v>0.1797752808988764</v>
      </c>
      <c r="Q5" s="57">
        <v>0</v>
      </c>
      <c r="R5" s="58">
        <f>Q5/N5</f>
        <v>0</v>
      </c>
      <c r="S5" s="57">
        <v>73</v>
      </c>
      <c r="T5" s="62">
        <f>S5/N5</f>
        <v>0.8202247191011236</v>
      </c>
    </row>
    <row r="6" spans="1:20" ht="13.5" customHeight="1">
      <c r="A6" s="109">
        <v>201320</v>
      </c>
      <c r="B6" s="57">
        <v>212</v>
      </c>
      <c r="C6" s="57">
        <v>52</v>
      </c>
      <c r="D6" s="94">
        <f t="shared" ref="D6:D21" si="0">C6/B6</f>
        <v>0.24528301886792453</v>
      </c>
      <c r="E6" s="57">
        <v>0</v>
      </c>
      <c r="F6" s="94">
        <f t="shared" ref="F6:F21" si="1">E6/B6</f>
        <v>0</v>
      </c>
      <c r="G6" s="59">
        <v>160</v>
      </c>
      <c r="H6" s="110">
        <f t="shared" ref="H6:H21" si="2">G6/B6</f>
        <v>0.75471698113207553</v>
      </c>
      <c r="I6" s="191"/>
      <c r="J6" s="191"/>
      <c r="K6" s="191"/>
      <c r="M6" s="66">
        <v>201320</v>
      </c>
      <c r="N6" s="53">
        <v>89</v>
      </c>
      <c r="O6" s="53">
        <v>19</v>
      </c>
      <c r="P6" s="58">
        <f t="shared" ref="P6:P21" si="3">O6/N6</f>
        <v>0.21348314606741572</v>
      </c>
      <c r="Q6" s="53">
        <v>0</v>
      </c>
      <c r="R6" s="58">
        <f t="shared" ref="R6:R21" si="4">Q6/N6</f>
        <v>0</v>
      </c>
      <c r="S6" s="55">
        <v>70</v>
      </c>
      <c r="T6" s="62">
        <f t="shared" ref="T6:T21" si="5">S6/N6</f>
        <v>0.7865168539325843</v>
      </c>
    </row>
    <row r="7" spans="1:20" ht="13.5" customHeight="1">
      <c r="A7" s="109">
        <v>201410</v>
      </c>
      <c r="B7" s="57">
        <v>148</v>
      </c>
      <c r="C7" s="57">
        <v>33</v>
      </c>
      <c r="D7" s="94">
        <f t="shared" si="0"/>
        <v>0.22297297297297297</v>
      </c>
      <c r="E7" s="57">
        <v>0</v>
      </c>
      <c r="F7" s="94">
        <f t="shared" si="1"/>
        <v>0</v>
      </c>
      <c r="G7" s="57">
        <v>115</v>
      </c>
      <c r="H7" s="110">
        <f t="shared" si="2"/>
        <v>0.77702702702702697</v>
      </c>
      <c r="I7" s="192"/>
      <c r="J7" s="192"/>
      <c r="K7" s="192"/>
      <c r="M7" s="66">
        <v>201410</v>
      </c>
      <c r="N7" s="53">
        <v>91</v>
      </c>
      <c r="O7" s="53">
        <v>15</v>
      </c>
      <c r="P7" s="58">
        <f t="shared" si="3"/>
        <v>0.16483516483516483</v>
      </c>
      <c r="Q7" s="53">
        <v>0</v>
      </c>
      <c r="R7" s="58">
        <f t="shared" si="4"/>
        <v>0</v>
      </c>
      <c r="S7" s="55">
        <v>76</v>
      </c>
      <c r="T7" s="62">
        <f t="shared" si="5"/>
        <v>0.8351648351648352</v>
      </c>
    </row>
    <row r="8" spans="1:20" ht="13.5" customHeight="1">
      <c r="A8" s="109">
        <v>201420</v>
      </c>
      <c r="B8" s="53">
        <v>285</v>
      </c>
      <c r="C8" s="53">
        <v>73</v>
      </c>
      <c r="D8" s="94">
        <f t="shared" si="0"/>
        <v>0.256140350877193</v>
      </c>
      <c r="E8" s="53">
        <v>0</v>
      </c>
      <c r="F8" s="94">
        <f t="shared" si="1"/>
        <v>0</v>
      </c>
      <c r="G8" s="55">
        <v>212</v>
      </c>
      <c r="H8" s="110">
        <f t="shared" si="2"/>
        <v>0.743859649122807</v>
      </c>
      <c r="I8" s="193"/>
      <c r="J8" s="193"/>
      <c r="K8" s="193"/>
      <c r="M8" s="66">
        <v>201420</v>
      </c>
      <c r="N8" s="53">
        <v>100</v>
      </c>
      <c r="O8" s="53">
        <v>23</v>
      </c>
      <c r="P8" s="58">
        <f t="shared" si="3"/>
        <v>0.23</v>
      </c>
      <c r="Q8" s="53">
        <v>0</v>
      </c>
      <c r="R8" s="58">
        <f t="shared" si="4"/>
        <v>0</v>
      </c>
      <c r="S8" s="55">
        <v>77</v>
      </c>
      <c r="T8" s="62">
        <f t="shared" si="5"/>
        <v>0.77</v>
      </c>
    </row>
    <row r="9" spans="1:20" ht="13.5" customHeight="1">
      <c r="A9" s="109">
        <v>201510</v>
      </c>
      <c r="B9" s="53">
        <v>242</v>
      </c>
      <c r="C9" s="53">
        <v>49</v>
      </c>
      <c r="D9" s="94">
        <f t="shared" si="0"/>
        <v>0.2024793388429752</v>
      </c>
      <c r="E9" s="53">
        <v>0</v>
      </c>
      <c r="F9" s="94">
        <f t="shared" si="1"/>
        <v>0</v>
      </c>
      <c r="G9" s="55">
        <v>193</v>
      </c>
      <c r="H9" s="110">
        <f t="shared" si="2"/>
        <v>0.7975206611570248</v>
      </c>
      <c r="I9" s="193"/>
      <c r="J9" s="193"/>
      <c r="K9" s="193"/>
      <c r="M9" s="66">
        <v>201510</v>
      </c>
      <c r="N9" s="53">
        <v>172</v>
      </c>
      <c r="O9" s="53">
        <v>31</v>
      </c>
      <c r="P9" s="58">
        <f t="shared" si="3"/>
        <v>0.18023255813953487</v>
      </c>
      <c r="Q9" s="53">
        <v>0</v>
      </c>
      <c r="R9" s="58">
        <f t="shared" si="4"/>
        <v>0</v>
      </c>
      <c r="S9" s="55">
        <v>141</v>
      </c>
      <c r="T9" s="62">
        <f t="shared" si="5"/>
        <v>0.81976744186046513</v>
      </c>
    </row>
    <row r="10" spans="1:20" ht="13.5" customHeight="1">
      <c r="A10" s="109">
        <v>201520</v>
      </c>
      <c r="B10" s="53">
        <v>201</v>
      </c>
      <c r="C10" s="53">
        <v>39</v>
      </c>
      <c r="D10" s="94">
        <f t="shared" si="0"/>
        <v>0.19402985074626866</v>
      </c>
      <c r="E10" s="53">
        <v>0</v>
      </c>
      <c r="F10" s="94">
        <f t="shared" si="1"/>
        <v>0</v>
      </c>
      <c r="G10" s="55">
        <v>162</v>
      </c>
      <c r="H10" s="110">
        <f t="shared" si="2"/>
        <v>0.80597014925373134</v>
      </c>
      <c r="I10" s="193"/>
      <c r="J10" s="193"/>
      <c r="K10" s="193"/>
      <c r="M10" s="66">
        <v>201520</v>
      </c>
      <c r="N10" s="53">
        <v>78</v>
      </c>
      <c r="O10" s="53">
        <v>13</v>
      </c>
      <c r="P10" s="58">
        <f t="shared" si="3"/>
        <v>0.16666666666666666</v>
      </c>
      <c r="Q10" s="53">
        <v>0</v>
      </c>
      <c r="R10" s="58">
        <f t="shared" si="4"/>
        <v>0</v>
      </c>
      <c r="S10" s="55">
        <v>65</v>
      </c>
      <c r="T10" s="62">
        <f t="shared" si="5"/>
        <v>0.83333333333333337</v>
      </c>
    </row>
    <row r="11" spans="1:20" ht="13.5" customHeight="1">
      <c r="A11" s="109">
        <v>201610</v>
      </c>
      <c r="B11" s="53">
        <v>301</v>
      </c>
      <c r="C11" s="53">
        <v>78</v>
      </c>
      <c r="D11" s="94">
        <f t="shared" si="0"/>
        <v>0.25913621262458469</v>
      </c>
      <c r="E11" s="53">
        <v>0</v>
      </c>
      <c r="F11" s="94">
        <f t="shared" si="1"/>
        <v>0</v>
      </c>
      <c r="G11" s="55">
        <v>223</v>
      </c>
      <c r="H11" s="110">
        <f t="shared" si="2"/>
        <v>0.74086378737541525</v>
      </c>
      <c r="I11" s="193"/>
      <c r="J11" s="193"/>
      <c r="K11" s="193"/>
      <c r="M11" s="66">
        <v>201610</v>
      </c>
      <c r="N11" s="53">
        <v>207</v>
      </c>
      <c r="O11" s="53">
        <v>51</v>
      </c>
      <c r="P11" s="58">
        <f t="shared" si="3"/>
        <v>0.24637681159420291</v>
      </c>
      <c r="Q11" s="53">
        <v>0</v>
      </c>
      <c r="R11" s="58">
        <f t="shared" si="4"/>
        <v>0</v>
      </c>
      <c r="S11" s="55">
        <v>156</v>
      </c>
      <c r="T11" s="62">
        <f t="shared" si="5"/>
        <v>0.75362318840579712</v>
      </c>
    </row>
    <row r="12" spans="1:20" ht="13.5" customHeight="1">
      <c r="A12" s="109">
        <v>201620</v>
      </c>
      <c r="B12" s="93">
        <v>329</v>
      </c>
      <c r="C12" s="93">
        <v>80</v>
      </c>
      <c r="D12" s="94">
        <f t="shared" si="0"/>
        <v>0.24316109422492402</v>
      </c>
      <c r="E12" s="93">
        <v>3</v>
      </c>
      <c r="F12" s="94">
        <f t="shared" si="1"/>
        <v>9.11854103343465E-3</v>
      </c>
      <c r="G12" s="93">
        <v>246</v>
      </c>
      <c r="H12" s="110">
        <f t="shared" si="2"/>
        <v>0.74772036474164139</v>
      </c>
      <c r="I12" s="190"/>
      <c r="J12" s="190"/>
      <c r="K12" s="190"/>
      <c r="M12" s="66">
        <v>201620</v>
      </c>
      <c r="N12" s="57">
        <v>134</v>
      </c>
      <c r="O12" s="57">
        <v>47</v>
      </c>
      <c r="P12" s="58">
        <f t="shared" si="3"/>
        <v>0.35074626865671643</v>
      </c>
      <c r="Q12" s="57">
        <v>2</v>
      </c>
      <c r="R12" s="58">
        <f t="shared" si="4"/>
        <v>1.4925373134328358E-2</v>
      </c>
      <c r="S12" s="57">
        <v>85</v>
      </c>
      <c r="T12" s="62">
        <f t="shared" si="5"/>
        <v>0.63432835820895528</v>
      </c>
    </row>
    <row r="13" spans="1:20" ht="13.5" customHeight="1">
      <c r="A13" s="109">
        <v>201710</v>
      </c>
      <c r="B13" s="53">
        <v>216</v>
      </c>
      <c r="C13" s="53">
        <v>45</v>
      </c>
      <c r="D13" s="94">
        <f t="shared" si="0"/>
        <v>0.20833333333333334</v>
      </c>
      <c r="E13" s="53">
        <v>0</v>
      </c>
      <c r="F13" s="94">
        <f t="shared" si="1"/>
        <v>0</v>
      </c>
      <c r="G13" s="55">
        <v>171</v>
      </c>
      <c r="H13" s="110">
        <f t="shared" si="2"/>
        <v>0.79166666666666663</v>
      </c>
      <c r="I13" s="193"/>
      <c r="J13" s="193"/>
      <c r="K13" s="193"/>
      <c r="M13" s="66">
        <v>201710</v>
      </c>
      <c r="N13" s="53">
        <v>148</v>
      </c>
      <c r="O13" s="53">
        <v>30</v>
      </c>
      <c r="P13" s="58">
        <f t="shared" si="3"/>
        <v>0.20270270270270271</v>
      </c>
      <c r="Q13" s="53">
        <v>0</v>
      </c>
      <c r="R13" s="58">
        <f t="shared" si="4"/>
        <v>0</v>
      </c>
      <c r="S13" s="55">
        <v>118</v>
      </c>
      <c r="T13" s="62">
        <f t="shared" si="5"/>
        <v>0.79729729729729726</v>
      </c>
    </row>
    <row r="14" spans="1:20" ht="13.5" customHeight="1">
      <c r="A14" s="109">
        <v>201720</v>
      </c>
      <c r="B14" s="95">
        <v>240</v>
      </c>
      <c r="C14" s="95">
        <v>43</v>
      </c>
      <c r="D14" s="94">
        <f t="shared" si="0"/>
        <v>0.17916666666666667</v>
      </c>
      <c r="E14" s="95">
        <v>0</v>
      </c>
      <c r="F14" s="94">
        <f t="shared" si="1"/>
        <v>0</v>
      </c>
      <c r="G14" s="96">
        <v>197</v>
      </c>
      <c r="H14" s="110">
        <f t="shared" si="2"/>
        <v>0.8208333333333333</v>
      </c>
      <c r="I14" s="194"/>
      <c r="J14" s="194"/>
      <c r="K14" s="194"/>
      <c r="M14" s="66">
        <v>201720</v>
      </c>
      <c r="N14" s="53">
        <v>88</v>
      </c>
      <c r="O14" s="53">
        <v>13</v>
      </c>
      <c r="P14" s="58">
        <f t="shared" si="3"/>
        <v>0.14772727272727273</v>
      </c>
      <c r="Q14" s="53">
        <v>0</v>
      </c>
      <c r="R14" s="58">
        <f t="shared" si="4"/>
        <v>0</v>
      </c>
      <c r="S14" s="55">
        <v>75</v>
      </c>
      <c r="T14" s="62">
        <f t="shared" si="5"/>
        <v>0.85227272727272729</v>
      </c>
    </row>
    <row r="15" spans="1:20">
      <c r="A15" s="109">
        <v>201810</v>
      </c>
      <c r="B15" s="95">
        <v>206</v>
      </c>
      <c r="C15" s="95">
        <v>36</v>
      </c>
      <c r="D15" s="94">
        <f t="shared" si="0"/>
        <v>0.17475728155339806</v>
      </c>
      <c r="E15" s="95">
        <v>0</v>
      </c>
      <c r="F15" s="94">
        <f t="shared" si="1"/>
        <v>0</v>
      </c>
      <c r="G15" s="95">
        <v>170</v>
      </c>
      <c r="H15" s="110">
        <f t="shared" si="2"/>
        <v>0.82524271844660191</v>
      </c>
      <c r="I15" s="195"/>
      <c r="J15" s="195"/>
      <c r="K15" s="195"/>
      <c r="M15" s="67">
        <v>201810</v>
      </c>
      <c r="N15" s="53">
        <v>102</v>
      </c>
      <c r="O15" s="53">
        <v>19</v>
      </c>
      <c r="P15" s="58">
        <f t="shared" si="3"/>
        <v>0.18627450980392157</v>
      </c>
      <c r="Q15" s="53">
        <v>0</v>
      </c>
      <c r="R15" s="58">
        <f t="shared" si="4"/>
        <v>0</v>
      </c>
      <c r="S15" s="53">
        <v>83</v>
      </c>
      <c r="T15" s="62">
        <f t="shared" si="5"/>
        <v>0.81372549019607843</v>
      </c>
    </row>
    <row r="16" spans="1:20">
      <c r="A16" s="67">
        <v>201820</v>
      </c>
      <c r="B16" s="53">
        <v>202</v>
      </c>
      <c r="C16" s="53">
        <v>39</v>
      </c>
      <c r="D16" s="94">
        <f t="shared" si="0"/>
        <v>0.19306930693069307</v>
      </c>
      <c r="E16" s="53">
        <v>0</v>
      </c>
      <c r="F16" s="94">
        <f t="shared" si="1"/>
        <v>0</v>
      </c>
      <c r="G16" s="53">
        <v>163</v>
      </c>
      <c r="H16" s="110">
        <f t="shared" si="2"/>
        <v>0.80693069306930698</v>
      </c>
      <c r="I16" s="196"/>
      <c r="J16" s="196"/>
      <c r="K16" s="196"/>
      <c r="M16" s="67">
        <v>201820</v>
      </c>
      <c r="N16" s="53">
        <v>74</v>
      </c>
      <c r="O16" s="53">
        <v>16</v>
      </c>
      <c r="P16" s="58">
        <f t="shared" si="3"/>
        <v>0.21621621621621623</v>
      </c>
      <c r="Q16" s="53">
        <v>0</v>
      </c>
      <c r="R16" s="58">
        <f t="shared" si="4"/>
        <v>0</v>
      </c>
      <c r="S16" s="53">
        <v>58</v>
      </c>
      <c r="T16" s="62">
        <f t="shared" si="5"/>
        <v>0.78378378378378377</v>
      </c>
    </row>
    <row r="17" spans="1:23">
      <c r="A17" s="67">
        <v>201910</v>
      </c>
      <c r="B17" s="53">
        <v>180</v>
      </c>
      <c r="C17" s="53">
        <v>39</v>
      </c>
      <c r="D17" s="94">
        <f t="shared" si="0"/>
        <v>0.21666666666666667</v>
      </c>
      <c r="E17" s="53">
        <v>0</v>
      </c>
      <c r="F17" s="94">
        <f t="shared" si="1"/>
        <v>0</v>
      </c>
      <c r="G17" s="53">
        <v>141</v>
      </c>
      <c r="H17" s="110">
        <f t="shared" si="2"/>
        <v>0.78333333333333333</v>
      </c>
      <c r="I17" s="196"/>
      <c r="J17" s="196"/>
      <c r="K17" s="196"/>
      <c r="M17" s="67">
        <v>201910</v>
      </c>
      <c r="N17" s="53">
        <v>86</v>
      </c>
      <c r="O17" s="53">
        <v>13</v>
      </c>
      <c r="P17" s="58">
        <f t="shared" si="3"/>
        <v>0.15116279069767441</v>
      </c>
      <c r="Q17" s="53">
        <v>0</v>
      </c>
      <c r="R17" s="58">
        <f t="shared" si="4"/>
        <v>0</v>
      </c>
      <c r="S17" s="53">
        <v>73</v>
      </c>
      <c r="T17" s="62">
        <f t="shared" si="5"/>
        <v>0.84883720930232553</v>
      </c>
    </row>
    <row r="18" spans="1:23">
      <c r="A18" s="67">
        <v>201920</v>
      </c>
      <c r="B18" s="53">
        <v>203</v>
      </c>
      <c r="C18" s="53">
        <v>31</v>
      </c>
      <c r="D18" s="94">
        <f t="shared" si="0"/>
        <v>0.15270935960591134</v>
      </c>
      <c r="E18" s="53">
        <v>0</v>
      </c>
      <c r="F18" s="94">
        <f t="shared" si="1"/>
        <v>0</v>
      </c>
      <c r="G18" s="53">
        <v>172</v>
      </c>
      <c r="H18" s="110">
        <f t="shared" si="2"/>
        <v>0.84729064039408863</v>
      </c>
      <c r="I18" s="196"/>
      <c r="J18" s="196"/>
      <c r="K18" s="196"/>
      <c r="M18" s="67">
        <v>201920</v>
      </c>
      <c r="N18" s="53">
        <v>66</v>
      </c>
      <c r="O18" s="53">
        <v>8</v>
      </c>
      <c r="P18" s="58">
        <f t="shared" si="3"/>
        <v>0.12121212121212122</v>
      </c>
      <c r="Q18" s="53">
        <v>0</v>
      </c>
      <c r="R18" s="58">
        <f t="shared" si="4"/>
        <v>0</v>
      </c>
      <c r="S18" s="53">
        <v>58</v>
      </c>
      <c r="T18" s="62">
        <f t="shared" si="5"/>
        <v>0.87878787878787878</v>
      </c>
    </row>
    <row r="19" spans="1:23">
      <c r="A19" s="67">
        <v>202010</v>
      </c>
      <c r="B19" s="53">
        <v>179</v>
      </c>
      <c r="C19" s="53">
        <v>21</v>
      </c>
      <c r="D19" s="94">
        <f t="shared" si="0"/>
        <v>0.11731843575418995</v>
      </c>
      <c r="E19" s="53">
        <v>0</v>
      </c>
      <c r="F19" s="94">
        <f t="shared" si="1"/>
        <v>0</v>
      </c>
      <c r="G19" s="53">
        <v>158</v>
      </c>
      <c r="H19" s="110">
        <f t="shared" si="2"/>
        <v>0.88268156424581001</v>
      </c>
      <c r="I19" s="196"/>
      <c r="J19" s="196"/>
      <c r="K19" s="196"/>
      <c r="M19" s="67">
        <v>202010</v>
      </c>
      <c r="N19" s="53">
        <v>81</v>
      </c>
      <c r="O19" s="53">
        <v>12</v>
      </c>
      <c r="P19" s="58">
        <f t="shared" si="3"/>
        <v>0.14814814814814814</v>
      </c>
      <c r="Q19" s="53">
        <v>0</v>
      </c>
      <c r="R19" s="58">
        <f t="shared" si="4"/>
        <v>0</v>
      </c>
      <c r="S19" s="53">
        <v>69</v>
      </c>
      <c r="T19" s="62">
        <f t="shared" si="5"/>
        <v>0.85185185185185186</v>
      </c>
    </row>
    <row r="20" spans="1:23">
      <c r="A20" s="67">
        <v>202020</v>
      </c>
      <c r="B20" s="53">
        <v>193</v>
      </c>
      <c r="C20" s="53">
        <v>22</v>
      </c>
      <c r="D20" s="94">
        <f t="shared" si="0"/>
        <v>0.11398963730569948</v>
      </c>
      <c r="E20" s="71">
        <v>0</v>
      </c>
      <c r="F20" s="94">
        <f t="shared" si="1"/>
        <v>0</v>
      </c>
      <c r="G20" s="53">
        <v>171</v>
      </c>
      <c r="H20" s="110">
        <f t="shared" si="2"/>
        <v>0.88601036269430056</v>
      </c>
      <c r="I20" s="196"/>
      <c r="J20" s="196"/>
      <c r="K20" s="196"/>
      <c r="M20" s="67">
        <v>202020</v>
      </c>
      <c r="N20" s="53">
        <v>54</v>
      </c>
      <c r="O20" s="53">
        <v>5</v>
      </c>
      <c r="P20" s="58">
        <f t="shared" si="3"/>
        <v>9.2592592592592587E-2</v>
      </c>
      <c r="Q20" s="71">
        <v>0</v>
      </c>
      <c r="R20" s="58">
        <f t="shared" si="4"/>
        <v>0</v>
      </c>
      <c r="S20" s="53">
        <v>49</v>
      </c>
      <c r="T20" s="62">
        <f t="shared" si="5"/>
        <v>0.90740740740740744</v>
      </c>
    </row>
    <row r="21" spans="1:23">
      <c r="A21" s="67">
        <v>202110</v>
      </c>
      <c r="B21" s="53">
        <v>162</v>
      </c>
      <c r="C21" s="53">
        <v>18</v>
      </c>
      <c r="D21" s="94">
        <f t="shared" si="0"/>
        <v>0.1111111111111111</v>
      </c>
      <c r="E21" s="71">
        <v>0</v>
      </c>
      <c r="F21" s="94">
        <f t="shared" si="1"/>
        <v>0</v>
      </c>
      <c r="G21" s="53">
        <v>144</v>
      </c>
      <c r="H21" s="110">
        <f t="shared" si="2"/>
        <v>0.88888888888888884</v>
      </c>
      <c r="I21" s="196"/>
      <c r="J21" s="196"/>
      <c r="K21" s="196"/>
      <c r="M21" s="67">
        <v>202110</v>
      </c>
      <c r="N21" s="53">
        <v>78</v>
      </c>
      <c r="O21" s="53">
        <v>7</v>
      </c>
      <c r="P21" s="58">
        <f t="shared" si="3"/>
        <v>8.9743589743589744E-2</v>
      </c>
      <c r="Q21" s="53">
        <v>0</v>
      </c>
      <c r="R21" s="58">
        <f t="shared" si="4"/>
        <v>0</v>
      </c>
      <c r="S21" s="53">
        <v>71</v>
      </c>
      <c r="T21" s="62">
        <f t="shared" si="5"/>
        <v>0.91025641025641024</v>
      </c>
    </row>
    <row r="22" spans="1:23">
      <c r="A22" s="67">
        <v>202120</v>
      </c>
      <c r="B22" s="53">
        <v>142</v>
      </c>
      <c r="C22" s="53">
        <v>29</v>
      </c>
      <c r="D22" s="94">
        <v>0.20422535211267606</v>
      </c>
      <c r="E22" s="71">
        <v>0</v>
      </c>
      <c r="F22" s="94">
        <v>0</v>
      </c>
      <c r="G22" s="53">
        <v>113</v>
      </c>
      <c r="H22" s="110">
        <v>0.79577464788732399</v>
      </c>
      <c r="I22" s="196"/>
      <c r="J22" s="196"/>
      <c r="K22" s="196"/>
      <c r="M22" s="67">
        <v>202120</v>
      </c>
      <c r="N22" s="53">
        <v>60</v>
      </c>
      <c r="O22" s="53">
        <v>12</v>
      </c>
      <c r="P22" s="58">
        <v>0.2</v>
      </c>
      <c r="Q22" s="53">
        <v>0</v>
      </c>
      <c r="R22" s="58">
        <v>0</v>
      </c>
      <c r="S22" s="53">
        <v>48</v>
      </c>
      <c r="T22" s="62">
        <v>0.8</v>
      </c>
    </row>
    <row r="23" spans="1:23">
      <c r="A23" s="67">
        <v>202210</v>
      </c>
      <c r="B23" s="53">
        <f>IF(RIGHT($A23,2)="10",_xlfn.XLOOKUP($A23,[1]FCAE!$B:$B,[1]FCAE!C:C,0),_xlfn.XLOOKUP($A23,[2]FCAE!$K:$K,[2]FCAE!L:L,0))</f>
        <v>294</v>
      </c>
      <c r="C23" s="53">
        <f>IF(RIGHT($A23,2)="10",_xlfn.XLOOKUP($A23,[1]FCAE!$B:$B,[1]FCAE!D:D,0),_xlfn.XLOOKUP($A23,[2]FCAE!$K:$K,[2]FCAE!M:M,0))</f>
        <v>49</v>
      </c>
      <c r="D23" s="68">
        <f>IFERROR(C23/B23,0)</f>
        <v>0.16666666666666666</v>
      </c>
      <c r="E23" s="53">
        <f>IF(RIGHT($A23,2)="10",_xlfn.XLOOKUP($A23,[1]FCAE!$B:$B,[1]FCAE!F:F,0),_xlfn.XLOOKUP($A23,[2]FCAE!$K:$K,[2]FCAE!O:O,0))</f>
        <v>0</v>
      </c>
      <c r="F23" s="68">
        <f>IFERROR(E23/B23,0)</f>
        <v>0</v>
      </c>
      <c r="G23" s="53">
        <f>B23-C23</f>
        <v>245</v>
      </c>
      <c r="H23" s="108">
        <f>IFERROR(G23/B23,0)</f>
        <v>0.83333333333333337</v>
      </c>
      <c r="I23" s="196"/>
      <c r="J23" s="196"/>
      <c r="K23" s="196"/>
      <c r="M23" s="67">
        <v>202210</v>
      </c>
      <c r="N23" s="53">
        <f>IF(RIGHT($A23,2)="10",_xlfn.XLOOKUP($A23,'[1]FCAE 123'!$B:$B,'[1]FCAE 123'!C:C,0),_xlfn.XLOOKUP($A23,'[2]FCAE 123'!$K:$K,'[2]FCAE 123'!L:L,0))</f>
        <v>159</v>
      </c>
      <c r="O23" s="53">
        <f>IF(RIGHT($A23,2)="10",_xlfn.XLOOKUP($A23,'[1]FCAE 123'!$B:$B,'[1]FCAE 123'!D:D,0),_xlfn.XLOOKUP($A23,'[2]FCAE 123'!$K:$K,'[2]FCAE 123'!M:M,0))</f>
        <v>24</v>
      </c>
      <c r="P23" s="68">
        <f>IFERROR(O23/N23,0)</f>
        <v>0.15094339622641509</v>
      </c>
      <c r="Q23" s="53">
        <f>IF(RIGHT($A23,2)="10",_xlfn.XLOOKUP($A23,'[1]FCAE 123'!$B:$B,'[1]FCAE 123'!F:F,0),_xlfn.XLOOKUP($A23,'[2]FCAE 123'!$K:$K,'[2]FCAE 123'!O:O,0))</f>
        <v>0</v>
      </c>
      <c r="R23" s="68">
        <f>IFERROR(Q23/N23,0)</f>
        <v>0</v>
      </c>
      <c r="S23" s="53">
        <f>N23-O23</f>
        <v>135</v>
      </c>
      <c r="T23" s="108">
        <f>IFERROR(S23/N23,0)</f>
        <v>0.84905660377358494</v>
      </c>
    </row>
    <row r="24" spans="1:23">
      <c r="A24" s="67">
        <v>202220</v>
      </c>
      <c r="B24" s="53">
        <f>IF(RIGHT($A24,2)="10",_xlfn.XLOOKUP($A24,[1]FCAE!$B:$B,[1]FCAE!C:C,0),_xlfn.XLOOKUP($A24,[2]FCAE!$K:$K,[2]FCAE!L:L,0))</f>
        <v>175</v>
      </c>
      <c r="C24" s="53">
        <f>IF(RIGHT($A24,2)="10",_xlfn.XLOOKUP($A24,[1]FCAE!$B:$B,[1]FCAE!D:D,0),_xlfn.XLOOKUP($A24,[2]FCAE!$K:$K,[2]FCAE!M:M,0))</f>
        <v>40</v>
      </c>
      <c r="D24" s="68">
        <f>IFERROR(C24/B24,0)</f>
        <v>0.22857142857142856</v>
      </c>
      <c r="E24" s="53">
        <f>IF(RIGHT($A24,2)="10",_xlfn.XLOOKUP($A24,[1]FCAE!$B:$B,[1]FCAE!F:F,0),_xlfn.XLOOKUP($A24,[2]FCAE!$K:$K,[2]FCAE!O:O,0))</f>
        <v>0</v>
      </c>
      <c r="F24" s="68">
        <f>IFERROR(E24/B24,0)</f>
        <v>0</v>
      </c>
      <c r="G24" s="53">
        <f>B24-C24</f>
        <v>135</v>
      </c>
      <c r="H24" s="108">
        <f>IFERROR(G24/B24,0)</f>
        <v>0.77142857142857146</v>
      </c>
      <c r="I24" s="196"/>
      <c r="J24" s="196"/>
      <c r="K24" s="196"/>
      <c r="M24" s="67">
        <v>202220</v>
      </c>
      <c r="N24" s="53">
        <f>IF(RIGHT($A24,2)="10",_xlfn.XLOOKUP($A24,'[1]FCAE 123'!$B:$B,'[1]FCAE 123'!C:C,0),_xlfn.XLOOKUP($A24,'[2]FCAE 123'!$K:$K,'[2]FCAE 123'!L:L,0))</f>
        <v>97</v>
      </c>
      <c r="O24" s="53">
        <f>IF(RIGHT($A24,2)="10",_xlfn.XLOOKUP($A24,'[1]FCAE 123'!$B:$B,'[1]FCAE 123'!D:D,0),_xlfn.XLOOKUP($A24,'[2]FCAE 123'!$K:$K,'[2]FCAE 123'!M:M,0))</f>
        <v>20</v>
      </c>
      <c r="P24" s="68">
        <f>IFERROR(O24/N24,0)</f>
        <v>0.20618556701030927</v>
      </c>
      <c r="Q24" s="53">
        <f>IF(RIGHT($A24,2)="10",_xlfn.XLOOKUP($A24,'[1]FCAE 123'!$B:$B,'[1]FCAE 123'!F:F,0),_xlfn.XLOOKUP($A24,'[2]FCAE 123'!$K:$K,'[2]FCAE 123'!O:O,0))</f>
        <v>0</v>
      </c>
      <c r="R24" s="68">
        <f>IFERROR(Q24/N24,0)</f>
        <v>0</v>
      </c>
      <c r="S24" s="53">
        <f>N24-O24</f>
        <v>77</v>
      </c>
      <c r="T24" s="108">
        <f>IFERROR(S24/N24,0)</f>
        <v>0.79381443298969068</v>
      </c>
    </row>
    <row r="25" spans="1:23" ht="10.8" thickBot="1">
      <c r="A25" s="172">
        <v>202310</v>
      </c>
      <c r="B25" s="173">
        <v>179</v>
      </c>
      <c r="C25" s="173">
        <v>28</v>
      </c>
      <c r="D25" s="174">
        <f>IFERROR(C25/B25,0)</f>
        <v>0.15642458100558659</v>
      </c>
      <c r="E25" s="173">
        <v>0</v>
      </c>
      <c r="F25" s="174">
        <f>IFERROR(E25/B25,0)</f>
        <v>0</v>
      </c>
      <c r="G25" s="173">
        <v>151</v>
      </c>
      <c r="H25" s="175">
        <f>IFERROR(G25/B25,0)</f>
        <v>0.84357541899441346</v>
      </c>
      <c r="I25" s="196"/>
      <c r="J25" s="196"/>
      <c r="K25" s="196"/>
      <c r="M25" s="172">
        <v>202310</v>
      </c>
      <c r="N25" s="173">
        <v>104</v>
      </c>
      <c r="O25" s="173">
        <v>20</v>
      </c>
      <c r="P25" s="174">
        <f>IFERROR(O25/N25,0)</f>
        <v>0.19230769230769232</v>
      </c>
      <c r="Q25" s="173">
        <v>0</v>
      </c>
      <c r="R25" s="174">
        <f>IFERROR(Q25/N25,0)</f>
        <v>0</v>
      </c>
      <c r="S25" s="173">
        <v>84</v>
      </c>
      <c r="T25" s="175">
        <f>IFERROR(S25/N25,0)</f>
        <v>0.80769230769230771</v>
      </c>
    </row>
    <row r="26" spans="1:23" s="18" customFormat="1">
      <c r="A26" s="21"/>
      <c r="B26" s="26"/>
      <c r="C26" s="26"/>
      <c r="D26" s="26"/>
      <c r="E26" s="26"/>
      <c r="F26" s="26"/>
      <c r="G26" s="26"/>
      <c r="H26" s="26"/>
      <c r="I26" s="197"/>
      <c r="J26" s="197"/>
      <c r="K26" s="197"/>
      <c r="M26" s="21"/>
      <c r="N26" s="22"/>
      <c r="O26" s="22"/>
      <c r="P26" s="35"/>
      <c r="Q26" s="22"/>
      <c r="R26" s="35"/>
      <c r="S26" s="22"/>
      <c r="T26" s="35"/>
    </row>
    <row r="27" spans="1:23" ht="31.5" hidden="1" customHeight="1">
      <c r="A27" s="219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198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199" t="s">
        <v>110</v>
      </c>
      <c r="J28" s="199" t="str">
        <f>'1d. Retiro temprano.'!K30</f>
        <v>2023
212-221</v>
      </c>
      <c r="K28" s="199" t="str">
        <f>'1d. Retiro temprano.'!L30</f>
        <v>2024-1***
222</v>
      </c>
      <c r="L28" s="6"/>
      <c r="M28" s="90" t="s">
        <v>117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2">
        <f>D5</f>
        <v>0.22641509433962265</v>
      </c>
      <c r="B29" s="32">
        <f>+((B6*D6)+(B7*D7))/(B6+B7)</f>
        <v>0.2361111111111111</v>
      </c>
      <c r="C29" s="32">
        <f>((B8*D8)+(B9*D9))/(B8+B9)</f>
        <v>0.23149905123339659</v>
      </c>
      <c r="D29" s="32">
        <f>+((B10*D10)+(B11*D11))/(B10+B11)</f>
        <v>0.23306772908366533</v>
      </c>
      <c r="E29" s="32">
        <f>((B12*D12)+(B13*D13))/(B12+B13)</f>
        <v>0.22935779816513763</v>
      </c>
      <c r="F29" s="32">
        <f>((B14*D14)+(B15*D15))/(B14+B15)</f>
        <v>0.17713004484304934</v>
      </c>
      <c r="G29" s="32">
        <f>((B16*D16)+(B17*D17))/(B16+B17)</f>
        <v>0.20418848167539266</v>
      </c>
      <c r="H29" s="32">
        <f>((B18*D18)+(B19*D19))/(B18+B19)</f>
        <v>0.13612565445026178</v>
      </c>
      <c r="I29" s="200">
        <f>((B20*D20)+(B21*D21))/(B20+B21)</f>
        <v>0.11267605633802817</v>
      </c>
      <c r="J29" s="200">
        <f>(C22+C23)/(B22+B23)</f>
        <v>0.17889908256880735</v>
      </c>
      <c r="K29" s="200">
        <f>D24</f>
        <v>0.22857142857142856</v>
      </c>
      <c r="L29" s="6"/>
      <c r="M29" s="32">
        <f>P5</f>
        <v>0.1797752808988764</v>
      </c>
      <c r="N29" s="32">
        <f>+((N6*P6)+(N7*P7))/(N6+N7)</f>
        <v>0.18888888888888888</v>
      </c>
      <c r="O29" s="32">
        <f>((N8*P8)+(N9*P9))/(N8+N9)</f>
        <v>0.19852941176470587</v>
      </c>
      <c r="P29" s="32">
        <f>+((N10*P10)+(N11*P11))/(N10+N11)</f>
        <v>0.22456140350877193</v>
      </c>
      <c r="Q29" s="32">
        <f>((N12*P12)+(N13*P13))/(N12+N13)</f>
        <v>0.27304964539007093</v>
      </c>
      <c r="R29" s="32">
        <f>((N14*P14)+(N15*P15))/(N14+N15)</f>
        <v>0.16842105263157894</v>
      </c>
      <c r="S29" s="32">
        <f>((N16*P16)+(N17*P17))/(N16+N17)</f>
        <v>0.18124999999999999</v>
      </c>
      <c r="T29" s="32">
        <f>((N18*P18)+(N19*P19))/(N18+N19)</f>
        <v>0.1360544217687075</v>
      </c>
      <c r="U29" s="32">
        <f>((N20*P20)+(N21*P21))/(N20+N21)</f>
        <v>9.0909090909090912E-2</v>
      </c>
      <c r="V29" s="32">
        <f>(O22+O23)/(N22+N23)</f>
        <v>0.16438356164383561</v>
      </c>
      <c r="W29" s="32">
        <f>P24</f>
        <v>0.20618556701030927</v>
      </c>
    </row>
    <row r="30" spans="1:23" ht="15" hidden="1" customHeight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1">
    <mergeCell ref="M31:W31"/>
    <mergeCell ref="M30:V30"/>
    <mergeCell ref="A30:J30"/>
    <mergeCell ref="A31:L31"/>
    <mergeCell ref="A27:J27"/>
    <mergeCell ref="M27:W27"/>
    <mergeCell ref="A1:H1"/>
    <mergeCell ref="M3:T3"/>
    <mergeCell ref="A2:H2"/>
    <mergeCell ref="A3:H3"/>
    <mergeCell ref="M1:T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1:R14"/>
  <sheetViews>
    <sheetView workbookViewId="0">
      <selection activeCell="K1" sqref="K1:R1"/>
    </sheetView>
  </sheetViews>
  <sheetFormatPr baseColWidth="10" defaultColWidth="11.44140625" defaultRowHeight="14.4"/>
  <cols>
    <col min="1" max="1" width="3.44140625" customWidth="1"/>
    <col min="8" max="8" width="12.33203125" customWidth="1"/>
    <col min="9" max="9" width="13.5546875" customWidth="1"/>
    <col min="10" max="10" width="8.33203125" customWidth="1"/>
  </cols>
  <sheetData>
    <row r="1" spans="2:18">
      <c r="B1" s="209" t="s">
        <v>119</v>
      </c>
      <c r="C1" s="209"/>
      <c r="D1" s="209"/>
      <c r="E1" s="209"/>
      <c r="F1" s="209"/>
      <c r="G1" s="209"/>
      <c r="H1" s="209"/>
      <c r="I1" s="209"/>
      <c r="K1" s="209" t="s">
        <v>119</v>
      </c>
      <c r="L1" s="209"/>
      <c r="M1" s="209"/>
      <c r="N1" s="209"/>
      <c r="O1" s="209"/>
      <c r="P1" s="209"/>
      <c r="Q1" s="209"/>
      <c r="R1" s="209"/>
    </row>
    <row r="2" spans="2:18">
      <c r="B2" s="222" t="s">
        <v>120</v>
      </c>
      <c r="C2" s="222"/>
      <c r="D2" s="222"/>
      <c r="E2" s="222"/>
      <c r="F2" s="222"/>
      <c r="G2" s="222"/>
      <c r="H2" s="222"/>
      <c r="I2" s="222"/>
      <c r="K2" s="222" t="s">
        <v>120</v>
      </c>
      <c r="L2" s="222"/>
      <c r="M2" s="222"/>
      <c r="N2" s="222"/>
      <c r="O2" s="222"/>
      <c r="P2" s="222"/>
      <c r="Q2" s="222"/>
      <c r="R2" s="222"/>
    </row>
    <row r="3" spans="2:18" ht="51">
      <c r="B3" s="60" t="s">
        <v>0</v>
      </c>
      <c r="C3" s="60" t="s">
        <v>93</v>
      </c>
      <c r="D3" s="60" t="s">
        <v>94</v>
      </c>
      <c r="E3" s="60" t="s">
        <v>95</v>
      </c>
      <c r="F3" s="60" t="s">
        <v>96</v>
      </c>
      <c r="G3" s="60" t="s">
        <v>97</v>
      </c>
      <c r="H3" s="60" t="s">
        <v>98</v>
      </c>
      <c r="I3" s="60" t="s">
        <v>99</v>
      </c>
      <c r="K3" s="100" t="s">
        <v>0</v>
      </c>
      <c r="L3" s="100" t="s">
        <v>93</v>
      </c>
      <c r="M3" s="100" t="s">
        <v>94</v>
      </c>
      <c r="N3" s="100" t="s">
        <v>95</v>
      </c>
      <c r="O3" s="100" t="s">
        <v>96</v>
      </c>
      <c r="P3" s="100" t="s">
        <v>97</v>
      </c>
      <c r="Q3" s="100" t="s">
        <v>98</v>
      </c>
      <c r="R3" s="100" t="s">
        <v>99</v>
      </c>
    </row>
    <row r="4" spans="2:18" ht="15.75" customHeight="1">
      <c r="B4" s="98">
        <v>201820</v>
      </c>
      <c r="C4" s="89">
        <v>133</v>
      </c>
      <c r="D4" s="89">
        <v>23</v>
      </c>
      <c r="E4" s="99">
        <v>0.17293233082706766</v>
      </c>
      <c r="F4" s="89">
        <v>0</v>
      </c>
      <c r="G4" s="99">
        <v>0</v>
      </c>
      <c r="H4" s="89">
        <v>110</v>
      </c>
      <c r="I4" s="99">
        <v>0.82706766917293228</v>
      </c>
      <c r="K4" s="89">
        <v>201820</v>
      </c>
      <c r="L4" s="89">
        <v>46</v>
      </c>
      <c r="M4" s="89">
        <v>11</v>
      </c>
      <c r="N4" s="99">
        <v>0.2391304347826087</v>
      </c>
      <c r="O4" s="89">
        <v>0</v>
      </c>
      <c r="P4" s="99">
        <v>0</v>
      </c>
      <c r="Q4" s="89">
        <v>35</v>
      </c>
      <c r="R4" s="111">
        <v>0.76086956521739135</v>
      </c>
    </row>
    <row r="5" spans="2:18" ht="15.75" customHeight="1">
      <c r="B5" s="98">
        <v>201910</v>
      </c>
      <c r="C5" s="89">
        <v>102</v>
      </c>
      <c r="D5" s="89">
        <v>29</v>
      </c>
      <c r="E5" s="99">
        <v>0.28431372549019612</v>
      </c>
      <c r="F5" s="89">
        <v>0</v>
      </c>
      <c r="G5" s="99">
        <v>0</v>
      </c>
      <c r="H5" s="89">
        <v>73</v>
      </c>
      <c r="I5" s="99">
        <v>0.71568627450980393</v>
      </c>
      <c r="K5" s="89">
        <v>201910</v>
      </c>
      <c r="L5" s="89">
        <v>35</v>
      </c>
      <c r="M5" s="89">
        <v>9</v>
      </c>
      <c r="N5" s="99">
        <v>0.25714285714285712</v>
      </c>
      <c r="O5" s="89">
        <v>0</v>
      </c>
      <c r="P5" s="99">
        <v>0</v>
      </c>
      <c r="Q5" s="89">
        <v>26</v>
      </c>
      <c r="R5" s="111">
        <v>0.74285714285714288</v>
      </c>
    </row>
    <row r="6" spans="2:18" ht="15.75" customHeight="1">
      <c r="B6" s="98">
        <v>201920</v>
      </c>
      <c r="C6" s="89">
        <v>126</v>
      </c>
      <c r="D6" s="89">
        <v>21</v>
      </c>
      <c r="E6" s="99">
        <v>0.16669999999999999</v>
      </c>
      <c r="F6" s="89">
        <v>0</v>
      </c>
      <c r="G6" s="99">
        <v>0</v>
      </c>
      <c r="H6" s="89">
        <v>105</v>
      </c>
      <c r="I6" s="99">
        <v>0.83330000000000004</v>
      </c>
      <c r="K6" s="89">
        <v>201920</v>
      </c>
      <c r="L6" s="89">
        <v>39</v>
      </c>
      <c r="M6" s="89">
        <v>6</v>
      </c>
      <c r="N6" s="99">
        <v>0.15379999999999999</v>
      </c>
      <c r="O6" s="89">
        <v>0</v>
      </c>
      <c r="P6" s="99">
        <v>0</v>
      </c>
      <c r="Q6" s="89">
        <v>33</v>
      </c>
      <c r="R6" s="111">
        <v>0.84619999999999995</v>
      </c>
    </row>
    <row r="7" spans="2:18" ht="15.75" customHeight="1">
      <c r="B7" s="98">
        <v>202010</v>
      </c>
      <c r="C7" s="89">
        <v>100</v>
      </c>
      <c r="D7" s="89">
        <v>13</v>
      </c>
      <c r="E7" s="99">
        <v>0.13</v>
      </c>
      <c r="F7" s="89">
        <v>0</v>
      </c>
      <c r="G7" s="99">
        <v>0</v>
      </c>
      <c r="H7" s="89">
        <v>87</v>
      </c>
      <c r="I7" s="99">
        <v>0.87</v>
      </c>
      <c r="K7" s="89">
        <v>202010</v>
      </c>
      <c r="L7" s="89">
        <v>30</v>
      </c>
      <c r="M7" s="89">
        <v>5</v>
      </c>
      <c r="N7" s="99">
        <v>0.16666666666666671</v>
      </c>
      <c r="O7" s="89">
        <v>0</v>
      </c>
      <c r="P7" s="99">
        <v>0</v>
      </c>
      <c r="Q7" s="89">
        <v>25</v>
      </c>
      <c r="R7" s="111">
        <v>0.83333333333333337</v>
      </c>
    </row>
    <row r="9" spans="2:18" ht="36.75" customHeight="1">
      <c r="B9" s="223" t="s">
        <v>100</v>
      </c>
      <c r="C9" s="223"/>
      <c r="D9" s="223"/>
      <c r="E9" s="223"/>
      <c r="F9" s="223"/>
      <c r="G9" s="223"/>
      <c r="H9" s="223"/>
      <c r="I9" s="223"/>
      <c r="K9" s="223" t="s">
        <v>114</v>
      </c>
      <c r="L9" s="223"/>
      <c r="M9" s="223"/>
      <c r="N9" s="223"/>
      <c r="O9" s="223"/>
      <c r="P9" s="223"/>
      <c r="Q9" s="223"/>
      <c r="R9" s="223"/>
    </row>
    <row r="10" spans="2:18" ht="22.5" customHeight="1">
      <c r="B10" s="97" t="s">
        <v>121</v>
      </c>
      <c r="C10" s="97" t="s">
        <v>103</v>
      </c>
      <c r="D10" s="97" t="s">
        <v>104</v>
      </c>
      <c r="E10" s="97" t="s">
        <v>105</v>
      </c>
      <c r="F10" s="97" t="s">
        <v>106</v>
      </c>
      <c r="G10" s="97" t="s">
        <v>107</v>
      </c>
      <c r="H10" s="97" t="s">
        <v>122</v>
      </c>
      <c r="I10" s="92" t="s">
        <v>109</v>
      </c>
      <c r="K10" s="2" t="s">
        <v>121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123</v>
      </c>
      <c r="R10" s="90" t="s">
        <v>109</v>
      </c>
    </row>
    <row r="11" spans="2:18">
      <c r="B11" s="37" t="s">
        <v>124</v>
      </c>
      <c r="C11" s="37" t="s">
        <v>124</v>
      </c>
      <c r="D11" s="37" t="s">
        <v>124</v>
      </c>
      <c r="E11" s="37" t="s">
        <v>124</v>
      </c>
      <c r="F11" s="37" t="s">
        <v>124</v>
      </c>
      <c r="G11" s="37" t="s">
        <v>124</v>
      </c>
      <c r="H11" s="32">
        <f>((C4*E4)+(C5*E5))/(C4+C5)</f>
        <v>0.22127659574468084</v>
      </c>
      <c r="I11" s="32">
        <f>((C6*E6)+(C7*E7))/(C6+C7)</f>
        <v>0.15046106194690265</v>
      </c>
      <c r="K11" s="37" t="s">
        <v>124</v>
      </c>
      <c r="L11" s="37" t="s">
        <v>124</v>
      </c>
      <c r="M11" s="37" t="s">
        <v>124</v>
      </c>
      <c r="N11" s="37" t="s">
        <v>124</v>
      </c>
      <c r="O11" s="37" t="s">
        <v>124</v>
      </c>
      <c r="P11" s="37" t="s">
        <v>124</v>
      </c>
      <c r="Q11" s="32">
        <f>((L4*N4)+(L5*N5))/(L4+L5)</f>
        <v>0.24691358024691357</v>
      </c>
      <c r="R11" s="32">
        <f>((L6*N6)+(L7*N7))/(L6+L7)</f>
        <v>0.15939420289855075</v>
      </c>
    </row>
    <row r="12" spans="2:18">
      <c r="B12" s="206" t="s">
        <v>125</v>
      </c>
      <c r="C12" s="206"/>
      <c r="D12" s="206"/>
      <c r="E12" s="206"/>
      <c r="F12" s="206"/>
      <c r="G12" s="206"/>
      <c r="H12" s="206"/>
      <c r="K12" s="206" t="s">
        <v>125</v>
      </c>
      <c r="L12" s="206"/>
      <c r="M12" s="206"/>
      <c r="N12" s="206"/>
      <c r="O12" s="206"/>
      <c r="P12" s="206"/>
      <c r="Q12" s="206"/>
    </row>
    <row r="13" spans="2:18" ht="22.5" customHeight="1">
      <c r="B13" s="215" t="s">
        <v>126</v>
      </c>
      <c r="C13" s="215"/>
      <c r="D13" s="215"/>
      <c r="E13" s="215"/>
      <c r="F13" s="215"/>
      <c r="G13" s="215"/>
      <c r="H13" s="215"/>
      <c r="K13" s="215" t="s">
        <v>126</v>
      </c>
      <c r="L13" s="215"/>
      <c r="M13" s="215"/>
      <c r="N13" s="215"/>
      <c r="O13" s="215"/>
      <c r="P13" s="215"/>
      <c r="Q13" s="215"/>
    </row>
    <row r="14" spans="2:18">
      <c r="B14" s="3"/>
      <c r="K14" s="3"/>
    </row>
  </sheetData>
  <mergeCells count="10">
    <mergeCell ref="B1:I1"/>
    <mergeCell ref="K12:Q12"/>
    <mergeCell ref="K13:Q13"/>
    <mergeCell ref="B2:I2"/>
    <mergeCell ref="B12:H12"/>
    <mergeCell ref="B13:H13"/>
    <mergeCell ref="K2:R2"/>
    <mergeCell ref="B9:I9"/>
    <mergeCell ref="K9:R9"/>
    <mergeCell ref="K1:R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1:R14"/>
  <sheetViews>
    <sheetView workbookViewId="0"/>
  </sheetViews>
  <sheetFormatPr baseColWidth="10" defaultColWidth="11.44140625" defaultRowHeight="14.4"/>
  <sheetData>
    <row r="1" spans="2:18">
      <c r="B1" s="209" t="s">
        <v>119</v>
      </c>
      <c r="C1" s="209"/>
      <c r="D1" s="209"/>
      <c r="E1" s="209"/>
      <c r="F1" s="209"/>
      <c r="G1" s="209"/>
      <c r="H1" s="209"/>
      <c r="I1" s="209"/>
      <c r="K1" s="209" t="s">
        <v>119</v>
      </c>
      <c r="L1" s="209"/>
      <c r="M1" s="209"/>
      <c r="N1" s="209"/>
      <c r="O1" s="209"/>
      <c r="P1" s="209"/>
      <c r="Q1" s="209"/>
      <c r="R1" s="209"/>
    </row>
    <row r="2" spans="2:18">
      <c r="B2" s="222" t="s">
        <v>127</v>
      </c>
      <c r="C2" s="222"/>
      <c r="D2" s="222"/>
      <c r="E2" s="222"/>
      <c r="F2" s="222"/>
      <c r="G2" s="222"/>
      <c r="H2" s="222"/>
      <c r="I2" s="222"/>
      <c r="K2" s="222" t="s">
        <v>127</v>
      </c>
      <c r="L2" s="222"/>
      <c r="M2" s="222"/>
      <c r="N2" s="222"/>
      <c r="O2" s="222"/>
      <c r="P2" s="222"/>
      <c r="Q2" s="222"/>
      <c r="R2" s="222"/>
    </row>
    <row r="3" spans="2:18" ht="51">
      <c r="B3" s="100" t="s">
        <v>0</v>
      </c>
      <c r="C3" s="100" t="s">
        <v>93</v>
      </c>
      <c r="D3" s="100" t="s">
        <v>94</v>
      </c>
      <c r="E3" s="100" t="s">
        <v>95</v>
      </c>
      <c r="F3" s="100" t="s">
        <v>96</v>
      </c>
      <c r="G3" s="100" t="s">
        <v>97</v>
      </c>
      <c r="H3" s="100" t="s">
        <v>98</v>
      </c>
      <c r="I3" s="100" t="s">
        <v>99</v>
      </c>
      <c r="K3" s="60" t="s">
        <v>0</v>
      </c>
      <c r="L3" s="60" t="s">
        <v>93</v>
      </c>
      <c r="M3" s="60" t="s">
        <v>94</v>
      </c>
      <c r="N3" s="60" t="s">
        <v>95</v>
      </c>
      <c r="O3" s="60" t="s">
        <v>96</v>
      </c>
      <c r="P3" s="60" t="s">
        <v>97</v>
      </c>
      <c r="Q3" s="60" t="s">
        <v>98</v>
      </c>
      <c r="R3" s="60" t="s">
        <v>99</v>
      </c>
    </row>
    <row r="4" spans="2:18" ht="14.25" customHeight="1">
      <c r="B4" s="98">
        <v>201820</v>
      </c>
      <c r="C4" s="98">
        <v>69</v>
      </c>
      <c r="D4" s="98">
        <v>18</v>
      </c>
      <c r="E4" s="99">
        <v>0.2608695652173913</v>
      </c>
      <c r="F4" s="98">
        <v>0</v>
      </c>
      <c r="G4" s="99">
        <v>0</v>
      </c>
      <c r="H4" s="98">
        <v>51</v>
      </c>
      <c r="I4" s="99">
        <v>0.73913043478260865</v>
      </c>
      <c r="K4" s="86">
        <v>201820</v>
      </c>
      <c r="L4" s="87">
        <v>28</v>
      </c>
      <c r="M4" s="87">
        <v>5</v>
      </c>
      <c r="N4" s="88">
        <v>0.17857142857142858</v>
      </c>
      <c r="O4" s="87">
        <v>0</v>
      </c>
      <c r="P4" s="88">
        <v>0</v>
      </c>
      <c r="Q4" s="86">
        <v>23</v>
      </c>
      <c r="R4" s="88">
        <v>0.8214285714285714</v>
      </c>
    </row>
    <row r="5" spans="2:18" ht="14.25" customHeight="1">
      <c r="B5" s="89">
        <v>201910</v>
      </c>
      <c r="C5" s="98">
        <v>78</v>
      </c>
      <c r="D5" s="98">
        <v>11</v>
      </c>
      <c r="E5" s="99">
        <v>0.141025641025641</v>
      </c>
      <c r="F5" s="98">
        <v>0</v>
      </c>
      <c r="G5" s="99">
        <v>0</v>
      </c>
      <c r="H5" s="98">
        <v>67</v>
      </c>
      <c r="I5" s="99">
        <v>0.85897435897435892</v>
      </c>
      <c r="K5" s="57">
        <v>201910</v>
      </c>
      <c r="L5" s="113">
        <v>51</v>
      </c>
      <c r="M5" s="113">
        <v>4</v>
      </c>
      <c r="N5" s="114">
        <v>7.8431372549019607E-2</v>
      </c>
      <c r="O5" s="113">
        <v>0</v>
      </c>
      <c r="P5" s="114">
        <v>0</v>
      </c>
      <c r="Q5" s="115">
        <v>47</v>
      </c>
      <c r="R5" s="114">
        <v>0.92156862745098034</v>
      </c>
    </row>
    <row r="6" spans="2:18" ht="14.25" customHeight="1">
      <c r="B6" s="89">
        <v>201920</v>
      </c>
      <c r="C6" s="98">
        <v>84</v>
      </c>
      <c r="D6" s="98">
        <v>18</v>
      </c>
      <c r="E6" s="99">
        <v>0.21429999999999999</v>
      </c>
      <c r="F6" s="98">
        <v>0</v>
      </c>
      <c r="G6" s="99">
        <v>0</v>
      </c>
      <c r="H6" s="98">
        <v>66</v>
      </c>
      <c r="I6" s="99">
        <v>0.78569999999999995</v>
      </c>
      <c r="K6" s="57">
        <v>201920</v>
      </c>
      <c r="L6" s="113">
        <v>30</v>
      </c>
      <c r="M6" s="113">
        <v>6</v>
      </c>
      <c r="N6" s="114">
        <v>0.2</v>
      </c>
      <c r="O6" s="113">
        <v>0</v>
      </c>
      <c r="P6" s="114">
        <v>0</v>
      </c>
      <c r="Q6" s="115">
        <v>24</v>
      </c>
      <c r="R6" s="114">
        <v>0.8</v>
      </c>
    </row>
    <row r="7" spans="2:18" ht="14.25" customHeight="1">
      <c r="B7" s="89">
        <v>202010</v>
      </c>
      <c r="C7" s="98">
        <v>80</v>
      </c>
      <c r="D7" s="98">
        <v>14</v>
      </c>
      <c r="E7" s="99">
        <v>0.17499999999999999</v>
      </c>
      <c r="F7" s="98">
        <v>0</v>
      </c>
      <c r="G7" s="99">
        <v>0</v>
      </c>
      <c r="H7" s="98">
        <v>66</v>
      </c>
      <c r="I7" s="99">
        <v>0.82499999999999996</v>
      </c>
      <c r="K7" s="57">
        <v>202010</v>
      </c>
      <c r="L7" s="113">
        <v>52</v>
      </c>
      <c r="M7" s="113">
        <v>10</v>
      </c>
      <c r="N7" s="114">
        <v>0.19230769230769229</v>
      </c>
      <c r="O7" s="113">
        <v>0</v>
      </c>
      <c r="P7" s="114">
        <v>0</v>
      </c>
      <c r="Q7" s="115">
        <v>42</v>
      </c>
      <c r="R7" s="114">
        <v>0.80769230769230771</v>
      </c>
    </row>
    <row r="9" spans="2:18" ht="27" customHeight="1">
      <c r="B9" s="223" t="s">
        <v>100</v>
      </c>
      <c r="C9" s="223"/>
      <c r="D9" s="223"/>
      <c r="E9" s="223"/>
      <c r="F9" s="223"/>
      <c r="G9" s="223"/>
      <c r="H9" s="223"/>
      <c r="I9" s="223"/>
      <c r="K9" s="223" t="s">
        <v>114</v>
      </c>
      <c r="L9" s="223"/>
      <c r="M9" s="223"/>
      <c r="N9" s="223"/>
      <c r="O9" s="223"/>
      <c r="P9" s="223"/>
      <c r="Q9" s="223"/>
      <c r="R9" s="223"/>
    </row>
    <row r="10" spans="2:18" ht="20.399999999999999">
      <c r="B10" s="97" t="s">
        <v>121</v>
      </c>
      <c r="C10" s="97" t="s">
        <v>103</v>
      </c>
      <c r="D10" s="97" t="s">
        <v>104</v>
      </c>
      <c r="E10" s="97" t="s">
        <v>105</v>
      </c>
      <c r="F10" s="97" t="s">
        <v>106</v>
      </c>
      <c r="G10" s="97" t="s">
        <v>107</v>
      </c>
      <c r="H10" s="97" t="s">
        <v>122</v>
      </c>
      <c r="I10" s="90" t="s">
        <v>109</v>
      </c>
      <c r="K10" s="2" t="s">
        <v>121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97" t="s">
        <v>122</v>
      </c>
      <c r="R10" s="90" t="s">
        <v>109</v>
      </c>
    </row>
    <row r="11" spans="2:18">
      <c r="B11" s="37" t="s">
        <v>124</v>
      </c>
      <c r="C11" s="37" t="s">
        <v>124</v>
      </c>
      <c r="D11" s="37" t="s">
        <v>124</v>
      </c>
      <c r="E11" s="37" t="s">
        <v>124</v>
      </c>
      <c r="F11" s="37" t="s">
        <v>124</v>
      </c>
      <c r="G11" s="37" t="s">
        <v>124</v>
      </c>
      <c r="H11" s="32">
        <f>((C4*E4)+(C5*E5))/(C4+C5)</f>
        <v>0.19727891156462585</v>
      </c>
      <c r="I11" s="32">
        <f>((C6*E6)+(C7*E7))/(C6+C7)</f>
        <v>0.1951292682926829</v>
      </c>
      <c r="K11" s="37" t="s">
        <v>124</v>
      </c>
      <c r="L11" s="37" t="s">
        <v>124</v>
      </c>
      <c r="M11" s="37" t="s">
        <v>124</v>
      </c>
      <c r="N11" s="37" t="s">
        <v>124</v>
      </c>
      <c r="O11" s="37" t="s">
        <v>124</v>
      </c>
      <c r="P11" s="37" t="s">
        <v>124</v>
      </c>
      <c r="Q11" s="32">
        <f>((L4*N4)+(L5*N5))/(L4+L5)</f>
        <v>0.11392405063291139</v>
      </c>
      <c r="R11" s="32">
        <f>((L6*N6)+(L7*N7))/(L6+L7)</f>
        <v>0.1951219512195122</v>
      </c>
    </row>
    <row r="12" spans="2:18" ht="30" customHeight="1">
      <c r="B12" s="215" t="s">
        <v>125</v>
      </c>
      <c r="C12" s="215"/>
      <c r="D12" s="215"/>
      <c r="E12" s="215"/>
      <c r="F12" s="215"/>
      <c r="G12" s="215"/>
      <c r="H12" s="215"/>
      <c r="K12" s="215" t="s">
        <v>125</v>
      </c>
      <c r="L12" s="215"/>
      <c r="M12" s="215"/>
      <c r="N12" s="215"/>
      <c r="O12" s="215"/>
      <c r="P12" s="215"/>
      <c r="Q12" s="215"/>
    </row>
    <row r="13" spans="2:18" ht="24" customHeight="1">
      <c r="B13" s="215" t="s">
        <v>128</v>
      </c>
      <c r="C13" s="215"/>
      <c r="D13" s="215"/>
      <c r="E13" s="215"/>
      <c r="F13" s="215"/>
      <c r="G13" s="215"/>
      <c r="H13" s="215"/>
      <c r="K13" s="215" t="s">
        <v>128</v>
      </c>
      <c r="L13" s="215"/>
      <c r="M13" s="215"/>
      <c r="N13" s="215"/>
      <c r="O13" s="215"/>
      <c r="P13" s="215"/>
      <c r="Q13" s="215"/>
    </row>
    <row r="14" spans="2:18">
      <c r="B14" s="3"/>
      <c r="K14" s="3"/>
    </row>
  </sheetData>
  <mergeCells count="10">
    <mergeCell ref="B1:I1"/>
    <mergeCell ref="B2:I2"/>
    <mergeCell ref="B12:H12"/>
    <mergeCell ref="B13:H13"/>
    <mergeCell ref="K2:R2"/>
    <mergeCell ref="K12:Q12"/>
    <mergeCell ref="K13:Q13"/>
    <mergeCell ref="B9:I9"/>
    <mergeCell ref="K9:R9"/>
    <mergeCell ref="K1:R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W32"/>
  <sheetViews>
    <sheetView showGridLines="0" zoomScaleNormal="100" workbookViewId="0">
      <selection sqref="A1:H1"/>
    </sheetView>
  </sheetViews>
  <sheetFormatPr baseColWidth="10" defaultColWidth="11.44140625" defaultRowHeight="14.4"/>
  <cols>
    <col min="1" max="1" width="11.88671875" style="5" customWidth="1"/>
    <col min="2" max="10" width="10.44140625" style="7" customWidth="1"/>
    <col min="11" max="11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87"/>
      <c r="J1" s="187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08" t="s">
        <v>129</v>
      </c>
      <c r="B3" s="208"/>
      <c r="C3" s="208"/>
      <c r="D3" s="208"/>
      <c r="E3" s="208"/>
      <c r="F3" s="208"/>
      <c r="G3" s="208"/>
      <c r="H3" s="208"/>
      <c r="I3" s="188"/>
      <c r="J3" s="188"/>
      <c r="M3" s="208" t="s">
        <v>130</v>
      </c>
      <c r="N3" s="208"/>
      <c r="O3" s="208"/>
      <c r="P3" s="208"/>
      <c r="Q3" s="208"/>
      <c r="R3" s="208"/>
      <c r="S3" s="208"/>
      <c r="T3" s="208"/>
    </row>
    <row r="4" spans="1:20" ht="15" thickBot="1"/>
    <row r="5" spans="1:20" ht="30.6">
      <c r="A5" s="149" t="s">
        <v>0</v>
      </c>
      <c r="B5" s="150" t="s">
        <v>1</v>
      </c>
      <c r="C5" s="150" t="s">
        <v>131</v>
      </c>
      <c r="D5" s="150" t="s">
        <v>132</v>
      </c>
      <c r="E5" s="150" t="s">
        <v>133</v>
      </c>
      <c r="F5" s="150" t="s">
        <v>134</v>
      </c>
      <c r="G5" s="150" t="s">
        <v>135</v>
      </c>
      <c r="H5" s="151" t="s">
        <v>136</v>
      </c>
      <c r="I5" s="202"/>
      <c r="J5" s="202"/>
      <c r="M5" s="153" t="s">
        <v>0</v>
      </c>
      <c r="N5" s="64" t="s">
        <v>1</v>
      </c>
      <c r="O5" s="64" t="s">
        <v>131</v>
      </c>
      <c r="P5" s="64" t="s">
        <v>132</v>
      </c>
      <c r="Q5" s="64" t="s">
        <v>133</v>
      </c>
      <c r="R5" s="64" t="s">
        <v>134</v>
      </c>
      <c r="S5" s="64" t="s">
        <v>135</v>
      </c>
      <c r="T5" s="65" t="s">
        <v>136</v>
      </c>
    </row>
    <row r="6" spans="1:20" ht="13.5" customHeight="1">
      <c r="A6" s="132">
        <v>201310</v>
      </c>
      <c r="B6" s="89">
        <v>27</v>
      </c>
      <c r="C6" s="89">
        <v>5</v>
      </c>
      <c r="D6" s="99">
        <v>0.18518518518518517</v>
      </c>
      <c r="E6" s="89">
        <v>0</v>
      </c>
      <c r="F6" s="101">
        <v>0</v>
      </c>
      <c r="G6" s="89">
        <v>22</v>
      </c>
      <c r="H6" s="130">
        <v>0.81481481481481477</v>
      </c>
      <c r="I6" s="203"/>
      <c r="J6" s="203"/>
      <c r="M6" s="154">
        <v>201310</v>
      </c>
      <c r="N6" s="57">
        <v>11</v>
      </c>
      <c r="O6" s="57">
        <v>0</v>
      </c>
      <c r="P6" s="77">
        <v>0</v>
      </c>
      <c r="Q6" s="57">
        <v>0</v>
      </c>
      <c r="R6" s="77">
        <v>0</v>
      </c>
      <c r="S6" s="57">
        <v>11</v>
      </c>
      <c r="T6" s="155">
        <v>1</v>
      </c>
    </row>
    <row r="7" spans="1:20" ht="13.5" customHeight="1">
      <c r="A7" s="132">
        <v>201320</v>
      </c>
      <c r="B7" s="89">
        <v>36</v>
      </c>
      <c r="C7" s="89">
        <v>11</v>
      </c>
      <c r="D7" s="102">
        <v>0.30555555555555558</v>
      </c>
      <c r="E7" s="89">
        <v>0</v>
      </c>
      <c r="F7" s="102">
        <v>0</v>
      </c>
      <c r="G7" s="98">
        <v>25</v>
      </c>
      <c r="H7" s="152">
        <v>0.69444444444444442</v>
      </c>
      <c r="I7" s="204"/>
      <c r="J7" s="204"/>
      <c r="M7" s="154">
        <v>201320</v>
      </c>
      <c r="N7" s="53">
        <v>13</v>
      </c>
      <c r="O7" s="53">
        <v>2</v>
      </c>
      <c r="P7" s="54">
        <v>0.154</v>
      </c>
      <c r="Q7" s="53">
        <v>0</v>
      </c>
      <c r="R7" s="54">
        <v>0</v>
      </c>
      <c r="S7" s="55">
        <v>11</v>
      </c>
      <c r="T7" s="61">
        <v>0.84599999999999997</v>
      </c>
    </row>
    <row r="8" spans="1:20" ht="13.5" customHeight="1">
      <c r="A8" s="132">
        <v>201410</v>
      </c>
      <c r="B8" s="89">
        <v>28</v>
      </c>
      <c r="C8" s="89">
        <v>8</v>
      </c>
      <c r="D8" s="99">
        <v>0.28599999999999998</v>
      </c>
      <c r="E8" s="89">
        <v>0</v>
      </c>
      <c r="F8" s="99">
        <v>0</v>
      </c>
      <c r="G8" s="89">
        <v>20</v>
      </c>
      <c r="H8" s="130">
        <v>0.71399999999999997</v>
      </c>
      <c r="I8" s="203"/>
      <c r="J8" s="203"/>
      <c r="M8" s="154">
        <v>201410</v>
      </c>
      <c r="N8" s="53">
        <v>13</v>
      </c>
      <c r="O8" s="53">
        <v>2</v>
      </c>
      <c r="P8" s="54">
        <v>0.154</v>
      </c>
      <c r="Q8" s="53">
        <v>0</v>
      </c>
      <c r="R8" s="54">
        <v>0</v>
      </c>
      <c r="S8" s="55">
        <v>11</v>
      </c>
      <c r="T8" s="61">
        <v>0.84599999999999997</v>
      </c>
    </row>
    <row r="9" spans="1:20" ht="13.5" customHeight="1">
      <c r="A9" s="132">
        <v>201420</v>
      </c>
      <c r="B9" s="103">
        <v>51</v>
      </c>
      <c r="C9" s="103">
        <v>11</v>
      </c>
      <c r="D9" s="38">
        <v>0.216</v>
      </c>
      <c r="E9" s="103">
        <v>0</v>
      </c>
      <c r="F9" s="38">
        <v>0</v>
      </c>
      <c r="G9" s="104">
        <v>40</v>
      </c>
      <c r="H9" s="131">
        <v>0.78400000000000003</v>
      </c>
      <c r="I9" s="205"/>
      <c r="J9" s="205"/>
      <c r="M9" s="154">
        <v>201420</v>
      </c>
      <c r="N9" s="53">
        <v>9</v>
      </c>
      <c r="O9" s="53">
        <v>0</v>
      </c>
      <c r="P9" s="54">
        <v>0</v>
      </c>
      <c r="Q9" s="53">
        <v>0</v>
      </c>
      <c r="R9" s="54">
        <v>0</v>
      </c>
      <c r="S9" s="55">
        <v>9</v>
      </c>
      <c r="T9" s="61">
        <v>1</v>
      </c>
    </row>
    <row r="10" spans="1:20" ht="13.5" customHeight="1">
      <c r="A10" s="132">
        <v>201510</v>
      </c>
      <c r="B10" s="103">
        <v>39</v>
      </c>
      <c r="C10" s="103">
        <v>12</v>
      </c>
      <c r="D10" s="38">
        <v>0.308</v>
      </c>
      <c r="E10" s="103">
        <v>0</v>
      </c>
      <c r="F10" s="38">
        <v>0</v>
      </c>
      <c r="G10" s="104">
        <v>27</v>
      </c>
      <c r="H10" s="131">
        <v>0.69199999999999995</v>
      </c>
      <c r="I10" s="205"/>
      <c r="J10" s="205"/>
      <c r="M10" s="154">
        <v>201510</v>
      </c>
      <c r="N10" s="53">
        <v>15</v>
      </c>
      <c r="O10" s="53">
        <v>5</v>
      </c>
      <c r="P10" s="54">
        <v>0.33300000000000002</v>
      </c>
      <c r="Q10" s="53">
        <v>0</v>
      </c>
      <c r="R10" s="54">
        <v>0</v>
      </c>
      <c r="S10" s="55">
        <v>10</v>
      </c>
      <c r="T10" s="61">
        <v>0.66700000000000004</v>
      </c>
    </row>
    <row r="11" spans="1:20" ht="13.5" customHeight="1">
      <c r="A11" s="132">
        <v>201520</v>
      </c>
      <c r="B11" s="103">
        <v>61</v>
      </c>
      <c r="C11" s="103">
        <v>15</v>
      </c>
      <c r="D11" s="38">
        <v>0.24590163934426229</v>
      </c>
      <c r="E11" s="103">
        <v>0</v>
      </c>
      <c r="F11" s="38">
        <v>0</v>
      </c>
      <c r="G11" s="104">
        <v>46</v>
      </c>
      <c r="H11" s="131">
        <v>0.75409836065573765</v>
      </c>
      <c r="I11" s="205"/>
      <c r="J11" s="205"/>
      <c r="M11" s="154">
        <v>201520</v>
      </c>
      <c r="N11" s="53">
        <v>13</v>
      </c>
      <c r="O11" s="53">
        <v>2</v>
      </c>
      <c r="P11" s="54">
        <v>0.15384615384615385</v>
      </c>
      <c r="Q11" s="53">
        <v>0</v>
      </c>
      <c r="R11" s="54">
        <v>0</v>
      </c>
      <c r="S11" s="55">
        <v>11</v>
      </c>
      <c r="T11" s="61">
        <v>0.84615384615384615</v>
      </c>
    </row>
    <row r="12" spans="1:20" ht="13.5" customHeight="1">
      <c r="A12" s="132">
        <v>201610</v>
      </c>
      <c r="B12" s="103">
        <v>67</v>
      </c>
      <c r="C12" s="103">
        <v>19</v>
      </c>
      <c r="D12" s="38">
        <v>0.28358208955223879</v>
      </c>
      <c r="E12" s="103">
        <v>0</v>
      </c>
      <c r="F12" s="38">
        <v>0</v>
      </c>
      <c r="G12" s="104">
        <v>48</v>
      </c>
      <c r="H12" s="131">
        <v>0.71641791044776115</v>
      </c>
      <c r="I12" s="205"/>
      <c r="J12" s="205"/>
      <c r="M12" s="154">
        <v>201610</v>
      </c>
      <c r="N12" s="53">
        <v>32</v>
      </c>
      <c r="O12" s="53">
        <v>9</v>
      </c>
      <c r="P12" s="54">
        <v>0.28125</v>
      </c>
      <c r="Q12" s="53">
        <v>0</v>
      </c>
      <c r="R12" s="54">
        <v>0</v>
      </c>
      <c r="S12" s="55">
        <v>23</v>
      </c>
      <c r="T12" s="61">
        <v>0.71875</v>
      </c>
    </row>
    <row r="13" spans="1:20" ht="13.5" customHeight="1">
      <c r="A13" s="132">
        <v>201620</v>
      </c>
      <c r="B13" s="89">
        <v>109</v>
      </c>
      <c r="C13" s="89">
        <v>30</v>
      </c>
      <c r="D13" s="99">
        <v>0.27522935779816515</v>
      </c>
      <c r="E13" s="89">
        <v>0</v>
      </c>
      <c r="F13" s="99">
        <v>0</v>
      </c>
      <c r="G13" s="89">
        <v>79</v>
      </c>
      <c r="H13" s="130">
        <v>0.72477064220183485</v>
      </c>
      <c r="I13" s="203"/>
      <c r="J13" s="203"/>
      <c r="M13" s="154">
        <v>201620</v>
      </c>
      <c r="N13" s="57">
        <v>34</v>
      </c>
      <c r="O13" s="57">
        <v>9</v>
      </c>
      <c r="P13" s="58">
        <v>0.26470588235294118</v>
      </c>
      <c r="Q13" s="57">
        <v>0</v>
      </c>
      <c r="R13" s="58">
        <v>0</v>
      </c>
      <c r="S13" s="57">
        <v>25</v>
      </c>
      <c r="T13" s="62">
        <v>0.73529411764705888</v>
      </c>
    </row>
    <row r="14" spans="1:20" ht="13.5" customHeight="1">
      <c r="A14" s="132">
        <v>201710</v>
      </c>
      <c r="B14" s="103">
        <v>48</v>
      </c>
      <c r="C14" s="103">
        <v>9</v>
      </c>
      <c r="D14" s="38">
        <v>0.1875</v>
      </c>
      <c r="E14" s="103">
        <v>0</v>
      </c>
      <c r="F14" s="38">
        <v>0</v>
      </c>
      <c r="G14" s="104">
        <v>39</v>
      </c>
      <c r="H14" s="131">
        <v>0.8125</v>
      </c>
      <c r="I14" s="205"/>
      <c r="J14" s="205"/>
      <c r="M14" s="154">
        <v>201710</v>
      </c>
      <c r="N14" s="53">
        <v>28</v>
      </c>
      <c r="O14" s="53">
        <v>4</v>
      </c>
      <c r="P14" s="54">
        <v>0.14285714285714285</v>
      </c>
      <c r="Q14" s="53">
        <v>0</v>
      </c>
      <c r="R14" s="54">
        <v>0</v>
      </c>
      <c r="S14" s="55">
        <v>24</v>
      </c>
      <c r="T14" s="61">
        <v>0.8571428571428571</v>
      </c>
    </row>
    <row r="15" spans="1:20" ht="13.5" customHeight="1">
      <c r="A15" s="132">
        <v>201720</v>
      </c>
      <c r="B15" s="103">
        <v>89</v>
      </c>
      <c r="C15" s="103">
        <v>19</v>
      </c>
      <c r="D15" s="38">
        <v>0.21348314606741572</v>
      </c>
      <c r="E15" s="103">
        <v>0</v>
      </c>
      <c r="F15" s="38">
        <v>0</v>
      </c>
      <c r="G15" s="104">
        <v>70</v>
      </c>
      <c r="H15" s="131">
        <v>0.7865168539325843</v>
      </c>
      <c r="I15" s="205"/>
      <c r="J15" s="205"/>
      <c r="M15" s="154">
        <v>201720</v>
      </c>
      <c r="N15" s="53">
        <v>24</v>
      </c>
      <c r="O15" s="53">
        <v>3</v>
      </c>
      <c r="P15" s="54">
        <v>0.125</v>
      </c>
      <c r="Q15" s="53">
        <v>0</v>
      </c>
      <c r="R15" s="54">
        <v>0</v>
      </c>
      <c r="S15" s="55">
        <v>21</v>
      </c>
      <c r="T15" s="61">
        <v>0.875</v>
      </c>
    </row>
    <row r="16" spans="1:20" ht="13.5" customHeight="1">
      <c r="A16" s="132">
        <v>201810</v>
      </c>
      <c r="B16" s="103">
        <v>74</v>
      </c>
      <c r="C16" s="103">
        <v>22</v>
      </c>
      <c r="D16" s="38">
        <v>0.29729729729729731</v>
      </c>
      <c r="E16" s="103">
        <v>0</v>
      </c>
      <c r="F16" s="38">
        <v>0</v>
      </c>
      <c r="G16" s="104">
        <v>52</v>
      </c>
      <c r="H16" s="131">
        <v>0.70270270270270274</v>
      </c>
      <c r="I16" s="205"/>
      <c r="J16" s="205"/>
      <c r="M16" s="154">
        <v>201810</v>
      </c>
      <c r="N16" s="53">
        <v>28</v>
      </c>
      <c r="O16" s="53">
        <v>7</v>
      </c>
      <c r="P16" s="54">
        <v>0.25</v>
      </c>
      <c r="Q16" s="53">
        <v>0</v>
      </c>
      <c r="R16" s="54">
        <v>0</v>
      </c>
      <c r="S16" s="55">
        <v>21</v>
      </c>
      <c r="T16" s="61">
        <v>0.75</v>
      </c>
    </row>
    <row r="17" spans="1:23" ht="13.5" customHeight="1">
      <c r="A17" s="132">
        <v>201820</v>
      </c>
      <c r="B17" s="103">
        <v>75</v>
      </c>
      <c r="C17" s="103">
        <v>15</v>
      </c>
      <c r="D17" s="38">
        <v>0.2</v>
      </c>
      <c r="E17" s="103">
        <v>0</v>
      </c>
      <c r="F17" s="38">
        <v>0</v>
      </c>
      <c r="G17" s="104">
        <v>60</v>
      </c>
      <c r="H17" s="131">
        <v>0.8</v>
      </c>
      <c r="I17" s="205"/>
      <c r="J17" s="205"/>
      <c r="M17" s="109">
        <v>201820</v>
      </c>
      <c r="N17" s="53">
        <v>25</v>
      </c>
      <c r="O17" s="53">
        <v>6</v>
      </c>
      <c r="P17" s="54">
        <v>0.24</v>
      </c>
      <c r="Q17" s="53">
        <v>0</v>
      </c>
      <c r="R17" s="54">
        <v>0</v>
      </c>
      <c r="S17" s="55">
        <v>19</v>
      </c>
      <c r="T17" s="61">
        <v>0.76</v>
      </c>
    </row>
    <row r="18" spans="1:23" ht="13.5" customHeight="1">
      <c r="A18" s="132">
        <v>201910</v>
      </c>
      <c r="B18" s="103">
        <v>46</v>
      </c>
      <c r="C18" s="103">
        <v>12</v>
      </c>
      <c r="D18" s="38">
        <v>0.2608695652173913</v>
      </c>
      <c r="E18" s="103">
        <v>0</v>
      </c>
      <c r="F18" s="38">
        <v>0</v>
      </c>
      <c r="G18" s="104">
        <v>34</v>
      </c>
      <c r="H18" s="131">
        <v>0.73913043478260865</v>
      </c>
      <c r="I18" s="205"/>
      <c r="J18" s="205"/>
      <c r="M18" s="67">
        <v>201910</v>
      </c>
      <c r="N18" s="103">
        <v>17</v>
      </c>
      <c r="O18" s="103">
        <v>3</v>
      </c>
      <c r="P18" s="38">
        <v>0.17647058823529421</v>
      </c>
      <c r="Q18" s="103">
        <v>0</v>
      </c>
      <c r="R18" s="38">
        <v>0</v>
      </c>
      <c r="S18" s="104">
        <v>14</v>
      </c>
      <c r="T18" s="131">
        <v>0.82352941176470584</v>
      </c>
    </row>
    <row r="19" spans="1:23" s="18" customFormat="1" ht="13.5" customHeight="1">
      <c r="A19" s="67">
        <v>201920</v>
      </c>
      <c r="B19" s="53">
        <v>55</v>
      </c>
      <c r="C19" s="53">
        <v>10</v>
      </c>
      <c r="D19" s="54">
        <v>0.1818181818181818</v>
      </c>
      <c r="E19" s="53">
        <v>0</v>
      </c>
      <c r="F19" s="54">
        <v>0</v>
      </c>
      <c r="G19" s="55">
        <v>45</v>
      </c>
      <c r="H19" s="61">
        <v>0.81818181818181823</v>
      </c>
      <c r="I19" s="193"/>
      <c r="J19" s="193"/>
      <c r="L19"/>
      <c r="M19" s="67">
        <v>201920</v>
      </c>
      <c r="N19" s="53">
        <v>14</v>
      </c>
      <c r="O19" s="53">
        <v>2</v>
      </c>
      <c r="P19" s="54">
        <v>0.14285714285714279</v>
      </c>
      <c r="Q19" s="53">
        <v>0</v>
      </c>
      <c r="R19" s="54">
        <v>0</v>
      </c>
      <c r="S19" s="55">
        <v>12</v>
      </c>
      <c r="T19" s="61">
        <v>0.8571428571428571</v>
      </c>
    </row>
    <row r="20" spans="1:23" s="18" customFormat="1" ht="13.5" customHeight="1">
      <c r="A20" s="67">
        <v>202010</v>
      </c>
      <c r="B20" s="53">
        <v>46</v>
      </c>
      <c r="C20" s="53">
        <v>4</v>
      </c>
      <c r="D20" s="54">
        <v>8.6956521739130432E-2</v>
      </c>
      <c r="E20" s="53">
        <v>0</v>
      </c>
      <c r="F20" s="54">
        <v>0</v>
      </c>
      <c r="G20" s="55">
        <v>42</v>
      </c>
      <c r="H20" s="61">
        <v>0.91304347826086951</v>
      </c>
      <c r="I20" s="193"/>
      <c r="J20" s="193"/>
      <c r="L20"/>
      <c r="M20" s="67">
        <v>202010</v>
      </c>
      <c r="N20" s="53">
        <v>11</v>
      </c>
      <c r="O20" s="53">
        <v>1</v>
      </c>
      <c r="P20" s="54">
        <v>9.0909090909090912E-2</v>
      </c>
      <c r="Q20" s="53">
        <v>0</v>
      </c>
      <c r="R20" s="54">
        <v>0</v>
      </c>
      <c r="S20" s="55">
        <v>10</v>
      </c>
      <c r="T20" s="61">
        <v>0.90909090909090906</v>
      </c>
    </row>
    <row r="21" spans="1:23" s="18" customFormat="1" ht="13.5" customHeight="1">
      <c r="A21" s="67">
        <v>202020</v>
      </c>
      <c r="B21" s="53">
        <v>55</v>
      </c>
      <c r="C21" s="53">
        <v>8</v>
      </c>
      <c r="D21" s="54">
        <v>0.14545454545454545</v>
      </c>
      <c r="E21" s="53">
        <v>0</v>
      </c>
      <c r="F21" s="54">
        <v>0</v>
      </c>
      <c r="G21" s="55">
        <v>47</v>
      </c>
      <c r="H21" s="61">
        <v>0.8545454545454545</v>
      </c>
      <c r="I21" s="193"/>
      <c r="J21" s="193"/>
      <c r="L21"/>
      <c r="M21" s="67">
        <v>202020</v>
      </c>
      <c r="N21" s="53">
        <v>10</v>
      </c>
      <c r="O21" s="53">
        <v>0</v>
      </c>
      <c r="P21" s="54">
        <v>0</v>
      </c>
      <c r="Q21" s="53">
        <v>0</v>
      </c>
      <c r="R21" s="54">
        <v>0</v>
      </c>
      <c r="S21" s="55">
        <v>10</v>
      </c>
      <c r="T21" s="61">
        <v>1</v>
      </c>
    </row>
    <row r="22" spans="1:23" s="18" customFormat="1" ht="13.5" customHeight="1">
      <c r="A22" s="67">
        <v>202110</v>
      </c>
      <c r="B22" s="53">
        <v>43</v>
      </c>
      <c r="C22" s="53">
        <v>6</v>
      </c>
      <c r="D22" s="54">
        <v>0.1395348837209302</v>
      </c>
      <c r="E22" s="53">
        <v>0</v>
      </c>
      <c r="F22" s="54">
        <v>0</v>
      </c>
      <c r="G22" s="55">
        <v>37</v>
      </c>
      <c r="H22" s="61">
        <v>0.86046511627906974</v>
      </c>
      <c r="I22" s="193"/>
      <c r="J22" s="193"/>
      <c r="L22"/>
      <c r="M22" s="67">
        <v>202110</v>
      </c>
      <c r="N22" s="53">
        <v>14</v>
      </c>
      <c r="O22" s="53">
        <v>1</v>
      </c>
      <c r="P22" s="54">
        <v>7.1428571428571425E-2</v>
      </c>
      <c r="Q22" s="53">
        <v>0</v>
      </c>
      <c r="R22" s="54">
        <v>0</v>
      </c>
      <c r="S22" s="55">
        <v>13</v>
      </c>
      <c r="T22" s="61">
        <v>0.9285714285714286</v>
      </c>
    </row>
    <row r="23" spans="1:23" s="18" customFormat="1" ht="13.5" customHeight="1">
      <c r="A23" s="67">
        <v>202120</v>
      </c>
      <c r="B23" s="53">
        <v>38</v>
      </c>
      <c r="C23" s="53">
        <v>9</v>
      </c>
      <c r="D23" s="54">
        <v>0.23684210526315791</v>
      </c>
      <c r="E23" s="53">
        <v>0</v>
      </c>
      <c r="F23" s="54">
        <v>0</v>
      </c>
      <c r="G23" s="55">
        <v>29</v>
      </c>
      <c r="H23" s="61">
        <v>0.76315789473684215</v>
      </c>
      <c r="I23" s="193"/>
      <c r="J23" s="193"/>
      <c r="L23"/>
      <c r="M23" s="67">
        <v>202120</v>
      </c>
      <c r="N23" s="53">
        <v>16</v>
      </c>
      <c r="O23" s="53">
        <v>4</v>
      </c>
      <c r="P23" s="54">
        <v>0.25</v>
      </c>
      <c r="Q23" s="53">
        <v>0</v>
      </c>
      <c r="R23" s="54">
        <v>0</v>
      </c>
      <c r="S23" s="55">
        <v>12</v>
      </c>
      <c r="T23" s="61">
        <v>0.75</v>
      </c>
    </row>
    <row r="24" spans="1:23" s="18" customFormat="1" ht="13.5" customHeight="1">
      <c r="A24" s="67">
        <v>202210</v>
      </c>
      <c r="B24" s="53" cm="1">
        <f t="array" ref="B24">IF(RIGHT($A24,2)="10",_xlfn.XLOOKUP("ADD"&amp;$A24,[1]PROGRAMA!$A:$A&amp;[1]PROGRAMA!$B:$B,[1]PROGRAMA!C:C,0),_xlfn.XLOOKUP("ADD"&amp;$A24,[2]PROGRAMA!$A:$A&amp;[2]PROGRAMA!$B:$B,[2]PROGRAMA!C:C,0))</f>
        <v>64</v>
      </c>
      <c r="C24" s="53" cm="1">
        <f t="array" ref="C24">IF(RIGHT($A24,2)="10",_xlfn.XLOOKUP("ADD"&amp;$A24,[1]PROGRAMA!$A:$A&amp;[1]PROGRAMA!$B:$B,[1]PROGRAMA!D:D,0),_xlfn.XLOOKUP("ADD"&amp;$A24,[2]PROGRAMA!$A:$A&amp;[2]PROGRAMA!$B:$B,[2]PROGRAMA!D:D,0))</f>
        <v>18</v>
      </c>
      <c r="D24" s="68">
        <f>IFERROR(C24/$B24,0)</f>
        <v>0.28125</v>
      </c>
      <c r="E24" s="53" cm="1">
        <f t="array" ref="E24">IF(RIGHT($A24,2)="10",_xlfn.XLOOKUP("ADD"&amp;$A24,[1]PROGRAMA!$A:$A&amp;[1]PROGRAMA!$B:$B,[1]PROGRAMA!E:E,0),_xlfn.XLOOKUP("ADD"&amp;$A24,[2]PROGRAMA!$A:$A&amp;[2]PROGRAMA!$B:$B,[2]PROGRAMA!E:E,0))</f>
        <v>0</v>
      </c>
      <c r="F24" s="68">
        <f>IFERROR(E24/$B24,0)</f>
        <v>0</v>
      </c>
      <c r="G24" s="55">
        <f>B24-C24</f>
        <v>46</v>
      </c>
      <c r="H24" s="108">
        <f>IFERROR(G24/$B24,0)</f>
        <v>0.71875</v>
      </c>
      <c r="I24" s="193"/>
      <c r="J24" s="193"/>
      <c r="L24"/>
      <c r="M24" s="67">
        <v>202210</v>
      </c>
      <c r="N24" s="53" cm="1">
        <f t="array" ref="N24">IF(RIGHT($A24,2)="10",_xlfn.XLOOKUP("ADD"&amp;$A24,'[1]PROGRAMA 123'!$A:$A&amp;'[1]PROGRAMA 123'!$B:$B,'[1]PROGRAMA 123'!C:C,0),_xlfn.XLOOKUP("ADD"&amp;$A24,'[2]PROGRAMA 123'!$A:$A&amp;'[2]PROGRAMA 123'!$B:$B,'[2]PROGRAMA 123'!C:C,0))</f>
        <v>33</v>
      </c>
      <c r="O24" s="53" cm="1">
        <f t="array" ref="O24">IF(RIGHT($A24,2)="10",_xlfn.XLOOKUP("ADD"&amp;$A24,'[1]PROGRAMA 123'!$A:$A&amp;'[1]PROGRAMA 123'!$B:$B,'[1]PROGRAMA 123'!D:D,0),_xlfn.XLOOKUP("ADD"&amp;$A24,'[2]PROGRAMA 123'!$A:$A&amp;'[2]PROGRAMA 123'!$B:$B,'[2]PROGRAMA 123'!D:D,0))</f>
        <v>10</v>
      </c>
      <c r="P24" s="68">
        <f>IFERROR(O24/$N24,0)</f>
        <v>0.30303030303030304</v>
      </c>
      <c r="Q24" s="53" cm="1">
        <f t="array" ref="Q24">IF(RIGHT($A24,2)="10",_xlfn.XLOOKUP("ADD"&amp;$A24,'[1]PROGRAMA 123'!$A:$A&amp;'[1]PROGRAMA 123'!$B:$B,'[1]PROGRAMA 123'!E:E,0),_xlfn.XLOOKUP("ADD"&amp;$A24,'[2]PROGRAMA 123'!$A:$A&amp;'[2]PROGRAMA 123'!$B:$B,'[2]PROGRAMA 123'!E:E,0))</f>
        <v>0</v>
      </c>
      <c r="R24" s="68">
        <f>IFERROR(Q24/$N24,0)</f>
        <v>0</v>
      </c>
      <c r="S24" s="55">
        <f>N24-O24</f>
        <v>23</v>
      </c>
      <c r="T24" s="108">
        <f>IFERROR(S24/$N24,0)</f>
        <v>0.69696969696969702</v>
      </c>
    </row>
    <row r="25" spans="1:23" s="18" customFormat="1" ht="13.5" customHeight="1">
      <c r="A25" s="67">
        <v>202220</v>
      </c>
      <c r="B25" s="53" cm="1">
        <f t="array" ref="B25">IF(RIGHT($A25,2)="10",_xlfn.XLOOKUP("ADD"&amp;$A25,[1]PROGRAMA!$A:$A&amp;[1]PROGRAMA!$B:$B,[1]PROGRAMA!C:C,0),_xlfn.XLOOKUP("ADD"&amp;$A25,[2]PROGRAMA!$A:$A&amp;[2]PROGRAMA!$B:$B,[2]PROGRAMA!C:C,0))</f>
        <v>40</v>
      </c>
      <c r="C25" s="53" cm="1">
        <f t="array" ref="C25">IF(RIGHT($A25,2)="10",_xlfn.XLOOKUP("ADD"&amp;$A25,[1]PROGRAMA!$A:$A&amp;[1]PROGRAMA!$B:$B,[1]PROGRAMA!D:D,0),_xlfn.XLOOKUP("ADD"&amp;$A25,[2]PROGRAMA!$A:$A&amp;[2]PROGRAMA!$B:$B,[2]PROGRAMA!D:D,0))</f>
        <v>11</v>
      </c>
      <c r="D25" s="68">
        <f>IFERROR(C25/$B25,0)</f>
        <v>0.27500000000000002</v>
      </c>
      <c r="E25" s="53" cm="1">
        <f t="array" ref="E25">IF(RIGHT($A25,2)="10",_xlfn.XLOOKUP("ADD"&amp;$A25,[1]PROGRAMA!$A:$A&amp;[1]PROGRAMA!$B:$B,[1]PROGRAMA!E:E,0),_xlfn.XLOOKUP("ADD"&amp;$A25,[2]PROGRAMA!$A:$A&amp;[2]PROGRAMA!$B:$B,[2]PROGRAMA!E:E,0))</f>
        <v>0</v>
      </c>
      <c r="F25" s="68">
        <f>IFERROR(E25/$B25,0)</f>
        <v>0</v>
      </c>
      <c r="G25" s="55">
        <f>B25-C25</f>
        <v>29</v>
      </c>
      <c r="H25" s="108">
        <f>IFERROR(G25/$B25,0)</f>
        <v>0.72499999999999998</v>
      </c>
      <c r="I25" s="193"/>
      <c r="J25" s="193"/>
      <c r="L25"/>
      <c r="M25" s="67">
        <v>202220</v>
      </c>
      <c r="N25" s="53" cm="1">
        <f t="array" ref="N25">IF(RIGHT($A25,2)="10",_xlfn.XLOOKUP("ADD"&amp;$A25,'[1]PROGRAMA 123'!$A:$A&amp;'[1]PROGRAMA 123'!$B:$B,'[1]PROGRAMA 123'!C:C,0),_xlfn.XLOOKUP("ADD"&amp;$A25,'[2]PROGRAMA 123'!$A:$A&amp;'[2]PROGRAMA 123'!$B:$B,'[2]PROGRAMA 123'!C:C,0))</f>
        <v>18</v>
      </c>
      <c r="O25" s="53" cm="1">
        <f t="array" ref="O25">IF(RIGHT($A25,2)="10",_xlfn.XLOOKUP("ADD"&amp;$A25,'[1]PROGRAMA 123'!$A:$A&amp;'[1]PROGRAMA 123'!$B:$B,'[1]PROGRAMA 123'!D:D,0),_xlfn.XLOOKUP("ADD"&amp;$A25,'[2]PROGRAMA 123'!$A:$A&amp;'[2]PROGRAMA 123'!$B:$B,'[2]PROGRAMA 123'!D:D,0))</f>
        <v>3</v>
      </c>
      <c r="P25" s="68">
        <f>IFERROR(O25/$N25,0)</f>
        <v>0.16666666666666666</v>
      </c>
      <c r="Q25" s="53" cm="1">
        <f t="array" ref="Q25">IF(RIGHT($A25,2)="10",_xlfn.XLOOKUP("ADD"&amp;$A25,'[1]PROGRAMA 123'!$A:$A&amp;'[1]PROGRAMA 123'!$B:$B,'[1]PROGRAMA 123'!E:E,0),_xlfn.XLOOKUP("ADD"&amp;$A25,'[2]PROGRAMA 123'!$A:$A&amp;'[2]PROGRAMA 123'!$B:$B,'[2]PROGRAMA 123'!E:E,0))</f>
        <v>0</v>
      </c>
      <c r="R25" s="68">
        <f>IFERROR(Q25/$N25,0)</f>
        <v>0</v>
      </c>
      <c r="S25" s="55">
        <f>N25-O25</f>
        <v>15</v>
      </c>
      <c r="T25" s="108">
        <f>IFERROR(S25/$N25,0)</f>
        <v>0.83333333333333337</v>
      </c>
    </row>
    <row r="26" spans="1:23" s="18" customFormat="1" ht="13.5" customHeight="1" thickBot="1">
      <c r="A26" s="172" t="s">
        <v>239</v>
      </c>
      <c r="B26" s="173">
        <v>41</v>
      </c>
      <c r="C26" s="173">
        <v>8</v>
      </c>
      <c r="D26" s="174">
        <v>0.1951219512195122</v>
      </c>
      <c r="E26" s="173">
        <v>0</v>
      </c>
      <c r="F26" s="174">
        <v>0</v>
      </c>
      <c r="G26" s="180">
        <v>33</v>
      </c>
      <c r="H26" s="175">
        <v>0.80487804878048785</v>
      </c>
      <c r="I26" s="193"/>
      <c r="J26" s="193"/>
      <c r="L26"/>
      <c r="M26" s="172" t="s">
        <v>239</v>
      </c>
      <c r="N26" s="173">
        <v>24</v>
      </c>
      <c r="O26" s="173">
        <v>5</v>
      </c>
      <c r="P26" s="174">
        <v>0.20833333333333329</v>
      </c>
      <c r="Q26" s="173">
        <v>0</v>
      </c>
      <c r="R26" s="174">
        <v>0</v>
      </c>
      <c r="S26" s="180">
        <v>19</v>
      </c>
      <c r="T26" s="175">
        <v>0.79166666666666663</v>
      </c>
    </row>
    <row r="28" spans="1:23" ht="41.25" hidden="1" customHeight="1">
      <c r="A28" s="221" t="s">
        <v>100</v>
      </c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M28" s="221" t="s">
        <v>114</v>
      </c>
      <c r="N28" s="220"/>
      <c r="O28" s="220"/>
      <c r="P28" s="220"/>
      <c r="Q28" s="220"/>
      <c r="R28" s="220"/>
      <c r="S28" s="220"/>
      <c r="T28" s="220"/>
      <c r="U28" s="220"/>
      <c r="V28" s="220"/>
      <c r="W28" s="220"/>
    </row>
    <row r="29" spans="1:23" ht="33" hidden="1" customHeight="1">
      <c r="A29" s="90" t="s">
        <v>117</v>
      </c>
      <c r="B29" s="90" t="s">
        <v>103</v>
      </c>
      <c r="C29" s="90" t="s">
        <v>104</v>
      </c>
      <c r="D29" s="90" t="s">
        <v>105</v>
      </c>
      <c r="E29" s="90" t="s">
        <v>106</v>
      </c>
      <c r="F29" s="90" t="s">
        <v>107</v>
      </c>
      <c r="G29" s="90" t="s">
        <v>108</v>
      </c>
      <c r="H29" s="90" t="s">
        <v>109</v>
      </c>
      <c r="I29" s="199" t="s">
        <v>110</v>
      </c>
      <c r="J29" s="199" t="str">
        <f>'1d. Retiro temprano.'!K30</f>
        <v>2023
212-221</v>
      </c>
      <c r="K29" s="90" t="str">
        <f>'1d. Retiro temprano.'!L30</f>
        <v>2024-1***
222</v>
      </c>
      <c r="M29" s="90" t="s">
        <v>117</v>
      </c>
      <c r="N29" s="90" t="s">
        <v>103</v>
      </c>
      <c r="O29" s="90" t="s">
        <v>104</v>
      </c>
      <c r="P29" s="90" t="s">
        <v>105</v>
      </c>
      <c r="Q29" s="90" t="s">
        <v>106</v>
      </c>
      <c r="R29" s="90" t="s">
        <v>107</v>
      </c>
      <c r="S29" s="90" t="s">
        <v>108</v>
      </c>
      <c r="T29" s="90" t="s">
        <v>109</v>
      </c>
      <c r="U29" s="90" t="s">
        <v>110</v>
      </c>
      <c r="V29" s="90" t="str">
        <f>J29</f>
        <v>2023
212-221</v>
      </c>
      <c r="W29" s="90" t="str">
        <f>K29</f>
        <v>2024-1***
222</v>
      </c>
    </row>
    <row r="30" spans="1:23" hidden="1">
      <c r="A30" s="32">
        <f>D6</f>
        <v>0.18518518518518517</v>
      </c>
      <c r="B30" s="32">
        <f>+((B7*D7)+(B8*D8))/(B7+B8)</f>
        <v>0.29699999999999999</v>
      </c>
      <c r="C30" s="32">
        <f>((B9*D9)+(B10*D10))/(B9+B10)</f>
        <v>0.25586666666666663</v>
      </c>
      <c r="D30" s="32">
        <f>+((B11*D11)+(B12*D12))/(B11+B12)</f>
        <v>0.265625</v>
      </c>
      <c r="E30" s="32">
        <f>((B13*D13)+(B14*D14))/(B13+B14)</f>
        <v>0.24840764331210191</v>
      </c>
      <c r="F30" s="32">
        <f>((B15*D15)+(B16*D16))/(B15+B16)</f>
        <v>0.25153374233128833</v>
      </c>
      <c r="G30" s="32">
        <f>((B17*D17)+(B18*D18))/(B17+B18)</f>
        <v>0.2231404958677686</v>
      </c>
      <c r="H30" s="32">
        <f>((B19*D19)+(B20*D20))/(B19+B20)</f>
        <v>0.1386138613861386</v>
      </c>
      <c r="I30" s="200">
        <f>((B21*D21)+(B22*D22))/(B21+B22)</f>
        <v>0.14285714285714285</v>
      </c>
      <c r="J30" s="200">
        <f>(C23+C24)/(B23+B24)</f>
        <v>0.26470588235294118</v>
      </c>
      <c r="K30" s="32">
        <f>D25</f>
        <v>0.27500000000000002</v>
      </c>
      <c r="M30" s="32">
        <f>P6</f>
        <v>0</v>
      </c>
      <c r="N30" s="32">
        <f>+((N7*P7)+(N8*P8))/(N7+N8)</f>
        <v>0.15399999999999997</v>
      </c>
      <c r="O30" s="32">
        <f>((N9*P9)+(N10*P10))/(N9+N10)</f>
        <v>0.208125</v>
      </c>
      <c r="P30" s="32">
        <f>+((N11*P11)+(N12*P12))/(N11+N12)</f>
        <v>0.24444444444444444</v>
      </c>
      <c r="Q30" s="32">
        <f>((N13*P13)+(N14*P14))/(N13+N14)</f>
        <v>0.20967741935483872</v>
      </c>
      <c r="R30" s="32">
        <f>((N15*P15)+(N16*P16))/(N15+N16)</f>
        <v>0.19230769230769232</v>
      </c>
      <c r="S30" s="32">
        <f>((N17*P17)+(N18*P18))/(N17+N18)</f>
        <v>0.21428571428571433</v>
      </c>
      <c r="T30" s="32">
        <f>((N19*P19)+(N20*P20))/(N19+N20)</f>
        <v>0.11999999999999997</v>
      </c>
      <c r="U30" s="32">
        <f>((N21*P21)+(N22*P22))/(N21+N22)</f>
        <v>4.1666666666666664E-2</v>
      </c>
      <c r="V30" s="32">
        <f>(O23+O24)/(N23+N24)</f>
        <v>0.2857142857142857</v>
      </c>
      <c r="W30" s="32">
        <f>P25</f>
        <v>0.16666666666666666</v>
      </c>
    </row>
    <row r="31" spans="1:23" hidden="1">
      <c r="A31" s="215" t="s">
        <v>118</v>
      </c>
      <c r="B31" s="215"/>
      <c r="C31" s="215"/>
      <c r="D31" s="215"/>
      <c r="E31" s="215"/>
      <c r="F31" s="215"/>
      <c r="G31" s="215"/>
      <c r="H31" s="215"/>
      <c r="I31" s="215"/>
      <c r="J31" s="215"/>
      <c r="K31" s="18"/>
      <c r="M31" s="215" t="s">
        <v>118</v>
      </c>
      <c r="N31" s="215"/>
      <c r="O31" s="215"/>
      <c r="P31" s="215"/>
      <c r="Q31" s="215"/>
      <c r="R31" s="215"/>
      <c r="S31" s="215"/>
      <c r="T31" s="215"/>
      <c r="U31" s="215"/>
      <c r="V31" s="215"/>
      <c r="W31" s="18"/>
    </row>
    <row r="32" spans="1:23" hidden="1">
      <c r="A32" s="206" t="s">
        <v>235</v>
      </c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M32" s="206" t="s">
        <v>235</v>
      </c>
      <c r="N32" s="206"/>
      <c r="O32" s="206"/>
      <c r="P32" s="206"/>
      <c r="Q32" s="206"/>
      <c r="R32" s="206"/>
      <c r="S32" s="206"/>
      <c r="T32" s="206"/>
      <c r="U32" s="206"/>
      <c r="V32" s="206"/>
      <c r="W32" s="206"/>
    </row>
  </sheetData>
  <mergeCells count="12">
    <mergeCell ref="A32:K32"/>
    <mergeCell ref="M31:V31"/>
    <mergeCell ref="M32:W32"/>
    <mergeCell ref="A31:J31"/>
    <mergeCell ref="A28:K28"/>
    <mergeCell ref="M28:W28"/>
    <mergeCell ref="A1:H1"/>
    <mergeCell ref="M2:T2"/>
    <mergeCell ref="A3:H3"/>
    <mergeCell ref="A2:H2"/>
    <mergeCell ref="M3:T3"/>
    <mergeCell ref="M1:T1"/>
  </mergeCells>
  <pageMargins left="0.7" right="0.7" top="0.75" bottom="0.75" header="0.3" footer="0.3"/>
  <pageSetup orientation="portrait" r:id="rId1"/>
  <ignoredErrors>
    <ignoredError sqref="E24:E25 G24:G25 Q24:Q25 S27 S24:S25" formula="1"/>
    <ignoredError sqref="A26 M2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203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204</v>
      </c>
      <c r="N3" s="225"/>
      <c r="O3" s="225"/>
      <c r="P3" s="225"/>
      <c r="Q3" s="225"/>
      <c r="R3" s="225"/>
      <c r="S3" s="225"/>
      <c r="T3" s="226"/>
    </row>
    <row r="4" spans="1:20" ht="51">
      <c r="A4" s="60" t="s">
        <v>0</v>
      </c>
      <c r="B4" s="60" t="s">
        <v>93</v>
      </c>
      <c r="C4" s="60" t="s">
        <v>94</v>
      </c>
      <c r="D4" s="60" t="s">
        <v>95</v>
      </c>
      <c r="E4" s="60" t="s">
        <v>96</v>
      </c>
      <c r="F4" s="60" t="s">
        <v>97</v>
      </c>
      <c r="G4" s="60" t="s">
        <v>98</v>
      </c>
      <c r="H4" s="60" t="s">
        <v>99</v>
      </c>
      <c r="I4" s="136"/>
      <c r="J4" s="136"/>
      <c r="K4" s="13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>
        <v>5</v>
      </c>
      <c r="C5" s="57">
        <v>1</v>
      </c>
      <c r="D5" s="58">
        <v>0.2</v>
      </c>
      <c r="E5" s="57">
        <v>0</v>
      </c>
      <c r="F5" s="58">
        <v>0</v>
      </c>
      <c r="G5" s="57">
        <v>4</v>
      </c>
      <c r="H5" s="58">
        <v>0.8</v>
      </c>
      <c r="I5" s="125"/>
      <c r="J5" s="125"/>
      <c r="K5" s="125"/>
      <c r="M5" s="55">
        <v>201310</v>
      </c>
      <c r="N5" s="57">
        <v>2</v>
      </c>
      <c r="O5" s="57">
        <v>0</v>
      </c>
      <c r="P5" s="58">
        <v>0</v>
      </c>
      <c r="Q5" s="57">
        <v>0</v>
      </c>
      <c r="R5" s="58">
        <v>0</v>
      </c>
      <c r="S5" s="57">
        <v>2</v>
      </c>
      <c r="T5" s="75">
        <v>1</v>
      </c>
    </row>
    <row r="6" spans="1:20" ht="13.5" customHeight="1">
      <c r="A6" s="59">
        <v>201320</v>
      </c>
      <c r="B6" s="57">
        <v>13</v>
      </c>
      <c r="C6" s="57">
        <v>5</v>
      </c>
      <c r="D6" s="76">
        <v>0.38461538461538464</v>
      </c>
      <c r="E6" s="57">
        <v>0</v>
      </c>
      <c r="F6" s="76">
        <v>0</v>
      </c>
      <c r="G6" s="59">
        <v>8</v>
      </c>
      <c r="H6" s="76">
        <v>0.61538461538461542</v>
      </c>
      <c r="I6" s="127"/>
      <c r="J6" s="127"/>
      <c r="K6" s="127"/>
      <c r="M6" s="55">
        <v>201320</v>
      </c>
      <c r="N6" s="53">
        <v>6</v>
      </c>
      <c r="O6" s="53">
        <v>2</v>
      </c>
      <c r="P6" s="54">
        <v>0.33333333333333331</v>
      </c>
      <c r="Q6" s="53">
        <v>0</v>
      </c>
      <c r="R6" s="54">
        <v>0</v>
      </c>
      <c r="S6" s="55">
        <v>4</v>
      </c>
      <c r="T6" s="54">
        <v>0.66666666666666663</v>
      </c>
    </row>
    <row r="7" spans="1:20" ht="13.5" customHeight="1">
      <c r="A7" s="59">
        <v>201410</v>
      </c>
      <c r="B7" s="57">
        <v>7</v>
      </c>
      <c r="C7" s="57">
        <v>0</v>
      </c>
      <c r="D7" s="58">
        <v>0</v>
      </c>
      <c r="E7" s="57">
        <v>0</v>
      </c>
      <c r="F7" s="58">
        <v>0</v>
      </c>
      <c r="G7" s="57">
        <v>7</v>
      </c>
      <c r="H7" s="58">
        <v>1</v>
      </c>
      <c r="I7" s="125"/>
      <c r="J7" s="125"/>
      <c r="K7" s="125"/>
      <c r="M7" s="55">
        <v>201410</v>
      </c>
      <c r="N7" s="53">
        <v>5</v>
      </c>
      <c r="O7" s="53">
        <v>0</v>
      </c>
      <c r="P7" s="54">
        <v>0</v>
      </c>
      <c r="Q7" s="53">
        <v>0</v>
      </c>
      <c r="R7" s="54">
        <v>0</v>
      </c>
      <c r="S7" s="55">
        <v>5</v>
      </c>
      <c r="T7" s="54">
        <v>1</v>
      </c>
    </row>
    <row r="8" spans="1:20" ht="13.5" customHeight="1">
      <c r="A8" s="59">
        <v>201420</v>
      </c>
      <c r="B8" s="53">
        <v>7</v>
      </c>
      <c r="C8" s="53">
        <v>1</v>
      </c>
      <c r="D8" s="54">
        <v>0.14299999999999999</v>
      </c>
      <c r="E8" s="53">
        <v>0</v>
      </c>
      <c r="F8" s="54">
        <v>0</v>
      </c>
      <c r="G8" s="55">
        <v>6</v>
      </c>
      <c r="H8" s="54">
        <v>0.85699999999999998</v>
      </c>
      <c r="I8" s="23"/>
      <c r="J8" s="23"/>
      <c r="K8" s="23"/>
      <c r="M8" s="55">
        <v>201420</v>
      </c>
      <c r="N8" s="53">
        <v>4</v>
      </c>
      <c r="O8" s="53">
        <v>1</v>
      </c>
      <c r="P8" s="54">
        <v>0.25</v>
      </c>
      <c r="Q8" s="53">
        <v>0</v>
      </c>
      <c r="R8" s="54">
        <v>0</v>
      </c>
      <c r="S8" s="55">
        <v>3</v>
      </c>
      <c r="T8" s="54">
        <v>0.75</v>
      </c>
    </row>
    <row r="9" spans="1:20" ht="13.5" customHeight="1">
      <c r="A9" s="59">
        <v>201510</v>
      </c>
      <c r="B9" s="53">
        <v>4</v>
      </c>
      <c r="C9" s="53">
        <v>1</v>
      </c>
      <c r="D9" s="54">
        <v>0.25</v>
      </c>
      <c r="E9" s="53">
        <v>0</v>
      </c>
      <c r="F9" s="54">
        <v>0</v>
      </c>
      <c r="G9" s="55">
        <v>3</v>
      </c>
      <c r="H9" s="54">
        <v>0.75</v>
      </c>
      <c r="I9" s="23"/>
      <c r="J9" s="23"/>
      <c r="K9" s="23"/>
      <c r="M9" s="55">
        <v>201510</v>
      </c>
      <c r="N9" s="53">
        <v>1</v>
      </c>
      <c r="O9" s="53">
        <v>0</v>
      </c>
      <c r="P9" s="54">
        <v>0</v>
      </c>
      <c r="Q9" s="53">
        <v>0</v>
      </c>
      <c r="R9" s="54">
        <v>0</v>
      </c>
      <c r="S9" s="55">
        <v>1</v>
      </c>
      <c r="T9" s="54">
        <v>1</v>
      </c>
    </row>
    <row r="10" spans="1:20" ht="13.5" customHeight="1">
      <c r="A10" s="59">
        <v>201520</v>
      </c>
      <c r="B10" s="53">
        <v>6</v>
      </c>
      <c r="C10" s="53">
        <v>4</v>
      </c>
      <c r="D10" s="54">
        <v>0.66666666666666663</v>
      </c>
      <c r="E10" s="53">
        <v>0</v>
      </c>
      <c r="F10" s="54">
        <v>0</v>
      </c>
      <c r="G10" s="55">
        <v>2</v>
      </c>
      <c r="H10" s="54">
        <v>0.33333333333333331</v>
      </c>
      <c r="I10" s="23"/>
      <c r="J10" s="23"/>
      <c r="K10" s="23"/>
      <c r="M10" s="55">
        <v>201520</v>
      </c>
      <c r="N10" s="53">
        <v>2</v>
      </c>
      <c r="O10" s="53">
        <v>1</v>
      </c>
      <c r="P10" s="54">
        <v>0.5</v>
      </c>
      <c r="Q10" s="53">
        <v>0</v>
      </c>
      <c r="R10" s="54">
        <v>0</v>
      </c>
      <c r="S10" s="55">
        <v>1</v>
      </c>
      <c r="T10" s="54">
        <v>0.5</v>
      </c>
    </row>
    <row r="11" spans="1:20" ht="13.5" customHeight="1">
      <c r="A11" s="59">
        <v>201610</v>
      </c>
      <c r="B11" s="53">
        <v>6</v>
      </c>
      <c r="C11" s="53">
        <v>0</v>
      </c>
      <c r="D11" s="54">
        <v>0</v>
      </c>
      <c r="E11" s="53">
        <v>0</v>
      </c>
      <c r="F11" s="54">
        <v>0</v>
      </c>
      <c r="G11" s="55">
        <v>6</v>
      </c>
      <c r="H11" s="54">
        <v>1</v>
      </c>
      <c r="I11" s="23"/>
      <c r="J11" s="23"/>
      <c r="K11" s="23"/>
      <c r="M11" s="55">
        <v>201610</v>
      </c>
      <c r="N11" s="53">
        <v>6</v>
      </c>
      <c r="O11" s="53">
        <v>0</v>
      </c>
      <c r="P11" s="54">
        <v>0</v>
      </c>
      <c r="Q11" s="53">
        <v>0</v>
      </c>
      <c r="R11" s="54">
        <v>0</v>
      </c>
      <c r="S11" s="55">
        <v>6</v>
      </c>
      <c r="T11" s="54">
        <v>1</v>
      </c>
    </row>
    <row r="12" spans="1:20" ht="13.5" customHeight="1">
      <c r="A12" s="59">
        <v>201620</v>
      </c>
      <c r="B12" s="57">
        <v>7</v>
      </c>
      <c r="C12" s="57">
        <v>1</v>
      </c>
      <c r="D12" s="58">
        <v>0.14285714285714285</v>
      </c>
      <c r="E12" s="57">
        <v>0</v>
      </c>
      <c r="F12" s="58">
        <v>0</v>
      </c>
      <c r="G12" s="57">
        <v>6</v>
      </c>
      <c r="H12" s="58">
        <v>0.8571428571428571</v>
      </c>
      <c r="I12" s="125"/>
      <c r="J12" s="125"/>
      <c r="K12" s="125"/>
      <c r="M12" s="55">
        <v>201620</v>
      </c>
      <c r="N12" s="57">
        <v>3</v>
      </c>
      <c r="O12" s="57">
        <v>1</v>
      </c>
      <c r="P12" s="58">
        <v>0.33333333333333331</v>
      </c>
      <c r="Q12" s="57">
        <v>0</v>
      </c>
      <c r="R12" s="58">
        <v>0</v>
      </c>
      <c r="S12" s="57">
        <v>2</v>
      </c>
      <c r="T12" s="58">
        <v>0.66666666666666663</v>
      </c>
    </row>
    <row r="13" spans="1:20" ht="13.5" customHeight="1">
      <c r="A13" s="59">
        <v>201710</v>
      </c>
      <c r="B13" s="53">
        <v>15</v>
      </c>
      <c r="C13" s="53">
        <v>4</v>
      </c>
      <c r="D13" s="54">
        <v>0.26666666666666666</v>
      </c>
      <c r="E13" s="53">
        <v>0</v>
      </c>
      <c r="F13" s="54">
        <v>0</v>
      </c>
      <c r="G13" s="55">
        <v>11</v>
      </c>
      <c r="H13" s="54">
        <v>0.73333333333333328</v>
      </c>
      <c r="I13" s="23"/>
      <c r="J13" s="23"/>
      <c r="K13" s="23"/>
      <c r="M13" s="55">
        <v>201710</v>
      </c>
      <c r="N13" s="53">
        <v>6</v>
      </c>
      <c r="O13" s="53">
        <v>2</v>
      </c>
      <c r="P13" s="54">
        <v>0.33333333333333331</v>
      </c>
      <c r="Q13" s="53">
        <v>0</v>
      </c>
      <c r="R13" s="54">
        <v>0</v>
      </c>
      <c r="S13" s="55">
        <v>4</v>
      </c>
      <c r="T13" s="54">
        <v>0.66666666666666663</v>
      </c>
    </row>
    <row r="14" spans="1:20" ht="13.5" customHeight="1">
      <c r="A14" s="59">
        <v>201720</v>
      </c>
      <c r="B14" s="53">
        <v>10</v>
      </c>
      <c r="C14" s="53">
        <v>2</v>
      </c>
      <c r="D14" s="54">
        <v>0.2</v>
      </c>
      <c r="E14" s="53">
        <v>0</v>
      </c>
      <c r="F14" s="54">
        <v>0</v>
      </c>
      <c r="G14" s="55">
        <v>8</v>
      </c>
      <c r="H14" s="54">
        <v>0.8</v>
      </c>
      <c r="I14" s="23"/>
      <c r="J14" s="23"/>
      <c r="K14" s="23"/>
      <c r="M14" s="55">
        <v>201720</v>
      </c>
      <c r="N14" s="53">
        <v>5</v>
      </c>
      <c r="O14" s="53">
        <v>1</v>
      </c>
      <c r="P14" s="54">
        <v>0.2</v>
      </c>
      <c r="Q14" s="53">
        <v>0</v>
      </c>
      <c r="R14" s="54">
        <v>0</v>
      </c>
      <c r="S14" s="55">
        <v>4</v>
      </c>
      <c r="T14" s="54">
        <v>0.8</v>
      </c>
    </row>
    <row r="15" spans="1:20" ht="13.5" customHeight="1">
      <c r="A15" s="59">
        <v>201810</v>
      </c>
      <c r="B15" s="53">
        <v>10</v>
      </c>
      <c r="C15" s="53">
        <v>4</v>
      </c>
      <c r="D15" s="54">
        <v>0.4</v>
      </c>
      <c r="E15" s="53">
        <v>0</v>
      </c>
      <c r="F15" s="54">
        <v>0</v>
      </c>
      <c r="G15" s="55">
        <v>6</v>
      </c>
      <c r="H15" s="54">
        <v>0.6</v>
      </c>
      <c r="I15" s="23"/>
      <c r="J15" s="23"/>
      <c r="K15" s="23"/>
      <c r="M15" s="55">
        <v>201810</v>
      </c>
      <c r="N15" s="53">
        <v>6</v>
      </c>
      <c r="O15" s="53">
        <v>2</v>
      </c>
      <c r="P15" s="54">
        <v>0.33333333333333331</v>
      </c>
      <c r="Q15" s="53">
        <v>0</v>
      </c>
      <c r="R15" s="54">
        <v>0</v>
      </c>
      <c r="S15" s="55">
        <v>4</v>
      </c>
      <c r="T15" s="54">
        <v>0.66666666666666663</v>
      </c>
    </row>
    <row r="16" spans="1:20" ht="13.5" customHeight="1">
      <c r="A16" s="59">
        <v>201820</v>
      </c>
      <c r="B16" s="53">
        <v>9</v>
      </c>
      <c r="C16" s="53">
        <v>1</v>
      </c>
      <c r="D16" s="54">
        <v>0.1111111111111111</v>
      </c>
      <c r="E16" s="53">
        <v>0</v>
      </c>
      <c r="F16" s="54">
        <v>0</v>
      </c>
      <c r="G16" s="55">
        <v>8</v>
      </c>
      <c r="H16" s="54">
        <v>0.88888888888888884</v>
      </c>
      <c r="I16" s="23"/>
      <c r="J16" s="23"/>
      <c r="K16" s="23"/>
      <c r="M16" s="59">
        <v>201820</v>
      </c>
      <c r="N16" s="53">
        <v>3</v>
      </c>
      <c r="O16" s="53">
        <v>1</v>
      </c>
      <c r="P16" s="54">
        <v>0.33333333333333331</v>
      </c>
      <c r="Q16" s="53">
        <v>0</v>
      </c>
      <c r="R16" s="54">
        <v>0</v>
      </c>
      <c r="S16" s="55">
        <v>2</v>
      </c>
      <c r="T16" s="54">
        <v>0.66666666666666663</v>
      </c>
    </row>
    <row r="17" spans="1:23" ht="13.5" customHeight="1">
      <c r="A17" s="59">
        <v>201910</v>
      </c>
      <c r="B17" s="53">
        <v>10</v>
      </c>
      <c r="C17" s="53">
        <v>2</v>
      </c>
      <c r="D17" s="54">
        <v>0.2</v>
      </c>
      <c r="E17" s="53">
        <v>0</v>
      </c>
      <c r="F17" s="54">
        <v>0</v>
      </c>
      <c r="G17" s="55">
        <v>8</v>
      </c>
      <c r="H17" s="54">
        <v>0.8</v>
      </c>
      <c r="I17" s="23"/>
      <c r="J17" s="23"/>
      <c r="K17" s="23"/>
      <c r="M17" s="59">
        <v>201910</v>
      </c>
      <c r="N17" s="53">
        <v>3</v>
      </c>
      <c r="O17" s="53">
        <v>1</v>
      </c>
      <c r="P17" s="54">
        <v>0.33333333333333331</v>
      </c>
      <c r="Q17" s="53">
        <v>0</v>
      </c>
      <c r="R17" s="54">
        <v>0</v>
      </c>
      <c r="S17" s="55">
        <v>2</v>
      </c>
      <c r="T17" s="54">
        <v>0.66666666666666663</v>
      </c>
    </row>
    <row r="18" spans="1:23" ht="13.5" customHeight="1">
      <c r="A18" s="59">
        <v>201920</v>
      </c>
      <c r="B18" s="53" t="s">
        <v>124</v>
      </c>
      <c r="C18" s="53" t="s">
        <v>124</v>
      </c>
      <c r="D18" s="53" t="s">
        <v>124</v>
      </c>
      <c r="E18" s="53" t="s">
        <v>124</v>
      </c>
      <c r="F18" s="53" t="s">
        <v>124</v>
      </c>
      <c r="G18" s="53" t="s">
        <v>124</v>
      </c>
      <c r="H18" s="53" t="s">
        <v>124</v>
      </c>
      <c r="I18" s="22"/>
      <c r="J18" s="22"/>
      <c r="K18" s="22"/>
      <c r="M18" s="59">
        <v>201920</v>
      </c>
      <c r="N18" s="53" t="s">
        <v>124</v>
      </c>
      <c r="O18" s="53" t="s">
        <v>124</v>
      </c>
      <c r="P18" s="53" t="s">
        <v>124</v>
      </c>
      <c r="Q18" s="53" t="s">
        <v>124</v>
      </c>
      <c r="R18" s="53" t="s">
        <v>124</v>
      </c>
      <c r="S18" s="53" t="s">
        <v>124</v>
      </c>
      <c r="T18" s="53" t="s">
        <v>124</v>
      </c>
    </row>
    <row r="19" spans="1:23" ht="13.5" customHeight="1">
      <c r="A19" s="59">
        <v>202010</v>
      </c>
      <c r="B19" s="53">
        <v>2</v>
      </c>
      <c r="C19" s="53">
        <v>1</v>
      </c>
      <c r="D19" s="54">
        <v>0.5</v>
      </c>
      <c r="E19" s="53">
        <v>0</v>
      </c>
      <c r="F19" s="54">
        <v>0</v>
      </c>
      <c r="G19" s="53">
        <v>1</v>
      </c>
      <c r="H19" s="54">
        <v>0.75</v>
      </c>
      <c r="I19" s="23"/>
      <c r="J19" s="23"/>
      <c r="K19" s="23"/>
      <c r="M19" s="59">
        <v>202010</v>
      </c>
      <c r="N19" s="53">
        <v>1</v>
      </c>
      <c r="O19" s="53">
        <v>1</v>
      </c>
      <c r="P19" s="54">
        <v>1</v>
      </c>
      <c r="Q19" s="53">
        <v>0</v>
      </c>
      <c r="R19" s="54">
        <v>0</v>
      </c>
      <c r="S19" s="53">
        <v>0</v>
      </c>
      <c r="T19" s="54">
        <v>0</v>
      </c>
    </row>
    <row r="20" spans="1:23" ht="13.5" customHeight="1">
      <c r="A20" s="59">
        <v>202020</v>
      </c>
      <c r="B20" s="53">
        <v>30</v>
      </c>
      <c r="C20" s="53">
        <v>4</v>
      </c>
      <c r="D20" s="54">
        <v>0.13333333333333333</v>
      </c>
      <c r="E20" s="53">
        <v>0</v>
      </c>
      <c r="F20" s="54">
        <v>0</v>
      </c>
      <c r="G20" s="53">
        <v>26</v>
      </c>
      <c r="H20" s="54">
        <v>0.8666666666666667</v>
      </c>
      <c r="I20" s="23"/>
      <c r="J20" s="23"/>
      <c r="K20" s="23"/>
      <c r="M20" s="59">
        <v>202020</v>
      </c>
      <c r="N20" s="53">
        <v>13</v>
      </c>
      <c r="O20" s="53">
        <v>1</v>
      </c>
      <c r="P20" s="54">
        <v>7.6923076923076927E-2</v>
      </c>
      <c r="Q20" s="53">
        <v>0</v>
      </c>
      <c r="R20" s="54">
        <v>0</v>
      </c>
      <c r="S20" s="53">
        <v>12</v>
      </c>
      <c r="T20" s="54">
        <v>0.92307692307692313</v>
      </c>
    </row>
    <row r="21" spans="1:23" ht="13.5" customHeight="1">
      <c r="A21" s="59">
        <v>202110</v>
      </c>
      <c r="B21" s="53">
        <v>7</v>
      </c>
      <c r="C21" s="53">
        <v>2</v>
      </c>
      <c r="D21" s="54">
        <v>0.2857142857142857</v>
      </c>
      <c r="E21" s="53">
        <v>0</v>
      </c>
      <c r="F21" s="54">
        <v>0</v>
      </c>
      <c r="G21" s="53">
        <v>5</v>
      </c>
      <c r="H21" s="54">
        <v>0.7142857142857143</v>
      </c>
      <c r="I21" s="23"/>
      <c r="J21" s="23"/>
      <c r="K21" s="23"/>
      <c r="M21" s="59">
        <v>202110</v>
      </c>
      <c r="N21" s="53">
        <v>3</v>
      </c>
      <c r="O21" s="53">
        <v>1</v>
      </c>
      <c r="P21" s="54">
        <v>0.33333333333333331</v>
      </c>
      <c r="Q21" s="53">
        <v>0</v>
      </c>
      <c r="R21" s="54">
        <v>0</v>
      </c>
      <c r="S21" s="53">
        <v>2</v>
      </c>
      <c r="T21" s="54">
        <v>0.66666666666666663</v>
      </c>
    </row>
    <row r="22" spans="1:23" ht="13.5" customHeight="1">
      <c r="A22" s="59">
        <v>202120</v>
      </c>
      <c r="B22" s="53">
        <v>5</v>
      </c>
      <c r="C22" s="53">
        <v>3</v>
      </c>
      <c r="D22" s="54">
        <v>0.6</v>
      </c>
      <c r="E22" s="53">
        <v>0</v>
      </c>
      <c r="F22" s="54">
        <v>0</v>
      </c>
      <c r="G22" s="53">
        <v>2</v>
      </c>
      <c r="H22" s="54">
        <v>0.4</v>
      </c>
      <c r="I22" s="23"/>
      <c r="J22" s="23"/>
      <c r="K22" s="23"/>
      <c r="M22" s="59">
        <v>202120</v>
      </c>
      <c r="N22" s="53">
        <v>2</v>
      </c>
      <c r="O22" s="53">
        <v>1</v>
      </c>
      <c r="P22" s="54">
        <v>0.5</v>
      </c>
      <c r="Q22" s="53">
        <v>0</v>
      </c>
      <c r="R22" s="54">
        <v>0</v>
      </c>
      <c r="S22" s="53">
        <v>1</v>
      </c>
      <c r="T22" s="54">
        <v>0.5</v>
      </c>
    </row>
    <row r="23" spans="1:23" s="18" customFormat="1" ht="13.5" customHeight="1">
      <c r="A23" s="98">
        <v>202210</v>
      </c>
      <c r="B23" s="103" cm="1">
        <f t="array" ref="B23">IF(RIGHT($A23,2)="10",_xlfn.XLOOKUP("ANT"&amp;$A23,[1]PROGRAMA!$A:$A&amp;[1]PROGRAMA!$B:$B,[1]PROGRAMA!C:C,0),_xlfn.XLOOKUP("ANT"&amp;$A23,[2]PROGRAMA!$A:$A&amp;[2]PROGRAMA!$B:$B,[2]PROGRAMA!C:C,0))</f>
        <v>12</v>
      </c>
      <c r="C23" s="103" cm="1">
        <f t="array" ref="C23">IF(RIGHT($A23,2)="10",_xlfn.XLOOKUP("ANT"&amp;$A23,[1]PROGRAMA!$A:$A&amp;[1]PROGRAMA!$B:$B,[1]PROGRAMA!D:D,0),_xlfn.XLOOKUP("ANT"&amp;$A23,[2]PROGRAMA!$A:$A&amp;[2]PROGRAMA!$B:$B,[2]PROGRAMA!D:D,0))</f>
        <v>2</v>
      </c>
      <c r="D23" s="68">
        <f>IFERROR(C23/$B23,0)</f>
        <v>0.16666666666666666</v>
      </c>
      <c r="E23" s="103" cm="1">
        <f t="array" ref="E23">IF(RIGHT($A23,2)="10",_xlfn.XLOOKUP("ANT"&amp;$A23,[1]PROGRAMA!$A:$A&amp;[1]PROGRAMA!$B:$B,[1]PROGRAMA!E:E,0),_xlfn.XLOOKUP("ANT"&amp;$A23,[2]PROGRAMA!$A:$A&amp;[2]PROGRAMA!$B:$B,[2]PROGRAMA!E:E,0))</f>
        <v>0</v>
      </c>
      <c r="F23" s="68">
        <f>IFERROR(E23/$B23,0)</f>
        <v>0</v>
      </c>
      <c r="G23" s="104">
        <f>B23-C23</f>
        <v>10</v>
      </c>
      <c r="H23" s="68">
        <f>IFERROR(G23/$B23,0)</f>
        <v>0.83333333333333337</v>
      </c>
      <c r="I23" s="128"/>
      <c r="J23" s="128"/>
      <c r="K23" s="128"/>
      <c r="L23" s="7"/>
      <c r="M23" s="98">
        <v>202210</v>
      </c>
      <c r="N23" s="103" cm="1">
        <f t="array" ref="N23">IF(RIGHT($A23,2)="10",_xlfn.XLOOKUP("ANT"&amp;$A23,'[1]PROGRAMA 123'!$A:$A&amp;'[1]PROGRAMA 123'!$B:$B,'[1]PROGRAMA 123'!C:C,0),_xlfn.XLOOKUP("ANT"&amp;$A23,'[2]PROGRAMA 123'!$A:$A&amp;'[2]PROGRAMA 123'!$B:$B,'[2]PROGRAMA 123'!C:C,0))</f>
        <v>10</v>
      </c>
      <c r="O23" s="103" cm="1">
        <f t="array" ref="O23">IF(RIGHT($A23,2)="10",_xlfn.XLOOKUP("ANT"&amp;$A23,'[1]PROGRAMA 123'!$A:$A&amp;'[1]PROGRAMA 123'!$B:$B,'[1]PROGRAMA 123'!D:D,0),_xlfn.XLOOKUP("ANT"&amp;$A23,'[2]PROGRAMA 123'!$A:$A&amp;'[2]PROGRAMA 123'!$B:$B,'[2]PROGRAMA 123'!D:D,0))</f>
        <v>1</v>
      </c>
      <c r="P23" s="68">
        <f>IFERROR(O23/$N23,0)</f>
        <v>0.1</v>
      </c>
      <c r="Q23" s="103" cm="1">
        <f t="array" ref="Q23">IF(RIGHT($A23,2)="10",_xlfn.XLOOKUP("ANT"&amp;$A23,'[1]PROGRAMA 123'!$A:$A&amp;'[1]PROGRAMA 123'!$B:$B,'[1]PROGRAMA 123'!E:E,0),_xlfn.XLOOKUP("ANT"&amp;$A23,'[2]PROGRAMA 123'!$A:$A&amp;'[2]PROGRAMA 123'!$B:$B,'[2]PROGRAMA 123'!E:E,0))</f>
        <v>0</v>
      </c>
      <c r="R23" s="68">
        <f>IFERROR(Q23/$N23,0)</f>
        <v>0</v>
      </c>
      <c r="S23" s="104">
        <f>N23-O23</f>
        <v>9</v>
      </c>
      <c r="T23" s="68">
        <f>IFERROR(S23/$N23,0)</f>
        <v>0.9</v>
      </c>
    </row>
    <row r="24" spans="1:23" s="18" customFormat="1" ht="13.5" customHeight="1">
      <c r="A24" s="98">
        <v>202220</v>
      </c>
      <c r="B24" s="103" cm="1">
        <f t="array" ref="B24">IF(RIGHT($A24,2)="10",_xlfn.XLOOKUP("ANT"&amp;$A24,[1]PROGRAMA!$A:$A&amp;[1]PROGRAMA!$B:$B,[1]PROGRAMA!C:C,0),_xlfn.XLOOKUP("ANT"&amp;$A24,[2]PROGRAMA!$A:$A&amp;[2]PROGRAMA!$B:$B,[2]PROGRAMA!C:C,0))</f>
        <v>5</v>
      </c>
      <c r="C24" s="103" cm="1">
        <f t="array" ref="C24">IF(RIGHT($A24,2)="10",_xlfn.XLOOKUP("ANT"&amp;$A24,[1]PROGRAMA!$A:$A&amp;[1]PROGRAMA!$B:$B,[1]PROGRAMA!D:D,0),_xlfn.XLOOKUP("ANT"&amp;$A24,[2]PROGRAMA!$A:$A&amp;[2]PROGRAMA!$B:$B,[2]PROGRAMA!D:D,0))</f>
        <v>1</v>
      </c>
      <c r="D24" s="68">
        <f>IFERROR(C24/$B24,0)</f>
        <v>0.2</v>
      </c>
      <c r="E24" s="103" cm="1">
        <f t="array" ref="E24">IF(RIGHT($A24,2)="10",_xlfn.XLOOKUP("ANT"&amp;$A24,[1]PROGRAMA!$A:$A&amp;[1]PROGRAMA!$B:$B,[1]PROGRAMA!E:E,0),_xlfn.XLOOKUP("ANT"&amp;$A24,[2]PROGRAMA!$A:$A&amp;[2]PROGRAMA!$B:$B,[2]PROGRAMA!E:E,0))</f>
        <v>0</v>
      </c>
      <c r="F24" s="68">
        <f>IFERROR(E24/$B24,0)</f>
        <v>0</v>
      </c>
      <c r="G24" s="104">
        <f>B24-C24</f>
        <v>4</v>
      </c>
      <c r="H24" s="68">
        <f>IFERROR(G24/$B24,0)</f>
        <v>0.8</v>
      </c>
      <c r="I24" s="128"/>
      <c r="J24" s="128"/>
      <c r="K24" s="128"/>
      <c r="L24" s="7"/>
      <c r="M24" s="98">
        <v>202220</v>
      </c>
      <c r="N24" s="103" cm="1">
        <f t="array" ref="N24">IF(RIGHT($A24,2)="10",_xlfn.XLOOKUP("ANT"&amp;$A24,'[1]PROGRAMA 123'!$A:$A&amp;'[1]PROGRAMA 123'!$B:$B,'[1]PROGRAMA 123'!C:C,0),_xlfn.XLOOKUP("ANT"&amp;$A24,'[2]PROGRAMA 123'!$A:$A&amp;'[2]PROGRAMA 123'!$B:$B,'[2]PROGRAMA 123'!C:C,0))</f>
        <v>2</v>
      </c>
      <c r="O24" s="103" cm="1">
        <f t="array" ref="O24">IF(RIGHT($A24,2)="10",_xlfn.XLOOKUP("ANT"&amp;$A24,'[1]PROGRAMA 123'!$A:$A&amp;'[1]PROGRAMA 123'!$B:$B,'[1]PROGRAMA 123'!D:D,0),_xlfn.XLOOKUP("ANT"&amp;$A24,'[2]PROGRAMA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IF(RIGHT($A24,2)="10",_xlfn.XLOOKUP("ANT"&amp;$A24,'[1]PROGRAMA 123'!$A:$A&amp;'[1]PROGRAMA 123'!$B:$B,'[1]PROGRAMA 123'!E:E,0),_xlfn.XLOOKUP("ANT"&amp;$A24,'[2]PROGRAMA 123'!$A:$A&amp;'[2]PROGRAMA 123'!$B:$B,'[2]PROGRAMA 123'!E:E,0))</f>
        <v>0</v>
      </c>
      <c r="R24" s="68">
        <f>IFERROR(Q24/$N24,0)</f>
        <v>0</v>
      </c>
      <c r="S24" s="104">
        <f>N24-O24</f>
        <v>2</v>
      </c>
      <c r="T24" s="68">
        <f>IFERROR(S24/$N24,0)</f>
        <v>1</v>
      </c>
    </row>
    <row r="25" spans="1:23" s="18" customFormat="1" ht="13.5" customHeight="1">
      <c r="A25" s="98" t="s">
        <v>239</v>
      </c>
      <c r="B25" s="103">
        <v>15</v>
      </c>
      <c r="C25" s="103">
        <v>1</v>
      </c>
      <c r="D25" s="68">
        <f>IFERROR(C25/$B25,0)</f>
        <v>6.6666666666666666E-2</v>
      </c>
      <c r="E25" s="103">
        <v>0</v>
      </c>
      <c r="F25" s="68">
        <f>IFERROR(E25/$B25,0)</f>
        <v>0</v>
      </c>
      <c r="G25" s="104">
        <v>14</v>
      </c>
      <c r="H25" s="68">
        <f>IFERROR(G25/$B25,0)</f>
        <v>0.93333333333333335</v>
      </c>
      <c r="I25" s="128"/>
      <c r="J25" s="128"/>
      <c r="K25" s="128"/>
      <c r="L25" s="7"/>
      <c r="M25" s="98" t="s">
        <v>239</v>
      </c>
      <c r="N25" s="103">
        <v>10</v>
      </c>
      <c r="O25" s="103">
        <v>0</v>
      </c>
      <c r="P25" s="68">
        <f>IFERROR(O25/$N25,0)</f>
        <v>0</v>
      </c>
      <c r="Q25" s="103">
        <v>0</v>
      </c>
      <c r="R25" s="68">
        <f>IFERROR(Q25/$N25,0)</f>
        <v>0</v>
      </c>
      <c r="S25" s="104">
        <v>10</v>
      </c>
      <c r="T25" s="68">
        <f>IFERROR(S25/$N25,0)</f>
        <v>1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0.2</v>
      </c>
      <c r="B29" s="37">
        <f>+((B6*D6)+(B7*D7))/(B6+B7)</f>
        <v>0.25</v>
      </c>
      <c r="C29" s="32">
        <f>((B8*D8)+(B9*D9))/(B8+B9)</f>
        <v>0.18190909090909091</v>
      </c>
      <c r="D29" s="32">
        <f>+((B10*D10)+(B11*D11))/(B10+B11)</f>
        <v>0.33333333333333331</v>
      </c>
      <c r="E29" s="32">
        <f>((B12*D12)+(B13*D13))/(B12+B13)</f>
        <v>0.22727272727272727</v>
      </c>
      <c r="F29" s="32">
        <f>((B14*D14)+(B15*D15))/(B14+B15)</f>
        <v>0.3</v>
      </c>
      <c r="G29" s="32">
        <f>((B16*D16)+(B17*D17))/(B16+B17)</f>
        <v>0.15789473684210525</v>
      </c>
      <c r="H29" s="32">
        <f>D19</f>
        <v>0.5</v>
      </c>
      <c r="I29" s="32">
        <f>((B20*D20)+(B21*D21))/(B20+B21)</f>
        <v>0.16216216216216217</v>
      </c>
      <c r="J29" s="32">
        <f>(C22+C23)/(B22+B23)</f>
        <v>0.29411764705882354</v>
      </c>
      <c r="K29" s="32">
        <f>D24</f>
        <v>0.2</v>
      </c>
      <c r="L29" s="6"/>
      <c r="M29" s="37">
        <f>P5</f>
        <v>0</v>
      </c>
      <c r="N29" s="37">
        <f>+((N6*P6)+(N7*P7))/(N6+N7)</f>
        <v>0.18181818181818182</v>
      </c>
      <c r="O29" s="32">
        <f>((N8*P8)+(N9*P9))/(N8+N9)</f>
        <v>0.2</v>
      </c>
      <c r="P29" s="32">
        <f>+((N10*P10)+(N11*P11))/(N10+N11)</f>
        <v>0.125</v>
      </c>
      <c r="Q29" s="32">
        <f>((N12*P12)+(N13*P13))/(N12+N13)</f>
        <v>0.33333333333333331</v>
      </c>
      <c r="R29" s="32">
        <f>((N14*P14)+(N15*P15))/(N14+N15)</f>
        <v>0.27272727272727271</v>
      </c>
      <c r="S29" s="32">
        <f>((N16*P16)+(N17*P17))/(N16+N17)</f>
        <v>0.33333333333333331</v>
      </c>
      <c r="T29" s="32">
        <f>P19</f>
        <v>1</v>
      </c>
      <c r="U29" s="32">
        <f>((N20*P20)+(N21*P21))/(N20+N21)</f>
        <v>0.125</v>
      </c>
      <c r="V29" s="32">
        <f>(O22+O23)/(N22+N23)</f>
        <v>0.16666666666666666</v>
      </c>
      <c r="W29" s="32">
        <f>P24</f>
        <v>0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L31"/>
    <mergeCell ref="M30:V30"/>
    <mergeCell ref="M31:W31"/>
    <mergeCell ref="A1:H1"/>
    <mergeCell ref="M1:T1"/>
    <mergeCell ref="A3:H3"/>
    <mergeCell ref="A2:H2"/>
    <mergeCell ref="M3:T3"/>
    <mergeCell ref="M2:T2"/>
    <mergeCell ref="A30:J30"/>
    <mergeCell ref="M27:W27"/>
    <mergeCell ref="A27:K27"/>
  </mergeCells>
  <pageMargins left="0.7" right="0.7" top="0.75" bottom="0.75" header="0.3" footer="0.3"/>
  <pageSetup orientation="portrait" r:id="rId1"/>
  <ignoredErrors>
    <ignoredError sqref="L23:O24 Q23:Q24 S23:S24 E23:J24" formula="1"/>
    <ignoredError sqref="A25 M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W32"/>
  <sheetViews>
    <sheetView showGridLines="0" workbookViewId="0">
      <selection sqref="A1:H1"/>
    </sheetView>
  </sheetViews>
  <sheetFormatPr baseColWidth="10" defaultColWidth="11.44140625" defaultRowHeight="14.4"/>
  <cols>
    <col min="1" max="1" width="11.88671875" style="5" customWidth="1"/>
    <col min="2" max="10" width="10.44140625" style="7" customWidth="1"/>
    <col min="11" max="11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08" t="s">
        <v>137</v>
      </c>
      <c r="B3" s="208"/>
      <c r="C3" s="208"/>
      <c r="D3" s="208"/>
      <c r="E3" s="208"/>
      <c r="F3" s="208"/>
      <c r="G3" s="208"/>
      <c r="H3" s="208"/>
      <c r="I3" s="188"/>
      <c r="J3" s="188"/>
      <c r="M3" s="208" t="s">
        <v>138</v>
      </c>
      <c r="N3" s="208"/>
      <c r="O3" s="208"/>
      <c r="P3" s="208"/>
      <c r="Q3" s="208"/>
      <c r="R3" s="208"/>
      <c r="S3" s="208"/>
      <c r="T3" s="208"/>
    </row>
    <row r="5" spans="1:20" ht="30.6">
      <c r="A5" s="100" t="s">
        <v>0</v>
      </c>
      <c r="B5" s="100" t="s">
        <v>1</v>
      </c>
      <c r="C5" s="100" t="s">
        <v>131</v>
      </c>
      <c r="D5" s="100" t="s">
        <v>132</v>
      </c>
      <c r="E5" s="100" t="s">
        <v>133</v>
      </c>
      <c r="F5" s="100" t="s">
        <v>134</v>
      </c>
      <c r="G5" s="100" t="s">
        <v>135</v>
      </c>
      <c r="H5" s="100" t="s">
        <v>136</v>
      </c>
      <c r="I5" s="147"/>
      <c r="J5" s="147"/>
      <c r="M5" s="100" t="s">
        <v>0</v>
      </c>
      <c r="N5" s="100" t="s">
        <v>1</v>
      </c>
      <c r="O5" s="100" t="s">
        <v>131</v>
      </c>
      <c r="P5" s="100" t="s">
        <v>132</v>
      </c>
      <c r="Q5" s="100" t="s">
        <v>133</v>
      </c>
      <c r="R5" s="100" t="s">
        <v>134</v>
      </c>
      <c r="S5" s="100" t="s">
        <v>135</v>
      </c>
      <c r="T5" s="100" t="s">
        <v>136</v>
      </c>
    </row>
    <row r="6" spans="1:20" ht="13.5" customHeight="1">
      <c r="A6" s="98">
        <v>201310</v>
      </c>
      <c r="B6" s="89" t="s">
        <v>124</v>
      </c>
      <c r="C6" s="89" t="s">
        <v>124</v>
      </c>
      <c r="D6" s="89" t="s">
        <v>124</v>
      </c>
      <c r="E6" s="89" t="s">
        <v>124</v>
      </c>
      <c r="F6" s="89" t="s">
        <v>124</v>
      </c>
      <c r="G6" s="89" t="s">
        <v>124</v>
      </c>
      <c r="H6" s="89" t="s">
        <v>124</v>
      </c>
      <c r="I6" s="156"/>
      <c r="J6" s="156"/>
      <c r="M6" s="104">
        <v>201310</v>
      </c>
      <c r="N6" s="89" t="s">
        <v>124</v>
      </c>
      <c r="O6" s="89" t="s">
        <v>124</v>
      </c>
      <c r="P6" s="89" t="s">
        <v>124</v>
      </c>
      <c r="Q6" s="89" t="s">
        <v>124</v>
      </c>
      <c r="R6" s="89" t="s">
        <v>124</v>
      </c>
      <c r="S6" s="89" t="s">
        <v>124</v>
      </c>
      <c r="T6" s="89" t="s">
        <v>124</v>
      </c>
    </row>
    <row r="7" spans="1:20" ht="13.5" customHeight="1">
      <c r="A7" s="98">
        <v>201320</v>
      </c>
      <c r="B7" s="89">
        <v>9</v>
      </c>
      <c r="C7" s="89">
        <v>2</v>
      </c>
      <c r="D7" s="102">
        <v>0.22222222222222221</v>
      </c>
      <c r="E7" s="89">
        <v>0</v>
      </c>
      <c r="F7" s="102">
        <v>0</v>
      </c>
      <c r="G7" s="98">
        <v>7</v>
      </c>
      <c r="H7" s="102">
        <v>0.77777777777777779</v>
      </c>
      <c r="I7" s="148"/>
      <c r="J7" s="148"/>
      <c r="M7" s="104">
        <v>201320</v>
      </c>
      <c r="N7" s="103">
        <v>3</v>
      </c>
      <c r="O7" s="103">
        <v>0</v>
      </c>
      <c r="P7" s="38">
        <v>0</v>
      </c>
      <c r="Q7" s="103">
        <v>0</v>
      </c>
      <c r="R7" s="38">
        <v>0</v>
      </c>
      <c r="S7" s="104">
        <v>3</v>
      </c>
      <c r="T7" s="38">
        <v>1</v>
      </c>
    </row>
    <row r="8" spans="1:20" ht="13.5" customHeight="1">
      <c r="A8" s="98">
        <v>201410</v>
      </c>
      <c r="B8" s="89">
        <v>2</v>
      </c>
      <c r="C8" s="89">
        <v>2</v>
      </c>
      <c r="D8" s="99">
        <v>1</v>
      </c>
      <c r="E8" s="89">
        <v>0</v>
      </c>
      <c r="F8" s="99">
        <v>0</v>
      </c>
      <c r="G8" s="89">
        <v>0</v>
      </c>
      <c r="H8" s="99">
        <v>0</v>
      </c>
      <c r="I8" s="133"/>
      <c r="J8" s="133"/>
      <c r="M8" s="104">
        <v>201410</v>
      </c>
      <c r="N8" s="103">
        <v>2</v>
      </c>
      <c r="O8" s="103">
        <v>2</v>
      </c>
      <c r="P8" s="38">
        <v>1</v>
      </c>
      <c r="Q8" s="103">
        <v>0</v>
      </c>
      <c r="R8" s="38">
        <v>0</v>
      </c>
      <c r="S8" s="104">
        <v>0</v>
      </c>
      <c r="T8" s="38">
        <v>0</v>
      </c>
    </row>
    <row r="9" spans="1:20" ht="13.5" customHeight="1">
      <c r="A9" s="98">
        <v>201420</v>
      </c>
      <c r="B9" s="103">
        <v>7</v>
      </c>
      <c r="C9" s="103">
        <v>1</v>
      </c>
      <c r="D9" s="38">
        <v>0.14299999999999999</v>
      </c>
      <c r="E9" s="103">
        <v>0</v>
      </c>
      <c r="F9" s="38">
        <v>0</v>
      </c>
      <c r="G9" s="104">
        <v>6</v>
      </c>
      <c r="H9" s="38">
        <v>0.85699999999999998</v>
      </c>
      <c r="I9" s="128"/>
      <c r="J9" s="128"/>
      <c r="M9" s="104">
        <v>201420</v>
      </c>
      <c r="N9" s="103">
        <v>2</v>
      </c>
      <c r="O9" s="103">
        <v>1</v>
      </c>
      <c r="P9" s="38">
        <v>0.5</v>
      </c>
      <c r="Q9" s="103">
        <v>0</v>
      </c>
      <c r="R9" s="38">
        <v>0</v>
      </c>
      <c r="S9" s="104">
        <v>1</v>
      </c>
      <c r="T9" s="38">
        <v>0.5</v>
      </c>
    </row>
    <row r="10" spans="1:20" ht="13.5" customHeight="1">
      <c r="A10" s="98">
        <v>201510</v>
      </c>
      <c r="B10" s="103">
        <v>11</v>
      </c>
      <c r="C10" s="103">
        <v>4</v>
      </c>
      <c r="D10" s="38">
        <v>0.36399999999999999</v>
      </c>
      <c r="E10" s="103">
        <v>0</v>
      </c>
      <c r="F10" s="38">
        <v>0</v>
      </c>
      <c r="G10" s="104">
        <v>7</v>
      </c>
      <c r="H10" s="38">
        <v>0.63600000000000001</v>
      </c>
      <c r="I10" s="128"/>
      <c r="J10" s="128"/>
      <c r="M10" s="104">
        <v>201510</v>
      </c>
      <c r="N10" s="103">
        <v>9</v>
      </c>
      <c r="O10" s="103">
        <v>3</v>
      </c>
      <c r="P10" s="38">
        <v>0.33300000000000002</v>
      </c>
      <c r="Q10" s="103">
        <v>0</v>
      </c>
      <c r="R10" s="38">
        <v>0</v>
      </c>
      <c r="S10" s="104">
        <v>6</v>
      </c>
      <c r="T10" s="38">
        <v>0.66700000000000004</v>
      </c>
    </row>
    <row r="11" spans="1:20" ht="13.5" customHeight="1">
      <c r="A11" s="98">
        <v>201520</v>
      </c>
      <c r="B11" s="103">
        <v>4</v>
      </c>
      <c r="C11" s="103">
        <v>1</v>
      </c>
      <c r="D11" s="38">
        <v>0.25</v>
      </c>
      <c r="E11" s="103">
        <v>0</v>
      </c>
      <c r="F11" s="38">
        <v>0</v>
      </c>
      <c r="G11" s="104">
        <v>3</v>
      </c>
      <c r="H11" s="38">
        <v>0.75</v>
      </c>
      <c r="I11" s="128"/>
      <c r="J11" s="128"/>
      <c r="M11" s="104">
        <v>201520</v>
      </c>
      <c r="N11" s="103">
        <v>2</v>
      </c>
      <c r="O11" s="103">
        <v>0</v>
      </c>
      <c r="P11" s="38">
        <v>0</v>
      </c>
      <c r="Q11" s="103">
        <v>0</v>
      </c>
      <c r="R11" s="38">
        <v>0</v>
      </c>
      <c r="S11" s="104">
        <v>2</v>
      </c>
      <c r="T11" s="38">
        <v>1</v>
      </c>
    </row>
    <row r="12" spans="1:20" ht="13.5" customHeight="1">
      <c r="A12" s="98">
        <v>201610</v>
      </c>
      <c r="B12" s="103">
        <v>11</v>
      </c>
      <c r="C12" s="103">
        <v>4</v>
      </c>
      <c r="D12" s="38">
        <v>0.36363636363636365</v>
      </c>
      <c r="E12" s="103">
        <v>0</v>
      </c>
      <c r="F12" s="38">
        <v>0</v>
      </c>
      <c r="G12" s="104">
        <v>7</v>
      </c>
      <c r="H12" s="38">
        <v>0.63636363636363635</v>
      </c>
      <c r="I12" s="128"/>
      <c r="J12" s="128"/>
      <c r="M12" s="104">
        <v>201610</v>
      </c>
      <c r="N12" s="103">
        <v>9</v>
      </c>
      <c r="O12" s="103">
        <v>4</v>
      </c>
      <c r="P12" s="38">
        <v>0.44444444444444442</v>
      </c>
      <c r="Q12" s="103">
        <v>0</v>
      </c>
      <c r="R12" s="38">
        <v>0</v>
      </c>
      <c r="S12" s="104">
        <v>5</v>
      </c>
      <c r="T12" s="38">
        <v>0.55555555555555558</v>
      </c>
    </row>
    <row r="13" spans="1:20" ht="13.5" customHeight="1">
      <c r="A13" s="98">
        <v>201620</v>
      </c>
      <c r="B13" s="89">
        <v>10</v>
      </c>
      <c r="C13" s="89">
        <v>2</v>
      </c>
      <c r="D13" s="99">
        <v>0.2</v>
      </c>
      <c r="E13" s="89">
        <v>0</v>
      </c>
      <c r="F13" s="99">
        <v>0</v>
      </c>
      <c r="G13" s="89">
        <v>8</v>
      </c>
      <c r="H13" s="99">
        <v>0.8</v>
      </c>
      <c r="I13" s="133"/>
      <c r="J13" s="133"/>
      <c r="M13" s="104">
        <v>201620</v>
      </c>
      <c r="N13" s="89">
        <v>7</v>
      </c>
      <c r="O13" s="89">
        <v>1</v>
      </c>
      <c r="P13" s="99">
        <v>0.14285714285714285</v>
      </c>
      <c r="Q13" s="89">
        <v>0</v>
      </c>
      <c r="R13" s="99">
        <v>0</v>
      </c>
      <c r="S13" s="89">
        <v>6</v>
      </c>
      <c r="T13" s="99">
        <v>0.8571428571428571</v>
      </c>
    </row>
    <row r="14" spans="1:20" ht="13.5" customHeight="1">
      <c r="A14" s="98">
        <v>201710</v>
      </c>
      <c r="B14" s="103">
        <v>7</v>
      </c>
      <c r="C14" s="103">
        <v>1</v>
      </c>
      <c r="D14" s="38">
        <v>0.14285714285714285</v>
      </c>
      <c r="E14" s="103">
        <v>0</v>
      </c>
      <c r="F14" s="38">
        <v>0</v>
      </c>
      <c r="G14" s="104">
        <v>6</v>
      </c>
      <c r="H14" s="38">
        <v>0.8571428571428571</v>
      </c>
      <c r="I14" s="128"/>
      <c r="J14" s="128"/>
      <c r="M14" s="104">
        <v>201710</v>
      </c>
      <c r="N14" s="103">
        <v>6</v>
      </c>
      <c r="O14" s="103">
        <v>1</v>
      </c>
      <c r="P14" s="38">
        <v>0.16666666666666666</v>
      </c>
      <c r="Q14" s="103">
        <v>0</v>
      </c>
      <c r="R14" s="38">
        <v>0</v>
      </c>
      <c r="S14" s="104">
        <v>5</v>
      </c>
      <c r="T14" s="38">
        <v>0.83333333333333337</v>
      </c>
    </row>
    <row r="15" spans="1:20" ht="13.5" customHeight="1">
      <c r="A15" s="98">
        <v>201720</v>
      </c>
      <c r="B15" s="103">
        <v>8</v>
      </c>
      <c r="C15" s="103">
        <v>0</v>
      </c>
      <c r="D15" s="38">
        <v>0</v>
      </c>
      <c r="E15" s="103">
        <v>0</v>
      </c>
      <c r="F15" s="38">
        <v>0</v>
      </c>
      <c r="G15" s="104">
        <v>8</v>
      </c>
      <c r="H15" s="38">
        <v>1</v>
      </c>
      <c r="I15" s="128"/>
      <c r="J15" s="128"/>
      <c r="M15" s="104">
        <v>201720</v>
      </c>
      <c r="N15" s="103">
        <v>5</v>
      </c>
      <c r="O15" s="103">
        <v>0</v>
      </c>
      <c r="P15" s="38">
        <v>0</v>
      </c>
      <c r="Q15" s="103">
        <v>0</v>
      </c>
      <c r="R15" s="38">
        <v>0</v>
      </c>
      <c r="S15" s="104">
        <v>5</v>
      </c>
      <c r="T15" s="38">
        <v>1</v>
      </c>
    </row>
    <row r="16" spans="1:20" ht="13.5" customHeight="1">
      <c r="A16" s="98">
        <v>201810</v>
      </c>
      <c r="B16" s="103">
        <v>5</v>
      </c>
      <c r="C16" s="103">
        <v>2</v>
      </c>
      <c r="D16" s="38">
        <v>0.4</v>
      </c>
      <c r="E16" s="103">
        <v>0</v>
      </c>
      <c r="F16" s="38">
        <v>0</v>
      </c>
      <c r="G16" s="104">
        <v>3</v>
      </c>
      <c r="H16" s="38">
        <v>0.6</v>
      </c>
      <c r="I16" s="128"/>
      <c r="J16" s="128"/>
      <c r="M16" s="104">
        <v>201810</v>
      </c>
      <c r="N16" s="103">
        <v>4</v>
      </c>
      <c r="O16" s="103">
        <v>2</v>
      </c>
      <c r="P16" s="38">
        <v>0.5</v>
      </c>
      <c r="Q16" s="103">
        <v>0</v>
      </c>
      <c r="R16" s="38">
        <v>0</v>
      </c>
      <c r="S16" s="104">
        <v>2</v>
      </c>
      <c r="T16" s="38">
        <v>0.5</v>
      </c>
    </row>
    <row r="17" spans="1:23" ht="13.5" customHeight="1">
      <c r="A17" s="98">
        <v>201820</v>
      </c>
      <c r="B17" s="103">
        <v>7</v>
      </c>
      <c r="C17" s="103">
        <v>2</v>
      </c>
      <c r="D17" s="38">
        <v>0.2857142857142857</v>
      </c>
      <c r="E17" s="103">
        <v>0</v>
      </c>
      <c r="F17" s="38">
        <v>0</v>
      </c>
      <c r="G17" s="104">
        <v>5</v>
      </c>
      <c r="H17" s="38">
        <v>0.7142857142857143</v>
      </c>
      <c r="I17" s="128"/>
      <c r="J17" s="128"/>
      <c r="M17" s="98">
        <v>201820</v>
      </c>
      <c r="N17" s="103">
        <v>3</v>
      </c>
      <c r="O17" s="103">
        <v>1</v>
      </c>
      <c r="P17" s="38">
        <v>0.33333333333333331</v>
      </c>
      <c r="Q17" s="103">
        <v>0</v>
      </c>
      <c r="R17" s="38">
        <v>0</v>
      </c>
      <c r="S17" s="104">
        <v>2</v>
      </c>
      <c r="T17" s="38">
        <v>0.66666666666666663</v>
      </c>
    </row>
    <row r="18" spans="1:23" ht="13.5" customHeight="1">
      <c r="A18" s="98">
        <v>201910</v>
      </c>
      <c r="B18" s="103">
        <v>5</v>
      </c>
      <c r="C18" s="103">
        <v>2</v>
      </c>
      <c r="D18" s="38">
        <v>0.4</v>
      </c>
      <c r="E18" s="103">
        <v>0</v>
      </c>
      <c r="F18" s="38">
        <v>0</v>
      </c>
      <c r="G18" s="104">
        <v>3</v>
      </c>
      <c r="H18" s="38">
        <v>0.6</v>
      </c>
      <c r="I18" s="128"/>
      <c r="J18" s="128"/>
      <c r="M18" s="98">
        <v>201910</v>
      </c>
      <c r="N18" s="103">
        <v>4</v>
      </c>
      <c r="O18" s="103">
        <v>1</v>
      </c>
      <c r="P18" s="38">
        <v>0.25</v>
      </c>
      <c r="Q18" s="103">
        <v>0</v>
      </c>
      <c r="R18" s="38">
        <v>0</v>
      </c>
      <c r="S18" s="104">
        <v>3</v>
      </c>
      <c r="T18" s="38">
        <v>0.75</v>
      </c>
    </row>
    <row r="19" spans="1:23" ht="13.5" customHeight="1">
      <c r="A19" s="98">
        <v>201920</v>
      </c>
      <c r="B19" s="103">
        <v>4</v>
      </c>
      <c r="C19" s="103">
        <v>0</v>
      </c>
      <c r="D19" s="38">
        <v>0</v>
      </c>
      <c r="E19" s="103">
        <v>0</v>
      </c>
      <c r="F19" s="38">
        <v>0</v>
      </c>
      <c r="G19" s="104">
        <v>4</v>
      </c>
      <c r="H19" s="38">
        <v>1</v>
      </c>
      <c r="I19" s="128"/>
      <c r="J19" s="128"/>
      <c r="M19" s="98">
        <v>201920</v>
      </c>
      <c r="N19" s="103">
        <v>3</v>
      </c>
      <c r="O19" s="103">
        <v>0</v>
      </c>
      <c r="P19" s="38">
        <v>0</v>
      </c>
      <c r="Q19" s="103">
        <v>0</v>
      </c>
      <c r="R19" s="38">
        <v>0</v>
      </c>
      <c r="S19" s="104">
        <v>3</v>
      </c>
      <c r="T19" s="38">
        <v>1</v>
      </c>
    </row>
    <row r="20" spans="1:23" ht="13.5" customHeight="1">
      <c r="A20" s="98">
        <v>202010</v>
      </c>
      <c r="B20" s="103">
        <v>4</v>
      </c>
      <c r="C20" s="103">
        <v>2</v>
      </c>
      <c r="D20" s="38">
        <v>0.5</v>
      </c>
      <c r="E20" s="103">
        <v>0</v>
      </c>
      <c r="F20" s="38">
        <v>0</v>
      </c>
      <c r="G20" s="104">
        <v>2</v>
      </c>
      <c r="H20" s="38">
        <v>0.5</v>
      </c>
      <c r="I20" s="128"/>
      <c r="J20" s="128"/>
      <c r="M20" s="98">
        <v>202010</v>
      </c>
      <c r="N20" s="103">
        <v>4</v>
      </c>
      <c r="O20" s="103">
        <v>2</v>
      </c>
      <c r="P20" s="38">
        <v>0.5</v>
      </c>
      <c r="Q20" s="103">
        <v>0</v>
      </c>
      <c r="R20" s="38">
        <v>0</v>
      </c>
      <c r="S20" s="104">
        <v>2</v>
      </c>
      <c r="T20" s="38">
        <v>0.5</v>
      </c>
    </row>
    <row r="21" spans="1:23" ht="13.5" customHeight="1">
      <c r="A21" s="98">
        <v>202020</v>
      </c>
      <c r="B21" s="103">
        <v>4</v>
      </c>
      <c r="C21" s="103">
        <v>2</v>
      </c>
      <c r="D21" s="38">
        <v>0.5</v>
      </c>
      <c r="E21" s="103">
        <v>0</v>
      </c>
      <c r="F21" s="38">
        <v>0</v>
      </c>
      <c r="G21" s="104">
        <v>2</v>
      </c>
      <c r="H21" s="38">
        <v>0.5</v>
      </c>
      <c r="I21" s="128"/>
      <c r="J21" s="128"/>
      <c r="M21" s="98">
        <v>202020</v>
      </c>
      <c r="N21" s="103">
        <v>2</v>
      </c>
      <c r="O21" s="103">
        <v>0</v>
      </c>
      <c r="P21" s="38">
        <v>0</v>
      </c>
      <c r="Q21" s="103">
        <v>0</v>
      </c>
      <c r="R21" s="38">
        <v>0</v>
      </c>
      <c r="S21" s="104">
        <v>2</v>
      </c>
      <c r="T21" s="38">
        <v>1</v>
      </c>
    </row>
    <row r="22" spans="1:23" ht="13.5" customHeight="1">
      <c r="A22" s="98">
        <v>202110</v>
      </c>
      <c r="B22" s="103">
        <v>4</v>
      </c>
      <c r="C22" s="103">
        <v>0</v>
      </c>
      <c r="D22" s="38">
        <v>0</v>
      </c>
      <c r="E22" s="103">
        <v>0</v>
      </c>
      <c r="F22" s="38">
        <v>0</v>
      </c>
      <c r="G22" s="104">
        <v>4</v>
      </c>
      <c r="H22" s="38">
        <v>1</v>
      </c>
      <c r="I22" s="128"/>
      <c r="J22" s="128"/>
      <c r="M22" s="98">
        <v>202110</v>
      </c>
      <c r="N22" s="103">
        <v>3</v>
      </c>
      <c r="O22" s="103">
        <v>0</v>
      </c>
      <c r="P22" s="38">
        <v>0</v>
      </c>
      <c r="Q22" s="103">
        <v>0</v>
      </c>
      <c r="R22" s="38">
        <v>0</v>
      </c>
      <c r="S22" s="104">
        <v>3</v>
      </c>
      <c r="T22" s="38">
        <v>1</v>
      </c>
    </row>
    <row r="23" spans="1:23" ht="13.5" customHeight="1">
      <c r="A23" s="98">
        <v>202120</v>
      </c>
      <c r="B23" s="103">
        <v>4</v>
      </c>
      <c r="C23" s="103">
        <v>1</v>
      </c>
      <c r="D23" s="38">
        <v>0.25</v>
      </c>
      <c r="E23" s="103">
        <v>0</v>
      </c>
      <c r="F23" s="38">
        <v>0</v>
      </c>
      <c r="G23" s="104">
        <v>3</v>
      </c>
      <c r="H23" s="38">
        <v>0.75</v>
      </c>
      <c r="I23" s="128"/>
      <c r="J23" s="128"/>
      <c r="M23" s="98">
        <v>202120</v>
      </c>
      <c r="N23" s="103">
        <v>1</v>
      </c>
      <c r="O23" s="103">
        <v>1</v>
      </c>
      <c r="P23" s="38">
        <v>1</v>
      </c>
      <c r="Q23" s="103">
        <v>0</v>
      </c>
      <c r="R23" s="38">
        <v>0</v>
      </c>
      <c r="S23" s="104">
        <v>0</v>
      </c>
      <c r="T23" s="38">
        <v>0</v>
      </c>
    </row>
    <row r="24" spans="1:23" ht="13.5" customHeight="1">
      <c r="A24" s="98">
        <v>202210</v>
      </c>
      <c r="B24" s="103" cm="1">
        <f t="array" ref="B24">IF(RIGHT($A24,2)="10",_xlfn.XLOOKUP("ECO"&amp;$A24,[1]PROGRAMA!$A:$A&amp;[1]PROGRAMA!$B:$B,[1]PROGRAMA!C:C,0),_xlfn.XLOOKUP("ECO"&amp;$A24,[2]PROGRAMA!$A:$A&amp;[2]PROGRAMA!$B:$B,[2]PROGRAMA!C:C,0))</f>
        <v>6</v>
      </c>
      <c r="C24" s="103" cm="1">
        <f t="array" ref="C24">IF(RIGHT($A24,2)="10",_xlfn.XLOOKUP("ECO"&amp;$A24,[1]PROGRAMA!$A:$A&amp;[1]PROGRAMA!$B:$B,[1]PROGRAMA!D:D,0),_xlfn.XLOOKUP("ECO"&amp;$A24,[2]PROGRAMA!$A:$A&amp;[2]PROGRAMA!$B:$B,[2]PROGRAMA!D:D,0))</f>
        <v>0</v>
      </c>
      <c r="D24" s="68">
        <f>IFERROR(C24/$B24,0)</f>
        <v>0</v>
      </c>
      <c r="E24" s="103" cm="1">
        <f t="array" ref="E24">IF(RIGHT($A24,2)="10",_xlfn.XLOOKUP("ECO"&amp;$A24,[1]PROGRAMA!$A:$A&amp;[1]PROGRAMA!$B:$B,[1]PROGRAMA!E:E,0),_xlfn.XLOOKUP("ECO"&amp;$A24,[2]PROGRAMA!$A:$A&amp;[2]PROGRAMA!$B:$B,[2]PROGRAMA!E:E,0))</f>
        <v>0</v>
      </c>
      <c r="F24" s="68">
        <f>IFERROR(E24/$B24,0)</f>
        <v>0</v>
      </c>
      <c r="G24" s="104">
        <f>B24-C24</f>
        <v>6</v>
      </c>
      <c r="H24" s="68">
        <f>IFERROR(G24/$B24,0)</f>
        <v>1</v>
      </c>
      <c r="I24" s="128"/>
      <c r="J24" s="128"/>
      <c r="M24" s="98">
        <v>202210</v>
      </c>
      <c r="N24" s="103" cm="1">
        <f t="array" ref="N24">IF(RIGHT($A24,2)="10",_xlfn.XLOOKUP("ECO"&amp;$A24,'[1]PROGRAMA 123'!$A:$A&amp;'[1]PROGRAMA 123'!$B:$B,'[1]PROGRAMA 123'!C:C,0),_xlfn.XLOOKUP("ECO"&amp;$A24,'[2]PROGRAMA 123'!$A:$A&amp;'[2]PROGRAMA 123'!$B:$B,'[2]PROGRAMA 123'!C:C,0))</f>
        <v>2</v>
      </c>
      <c r="O24" s="103" cm="1">
        <f t="array" ref="O24">IF(RIGHT($A24,2)="10",_xlfn.XLOOKUP("ECO"&amp;$A24,'[1]PROGRAMA 123'!$A:$A&amp;'[1]PROGRAMA 123'!$B:$B,'[1]PROGRAMA 123'!D:D,0),_xlfn.XLOOKUP("ECO"&amp;$A24,'[2]PROGRAMA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IF(RIGHT($A24,2)="10",_xlfn.XLOOKUP("ECO"&amp;$A24,'[1]PROGRAMA 123'!$A:$A&amp;'[1]PROGRAMA 123'!$B:$B,'[1]PROGRAMA 123'!E:E,0),_xlfn.XLOOKUP("ECO"&amp;$A24,'[2]PROGRAMA 123'!$A:$A&amp;'[2]PROGRAMA 123'!$B:$B,'[2]PROGRAMA 123'!E:E,0))</f>
        <v>0</v>
      </c>
      <c r="R24" s="68">
        <f>IFERROR(Q24/$N24,0)</f>
        <v>0</v>
      </c>
      <c r="S24" s="104">
        <f>N24-O24</f>
        <v>2</v>
      </c>
      <c r="T24" s="68">
        <f>IFERROR(S24/$N24,0)</f>
        <v>1</v>
      </c>
    </row>
    <row r="25" spans="1:23" ht="13.5" customHeight="1">
      <c r="A25" s="98">
        <v>202220</v>
      </c>
      <c r="B25" s="103" cm="1">
        <f t="array" ref="B25">IF(RIGHT($A25,2)="10",_xlfn.XLOOKUP("ECO"&amp;$A25,[1]PROGRAMA!$A:$A&amp;[1]PROGRAMA!$B:$B,[1]PROGRAMA!C:C,0),_xlfn.XLOOKUP("ECO"&amp;$A25,[2]PROGRAMA!$A:$A&amp;[2]PROGRAMA!$B:$B,[2]PROGRAMA!C:C,0))</f>
        <v>6</v>
      </c>
      <c r="C25" s="103" cm="1">
        <f t="array" ref="C25">IF(RIGHT($A25,2)="10",_xlfn.XLOOKUP("ECO"&amp;$A25,[1]PROGRAMA!$A:$A&amp;[1]PROGRAMA!$B:$B,[1]PROGRAMA!D:D,0),_xlfn.XLOOKUP("ECO"&amp;$A25,[2]PROGRAMA!$A:$A&amp;[2]PROGRAMA!$B:$B,[2]PROGRAMA!D:D,0))</f>
        <v>0</v>
      </c>
      <c r="D25" s="68">
        <f>IFERROR(C25/$B25,0)</f>
        <v>0</v>
      </c>
      <c r="E25" s="103" cm="1">
        <f t="array" ref="E25">IF(RIGHT($A25,2)="10",_xlfn.XLOOKUP("ECO"&amp;$A25,[1]PROGRAMA!$A:$A&amp;[1]PROGRAMA!$B:$B,[1]PROGRAMA!E:E,0),_xlfn.XLOOKUP("ECO"&amp;$A25,[2]PROGRAMA!$A:$A&amp;[2]PROGRAMA!$B:$B,[2]PROGRAMA!E:E,0))</f>
        <v>0</v>
      </c>
      <c r="F25" s="68">
        <f>IFERROR(E25/$B25,0)</f>
        <v>0</v>
      </c>
      <c r="G25" s="104">
        <f>B25-C25</f>
        <v>6</v>
      </c>
      <c r="H25" s="68">
        <f>IFERROR(G25/$B25,0)</f>
        <v>1</v>
      </c>
      <c r="I25" s="128"/>
      <c r="J25" s="128"/>
      <c r="M25" s="98">
        <v>202220</v>
      </c>
      <c r="N25" s="103" cm="1">
        <f t="array" ref="N25">IF(RIGHT($A25,2)="10",_xlfn.XLOOKUP("ECO"&amp;$A25,'[1]PROGRAMA 123'!$A:$A&amp;'[1]PROGRAMA 123'!$B:$B,'[1]PROGRAMA 123'!C:C,0),_xlfn.XLOOKUP("ECO"&amp;$A25,'[2]PROGRAMA 123'!$A:$A&amp;'[2]PROGRAMA 123'!$B:$B,'[2]PROGRAMA 123'!C:C,0))</f>
        <v>3</v>
      </c>
      <c r="O25" s="103" cm="1">
        <f t="array" ref="O25">IF(RIGHT($A25,2)="10",_xlfn.XLOOKUP("ECO"&amp;$A25,'[1]PROGRAMA 123'!$A:$A&amp;'[1]PROGRAMA 123'!$B:$B,'[1]PROGRAMA 123'!D:D,0),_xlfn.XLOOKUP("ECO"&amp;$A25,'[2]PROGRAMA 123'!$A:$A&amp;'[2]PROGRAMA 123'!$B:$B,'[2]PROGRAMA 123'!D:D,0))</f>
        <v>0</v>
      </c>
      <c r="P25" s="68">
        <f>IFERROR(O25/$N25,0)</f>
        <v>0</v>
      </c>
      <c r="Q25" s="103" cm="1">
        <f t="array" ref="Q25">IF(RIGHT($A25,2)="10",_xlfn.XLOOKUP("ECO"&amp;$A25,'[1]PROGRAMA 123'!$A:$A&amp;'[1]PROGRAMA 123'!$B:$B,'[1]PROGRAMA 123'!E:E,0),_xlfn.XLOOKUP("ECO"&amp;$A25,'[2]PROGRAMA 123'!$A:$A&amp;'[2]PROGRAMA 123'!$B:$B,'[2]PROGRAMA 123'!E:E,0))</f>
        <v>0</v>
      </c>
      <c r="R25" s="68">
        <f>IFERROR(Q25/$N25,0)</f>
        <v>0</v>
      </c>
      <c r="S25" s="104">
        <f>N25-O25</f>
        <v>3</v>
      </c>
      <c r="T25" s="68">
        <f>IFERROR(S25/$N25,0)</f>
        <v>1</v>
      </c>
    </row>
    <row r="26" spans="1:23" ht="13.5" customHeight="1">
      <c r="A26" s="98" t="s">
        <v>239</v>
      </c>
      <c r="B26" s="103">
        <v>6</v>
      </c>
      <c r="C26" s="103">
        <v>1</v>
      </c>
      <c r="D26" s="68">
        <f>IFERROR(C26/$B26,0)</f>
        <v>0.16666666666666666</v>
      </c>
      <c r="E26" s="103">
        <v>0</v>
      </c>
      <c r="F26" s="68">
        <f>IFERROR(E26/$B26,0)</f>
        <v>0</v>
      </c>
      <c r="G26" s="104">
        <v>5</v>
      </c>
      <c r="H26" s="68">
        <f>IFERROR(G26/$B26,0)</f>
        <v>0.83333333333333337</v>
      </c>
      <c r="I26" s="128"/>
      <c r="J26" s="128"/>
      <c r="M26" s="98" t="s">
        <v>239</v>
      </c>
      <c r="N26" s="103">
        <v>1</v>
      </c>
      <c r="O26" s="103">
        <v>0</v>
      </c>
      <c r="P26" s="68">
        <f>IFERROR(O26/$N26,0)</f>
        <v>0</v>
      </c>
      <c r="Q26" s="103">
        <v>0</v>
      </c>
      <c r="R26" s="68">
        <f>IFERROR(Q26/$N26,0)</f>
        <v>0</v>
      </c>
      <c r="S26" s="104">
        <v>1</v>
      </c>
      <c r="T26" s="68">
        <f>IFERROR(S26/$N26,0)</f>
        <v>1</v>
      </c>
    </row>
    <row r="28" spans="1:23" ht="41.25" hidden="1" customHeight="1">
      <c r="A28" s="221" t="s">
        <v>100</v>
      </c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M28" s="221" t="s">
        <v>114</v>
      </c>
      <c r="N28" s="220"/>
      <c r="O28" s="220"/>
      <c r="P28" s="220"/>
      <c r="Q28" s="220"/>
      <c r="R28" s="220"/>
      <c r="S28" s="220"/>
      <c r="T28" s="220"/>
      <c r="U28" s="220"/>
      <c r="V28" s="220"/>
      <c r="W28" s="220"/>
    </row>
    <row r="29" spans="1:23" ht="33" hidden="1" customHeight="1">
      <c r="A29" s="90" t="s">
        <v>121</v>
      </c>
      <c r="B29" s="90" t="s">
        <v>103</v>
      </c>
      <c r="C29" s="90" t="s">
        <v>104</v>
      </c>
      <c r="D29" s="90" t="s">
        <v>105</v>
      </c>
      <c r="E29" s="90" t="s">
        <v>106</v>
      </c>
      <c r="F29" s="90" t="s">
        <v>107</v>
      </c>
      <c r="G29" s="90" t="s">
        <v>108</v>
      </c>
      <c r="H29" s="90" t="s">
        <v>109</v>
      </c>
      <c r="I29" s="90" t="s">
        <v>110</v>
      </c>
      <c r="J29" s="90" t="str">
        <f>'1d. Retiro temprano.'!K30</f>
        <v>2023
212-221</v>
      </c>
      <c r="K29" s="90" t="str">
        <f>'1d. Retiro temprano.'!L30</f>
        <v>2024-1***
222</v>
      </c>
      <c r="M29" s="97" t="s">
        <v>121</v>
      </c>
      <c r="N29" s="97" t="s">
        <v>103</v>
      </c>
      <c r="O29" s="97" t="s">
        <v>104</v>
      </c>
      <c r="P29" s="97" t="s">
        <v>105</v>
      </c>
      <c r="Q29" s="97" t="s">
        <v>106</v>
      </c>
      <c r="R29" s="97" t="s">
        <v>107</v>
      </c>
      <c r="S29" s="97" t="s">
        <v>108</v>
      </c>
      <c r="T29" s="90" t="s">
        <v>109</v>
      </c>
      <c r="U29" s="90" t="s">
        <v>110</v>
      </c>
      <c r="V29" s="90" t="str">
        <f>J29</f>
        <v>2023
212-221</v>
      </c>
      <c r="W29" s="90" t="str">
        <f>K29</f>
        <v>2024-1***
222</v>
      </c>
    </row>
    <row r="30" spans="1:23" hidden="1">
      <c r="A30" s="37" t="str">
        <f>D6</f>
        <v>-</v>
      </c>
      <c r="B30" s="37">
        <f>+((B7*D7)+(B8*D8))/(B7+B8)</f>
        <v>0.36363636363636365</v>
      </c>
      <c r="C30" s="32">
        <f>((B9*D9)+(B10*D10))/(B9+B10)</f>
        <v>0.2780555555555555</v>
      </c>
      <c r="D30" s="32">
        <f>+((B11*D11)+(B12*D12))/(B11+B12)</f>
        <v>0.33333333333333331</v>
      </c>
      <c r="E30" s="32">
        <f>((B13*D13)+(B14*D14))/(B13+B14)</f>
        <v>0.17647058823529413</v>
      </c>
      <c r="F30" s="32">
        <f>((B15*D15)+(B16*D16))/(B15+B16)</f>
        <v>0.15384615384615385</v>
      </c>
      <c r="G30" s="32">
        <f>((B17*D17)+(B18*D18))/(B17+B18)</f>
        <v>0.33333333333333331</v>
      </c>
      <c r="H30" s="32">
        <f>((B19*D19)+(B20*D20))/(B19+B20)</f>
        <v>0.25</v>
      </c>
      <c r="I30" s="32">
        <f>((B21*D21)+(B22*D22))/(B21+B22)</f>
        <v>0.25</v>
      </c>
      <c r="J30" s="32">
        <f>(C23+C24)/(B23+B24)</f>
        <v>0.1</v>
      </c>
      <c r="K30" s="32">
        <f>D25</f>
        <v>0</v>
      </c>
      <c r="M30" s="37" t="str">
        <f>P6</f>
        <v>-</v>
      </c>
      <c r="N30" s="37">
        <f>+((N7*P7)+(N8*P8))/(N7+N8)</f>
        <v>0.4</v>
      </c>
      <c r="O30" s="32">
        <f>((N9*P9)+(N10*P10))/(N9+N10)</f>
        <v>0.36336363636363639</v>
      </c>
      <c r="P30" s="32">
        <f>+((N11*P11)+(N12*P12))/(N11+N12)</f>
        <v>0.36363636363636365</v>
      </c>
      <c r="Q30" s="32">
        <f>((N13*P13)+(N14*P14))/(N13+N14)</f>
        <v>0.15384615384615385</v>
      </c>
      <c r="R30" s="32">
        <f>((N15*P15)+(N16*P16))/(N15+N16)</f>
        <v>0.22222222222222221</v>
      </c>
      <c r="S30" s="32">
        <f>((N17*P17)+(N18*P18))/(N17+N18)</f>
        <v>0.2857142857142857</v>
      </c>
      <c r="T30" s="32">
        <f>((N19*P19)+(N20*P20))/(N19+N20)</f>
        <v>0.2857142857142857</v>
      </c>
      <c r="U30" s="32">
        <f>((N21*P21)+(N22*P22))/(N21+N22)</f>
        <v>0</v>
      </c>
      <c r="V30" s="32">
        <f>(O23+O24)/(N23+N24)</f>
        <v>0.33333333333333331</v>
      </c>
      <c r="W30" s="32">
        <f>P25</f>
        <v>0</v>
      </c>
    </row>
    <row r="31" spans="1:23" hidden="1">
      <c r="A31" s="206" t="s">
        <v>236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M31" s="206" t="s">
        <v>236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  <row r="32" spans="1:23" hidden="1">
      <c r="M32" s="206"/>
      <c r="N32" s="206"/>
      <c r="O32" s="206"/>
      <c r="P32" s="206"/>
      <c r="Q32" s="206"/>
      <c r="R32" s="206"/>
      <c r="S32" s="206"/>
      <c r="T32" s="7"/>
    </row>
  </sheetData>
  <mergeCells count="11">
    <mergeCell ref="M32:S32"/>
    <mergeCell ref="A1:H1"/>
    <mergeCell ref="A2:H2"/>
    <mergeCell ref="M2:T2"/>
    <mergeCell ref="A3:H3"/>
    <mergeCell ref="M3:T3"/>
    <mergeCell ref="M1:T1"/>
    <mergeCell ref="A31:K31"/>
    <mergeCell ref="M31:W31"/>
    <mergeCell ref="A28:K28"/>
    <mergeCell ref="M28:W28"/>
  </mergeCells>
  <pageMargins left="0.7" right="0.7" top="0.75" bottom="0.75" header="0.3" footer="0.3"/>
  <pageSetup orientation="portrait" r:id="rId1"/>
  <ignoredErrors>
    <ignoredError sqref="E24:G25 Q24:S25" formula="1"/>
    <ignoredError sqref="A26 M2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W32"/>
  <sheetViews>
    <sheetView showGridLines="0" workbookViewId="0">
      <selection sqref="A1:H1"/>
    </sheetView>
  </sheetViews>
  <sheetFormatPr baseColWidth="10" defaultColWidth="11.44140625" defaultRowHeight="14.4"/>
  <cols>
    <col min="1" max="1" width="11.88671875" style="5" customWidth="1"/>
    <col min="2" max="10" width="10.44140625" style="7" customWidth="1"/>
    <col min="11" max="11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08" t="s">
        <v>139</v>
      </c>
      <c r="B3" s="208"/>
      <c r="C3" s="208"/>
      <c r="D3" s="208"/>
      <c r="E3" s="208"/>
      <c r="F3" s="208"/>
      <c r="G3" s="208"/>
      <c r="H3" s="208"/>
      <c r="I3" s="188"/>
      <c r="J3" s="188"/>
      <c r="M3" s="208" t="s">
        <v>140</v>
      </c>
      <c r="N3" s="208"/>
      <c r="O3" s="208"/>
      <c r="P3" s="208"/>
      <c r="Q3" s="208"/>
      <c r="R3" s="208"/>
      <c r="S3" s="208"/>
      <c r="T3" s="208"/>
    </row>
    <row r="5" spans="1:20" ht="30.6">
      <c r="A5" s="100" t="s">
        <v>0</v>
      </c>
      <c r="B5" s="100" t="s">
        <v>1</v>
      </c>
      <c r="C5" s="100" t="s">
        <v>131</v>
      </c>
      <c r="D5" s="100" t="s">
        <v>132</v>
      </c>
      <c r="E5" s="100" t="s">
        <v>133</v>
      </c>
      <c r="F5" s="100" t="s">
        <v>134</v>
      </c>
      <c r="G5" s="100" t="s">
        <v>135</v>
      </c>
      <c r="H5" s="100" t="s">
        <v>136</v>
      </c>
      <c r="I5" s="147"/>
      <c r="J5" s="147"/>
      <c r="M5" s="100" t="s">
        <v>0</v>
      </c>
      <c r="N5" s="100" t="s">
        <v>1</v>
      </c>
      <c r="O5" s="100" t="s">
        <v>131</v>
      </c>
      <c r="P5" s="100" t="s">
        <v>132</v>
      </c>
      <c r="Q5" s="100" t="s">
        <v>133</v>
      </c>
      <c r="R5" s="100" t="s">
        <v>134</v>
      </c>
      <c r="S5" s="100" t="s">
        <v>135</v>
      </c>
      <c r="T5" s="100" t="s">
        <v>136</v>
      </c>
    </row>
    <row r="6" spans="1:20" ht="13.5" customHeight="1">
      <c r="A6" s="98">
        <v>201310</v>
      </c>
      <c r="B6" s="89">
        <v>92</v>
      </c>
      <c r="C6" s="89">
        <v>31</v>
      </c>
      <c r="D6" s="99">
        <v>0.33695652173913043</v>
      </c>
      <c r="E6" s="89">
        <v>0</v>
      </c>
      <c r="F6" s="99">
        <v>0</v>
      </c>
      <c r="G6" s="89">
        <v>61</v>
      </c>
      <c r="H6" s="99">
        <v>0.66304347826086951</v>
      </c>
      <c r="I6" s="133"/>
      <c r="J6" s="133"/>
      <c r="M6" s="104">
        <v>201310</v>
      </c>
      <c r="N6" s="89">
        <v>67</v>
      </c>
      <c r="O6" s="89">
        <v>23</v>
      </c>
      <c r="P6" s="99">
        <v>0.34328358208955223</v>
      </c>
      <c r="Q6" s="89">
        <v>0</v>
      </c>
      <c r="R6" s="99">
        <v>0</v>
      </c>
      <c r="S6" s="89">
        <v>44</v>
      </c>
      <c r="T6" s="99">
        <v>0.65671641791044777</v>
      </c>
    </row>
    <row r="7" spans="1:20" ht="13.5" customHeight="1">
      <c r="A7" s="98">
        <v>201320</v>
      </c>
      <c r="B7" s="89">
        <v>101</v>
      </c>
      <c r="C7" s="89">
        <v>30</v>
      </c>
      <c r="D7" s="102">
        <v>0.29702970297029702</v>
      </c>
      <c r="E7" s="89">
        <v>0</v>
      </c>
      <c r="F7" s="102">
        <v>0</v>
      </c>
      <c r="G7" s="98">
        <v>71</v>
      </c>
      <c r="H7" s="102">
        <v>0.70297029702970293</v>
      </c>
      <c r="I7" s="148"/>
      <c r="J7" s="148"/>
      <c r="M7" s="104">
        <v>201320</v>
      </c>
      <c r="N7" s="103">
        <v>46</v>
      </c>
      <c r="O7" s="103">
        <v>13</v>
      </c>
      <c r="P7" s="38">
        <v>0.28260869565217389</v>
      </c>
      <c r="Q7" s="103">
        <v>0</v>
      </c>
      <c r="R7" s="38">
        <v>0</v>
      </c>
      <c r="S7" s="104">
        <v>33</v>
      </c>
      <c r="T7" s="38">
        <v>0.71739130434782605</v>
      </c>
    </row>
    <row r="8" spans="1:20" ht="13.5" customHeight="1">
      <c r="A8" s="98">
        <v>201410</v>
      </c>
      <c r="B8" s="89">
        <v>66</v>
      </c>
      <c r="C8" s="89">
        <v>21</v>
      </c>
      <c r="D8" s="99">
        <v>0.318</v>
      </c>
      <c r="E8" s="89">
        <v>0</v>
      </c>
      <c r="F8" s="99">
        <v>0</v>
      </c>
      <c r="G8" s="89">
        <v>45</v>
      </c>
      <c r="H8" s="99">
        <v>0.68200000000000005</v>
      </c>
      <c r="I8" s="133"/>
      <c r="J8" s="133"/>
      <c r="M8" s="104">
        <v>201410</v>
      </c>
      <c r="N8" s="103">
        <v>43</v>
      </c>
      <c r="O8" s="103">
        <v>11</v>
      </c>
      <c r="P8" s="38">
        <v>0.25600000000000001</v>
      </c>
      <c r="Q8" s="103">
        <v>0</v>
      </c>
      <c r="R8" s="38">
        <v>0</v>
      </c>
      <c r="S8" s="104">
        <v>32</v>
      </c>
      <c r="T8" s="38">
        <v>0.74399999999999999</v>
      </c>
    </row>
    <row r="9" spans="1:20" ht="13.5" customHeight="1">
      <c r="A9" s="98">
        <v>201420</v>
      </c>
      <c r="B9" s="103">
        <v>115</v>
      </c>
      <c r="C9" s="103">
        <v>41</v>
      </c>
      <c r="D9" s="38">
        <v>0.35699999999999998</v>
      </c>
      <c r="E9" s="103">
        <v>0</v>
      </c>
      <c r="F9" s="38">
        <v>0</v>
      </c>
      <c r="G9" s="104">
        <v>74</v>
      </c>
      <c r="H9" s="38">
        <v>0.64300000000000002</v>
      </c>
      <c r="I9" s="128"/>
      <c r="J9" s="128"/>
      <c r="M9" s="104">
        <v>201420</v>
      </c>
      <c r="N9" s="103">
        <v>49</v>
      </c>
      <c r="O9" s="103">
        <v>18</v>
      </c>
      <c r="P9" s="38">
        <v>0.36699999999999999</v>
      </c>
      <c r="Q9" s="103">
        <v>0</v>
      </c>
      <c r="R9" s="38">
        <v>0</v>
      </c>
      <c r="S9" s="104">
        <v>31</v>
      </c>
      <c r="T9" s="38">
        <v>0.63300000000000001</v>
      </c>
    </row>
    <row r="10" spans="1:20" ht="13.5" customHeight="1">
      <c r="A10" s="98">
        <v>201510</v>
      </c>
      <c r="B10" s="103">
        <v>97</v>
      </c>
      <c r="C10" s="103">
        <v>29</v>
      </c>
      <c r="D10" s="38">
        <v>0.29899999999999999</v>
      </c>
      <c r="E10" s="103">
        <v>0</v>
      </c>
      <c r="F10" s="38">
        <v>0</v>
      </c>
      <c r="G10" s="104">
        <v>68</v>
      </c>
      <c r="H10" s="38">
        <v>0.70099999999999996</v>
      </c>
      <c r="I10" s="128"/>
      <c r="J10" s="128"/>
      <c r="M10" s="104">
        <v>201510</v>
      </c>
      <c r="N10" s="103">
        <v>80</v>
      </c>
      <c r="O10" s="103">
        <v>25</v>
      </c>
      <c r="P10" s="38">
        <v>0.313</v>
      </c>
      <c r="Q10" s="103">
        <v>0</v>
      </c>
      <c r="R10" s="38">
        <v>0</v>
      </c>
      <c r="S10" s="104">
        <v>55</v>
      </c>
      <c r="T10" s="38">
        <v>0.68799999999999994</v>
      </c>
    </row>
    <row r="11" spans="1:20" ht="13.5" customHeight="1">
      <c r="A11" s="98">
        <v>201520</v>
      </c>
      <c r="B11" s="103">
        <v>84</v>
      </c>
      <c r="C11" s="103">
        <v>18</v>
      </c>
      <c r="D11" s="38">
        <v>0.21428571428571427</v>
      </c>
      <c r="E11" s="103">
        <v>0</v>
      </c>
      <c r="F11" s="38">
        <v>0</v>
      </c>
      <c r="G11" s="104">
        <v>66</v>
      </c>
      <c r="H11" s="38">
        <v>0.7857142857142857</v>
      </c>
      <c r="I11" s="128"/>
      <c r="J11" s="128"/>
      <c r="M11" s="104">
        <v>201520</v>
      </c>
      <c r="N11" s="103">
        <v>40</v>
      </c>
      <c r="O11" s="103">
        <v>5</v>
      </c>
      <c r="P11" s="38">
        <v>0.125</v>
      </c>
      <c r="Q11" s="103">
        <v>0</v>
      </c>
      <c r="R11" s="38">
        <v>0</v>
      </c>
      <c r="S11" s="104">
        <v>35</v>
      </c>
      <c r="T11" s="38">
        <v>0.875</v>
      </c>
    </row>
    <row r="12" spans="1:20" ht="13.5" customHeight="1">
      <c r="A12" s="98">
        <v>201610</v>
      </c>
      <c r="B12" s="103">
        <v>135</v>
      </c>
      <c r="C12" s="103">
        <v>37</v>
      </c>
      <c r="D12" s="38">
        <v>0.27407407407407408</v>
      </c>
      <c r="E12" s="103">
        <v>0</v>
      </c>
      <c r="F12" s="38">
        <v>0</v>
      </c>
      <c r="G12" s="104">
        <v>98</v>
      </c>
      <c r="H12" s="38">
        <v>0.72592592592592597</v>
      </c>
      <c r="I12" s="128"/>
      <c r="J12" s="128"/>
      <c r="M12" s="104">
        <v>201610</v>
      </c>
      <c r="N12" s="103">
        <v>101</v>
      </c>
      <c r="O12" s="103">
        <v>25</v>
      </c>
      <c r="P12" s="38">
        <v>0.24752475247524752</v>
      </c>
      <c r="Q12" s="103">
        <v>0</v>
      </c>
      <c r="R12" s="38">
        <v>0</v>
      </c>
      <c r="S12" s="104">
        <v>76</v>
      </c>
      <c r="T12" s="38">
        <v>0.75247524752475248</v>
      </c>
    </row>
    <row r="13" spans="1:20" ht="13.5" customHeight="1">
      <c r="A13" s="98">
        <v>201620</v>
      </c>
      <c r="B13" s="89">
        <v>88</v>
      </c>
      <c r="C13" s="89">
        <v>23</v>
      </c>
      <c r="D13" s="99">
        <v>0.26136363636363635</v>
      </c>
      <c r="E13" s="89">
        <v>0</v>
      </c>
      <c r="F13" s="99">
        <v>0</v>
      </c>
      <c r="G13" s="89">
        <v>65</v>
      </c>
      <c r="H13" s="99">
        <v>0.73863636363636365</v>
      </c>
      <c r="I13" s="133"/>
      <c r="J13" s="133"/>
      <c r="M13" s="104">
        <v>201620</v>
      </c>
      <c r="N13" s="89">
        <v>37</v>
      </c>
      <c r="O13" s="89">
        <v>13</v>
      </c>
      <c r="P13" s="99">
        <v>0.35135135135135137</v>
      </c>
      <c r="Q13" s="89">
        <v>0</v>
      </c>
      <c r="R13" s="99">
        <v>0</v>
      </c>
      <c r="S13" s="89">
        <v>24</v>
      </c>
      <c r="T13" s="99">
        <v>0.64864864864864868</v>
      </c>
    </row>
    <row r="14" spans="1:20" ht="13.5" customHeight="1">
      <c r="A14" s="98">
        <v>201710</v>
      </c>
      <c r="B14" s="103">
        <v>93</v>
      </c>
      <c r="C14" s="103">
        <v>28</v>
      </c>
      <c r="D14" s="38">
        <v>0.30107526881720431</v>
      </c>
      <c r="E14" s="103">
        <v>0</v>
      </c>
      <c r="F14" s="38">
        <v>0</v>
      </c>
      <c r="G14" s="104">
        <v>65</v>
      </c>
      <c r="H14" s="38">
        <v>0.69892473118279574</v>
      </c>
      <c r="I14" s="128"/>
      <c r="J14" s="128"/>
      <c r="M14" s="104">
        <v>201710</v>
      </c>
      <c r="N14" s="103">
        <v>70</v>
      </c>
      <c r="O14" s="103">
        <v>21</v>
      </c>
      <c r="P14" s="38">
        <v>0.3</v>
      </c>
      <c r="Q14" s="103">
        <v>0</v>
      </c>
      <c r="R14" s="38">
        <v>0</v>
      </c>
      <c r="S14" s="104">
        <v>49</v>
      </c>
      <c r="T14" s="38">
        <v>0.7</v>
      </c>
    </row>
    <row r="15" spans="1:20" ht="13.5" customHeight="1">
      <c r="A15" s="98">
        <v>201720</v>
      </c>
      <c r="B15" s="103">
        <v>63</v>
      </c>
      <c r="C15" s="103">
        <v>15</v>
      </c>
      <c r="D15" s="38">
        <v>0.23809523809523808</v>
      </c>
      <c r="E15" s="103">
        <v>0</v>
      </c>
      <c r="F15" s="38">
        <v>0</v>
      </c>
      <c r="G15" s="104">
        <v>48</v>
      </c>
      <c r="H15" s="38">
        <v>0.76190476190476186</v>
      </c>
      <c r="I15" s="128"/>
      <c r="J15" s="128"/>
      <c r="M15" s="104">
        <v>201720</v>
      </c>
      <c r="N15" s="103">
        <v>30</v>
      </c>
      <c r="O15" s="103">
        <v>7</v>
      </c>
      <c r="P15" s="38">
        <v>0.23333333333333334</v>
      </c>
      <c r="Q15" s="103">
        <v>0</v>
      </c>
      <c r="R15" s="38">
        <v>0</v>
      </c>
      <c r="S15" s="104">
        <v>23</v>
      </c>
      <c r="T15" s="38">
        <v>0.76666666666666672</v>
      </c>
    </row>
    <row r="16" spans="1:20" ht="13.5" customHeight="1">
      <c r="A16" s="98">
        <v>201810</v>
      </c>
      <c r="B16" s="103">
        <v>60</v>
      </c>
      <c r="C16" s="103">
        <v>8</v>
      </c>
      <c r="D16" s="38">
        <v>0.13333333333333333</v>
      </c>
      <c r="E16" s="103">
        <v>0</v>
      </c>
      <c r="F16" s="38">
        <v>0</v>
      </c>
      <c r="G16" s="104">
        <v>52</v>
      </c>
      <c r="H16" s="38">
        <v>0.8666666666666667</v>
      </c>
      <c r="I16" s="128"/>
      <c r="J16" s="128"/>
      <c r="M16" s="104">
        <v>201810</v>
      </c>
      <c r="N16" s="103">
        <v>36</v>
      </c>
      <c r="O16" s="103">
        <v>7</v>
      </c>
      <c r="P16" s="38">
        <v>0.19444444444444445</v>
      </c>
      <c r="Q16" s="103">
        <v>0</v>
      </c>
      <c r="R16" s="38">
        <v>0</v>
      </c>
      <c r="S16" s="104">
        <v>29</v>
      </c>
      <c r="T16" s="38">
        <v>0.80555555555555558</v>
      </c>
    </row>
    <row r="17" spans="1:23" ht="13.5" customHeight="1">
      <c r="A17" s="98">
        <v>201820</v>
      </c>
      <c r="B17" s="103">
        <v>50</v>
      </c>
      <c r="C17" s="103">
        <v>17</v>
      </c>
      <c r="D17" s="38">
        <v>0.34</v>
      </c>
      <c r="E17" s="103">
        <v>0</v>
      </c>
      <c r="F17" s="38">
        <v>0</v>
      </c>
      <c r="G17" s="104">
        <v>33</v>
      </c>
      <c r="H17" s="38">
        <v>0.66</v>
      </c>
      <c r="I17" s="128"/>
      <c r="J17" s="128"/>
      <c r="M17" s="98">
        <v>201820</v>
      </c>
      <c r="N17" s="103">
        <v>14</v>
      </c>
      <c r="O17" s="103">
        <v>5</v>
      </c>
      <c r="P17" s="38">
        <v>0.35714285714285715</v>
      </c>
      <c r="Q17" s="103">
        <v>0</v>
      </c>
      <c r="R17" s="38">
        <v>0</v>
      </c>
      <c r="S17" s="104">
        <v>9</v>
      </c>
      <c r="T17" s="38">
        <v>0.6428571428571429</v>
      </c>
    </row>
    <row r="18" spans="1:23" ht="13.5" customHeight="1">
      <c r="A18" s="98">
        <v>201910</v>
      </c>
      <c r="B18" s="103">
        <v>48</v>
      </c>
      <c r="C18" s="103">
        <v>6</v>
      </c>
      <c r="D18" s="38">
        <v>0.125</v>
      </c>
      <c r="E18" s="103">
        <v>0</v>
      </c>
      <c r="F18" s="38">
        <v>0</v>
      </c>
      <c r="G18" s="104">
        <v>42</v>
      </c>
      <c r="H18" s="38">
        <v>0.875</v>
      </c>
      <c r="I18" s="128"/>
      <c r="J18" s="128"/>
      <c r="M18" s="98">
        <v>201910</v>
      </c>
      <c r="N18" s="103">
        <v>36</v>
      </c>
      <c r="O18" s="103">
        <v>4</v>
      </c>
      <c r="P18" s="38">
        <v>0.1111111111111111</v>
      </c>
      <c r="Q18" s="103">
        <v>0</v>
      </c>
      <c r="R18" s="38">
        <v>0</v>
      </c>
      <c r="S18" s="104">
        <v>32</v>
      </c>
      <c r="T18" s="38">
        <v>0.88888888888888884</v>
      </c>
    </row>
    <row r="19" spans="1:23" ht="13.5" customHeight="1">
      <c r="A19" s="98">
        <v>201920</v>
      </c>
      <c r="B19" s="103">
        <v>61</v>
      </c>
      <c r="C19" s="103">
        <v>16</v>
      </c>
      <c r="D19" s="38">
        <v>0.26229508196721307</v>
      </c>
      <c r="E19" s="103">
        <v>0</v>
      </c>
      <c r="F19" s="38">
        <v>0</v>
      </c>
      <c r="G19" s="104">
        <v>45</v>
      </c>
      <c r="H19" s="38">
        <v>0.73770491803278693</v>
      </c>
      <c r="I19" s="128"/>
      <c r="J19" s="128"/>
      <c r="M19" s="98">
        <v>201920</v>
      </c>
      <c r="N19" s="103">
        <v>18</v>
      </c>
      <c r="O19" s="103">
        <v>4</v>
      </c>
      <c r="P19" s="38">
        <v>0.22222222222222221</v>
      </c>
      <c r="Q19" s="103">
        <v>0</v>
      </c>
      <c r="R19" s="38">
        <v>0</v>
      </c>
      <c r="S19" s="104">
        <v>14</v>
      </c>
      <c r="T19" s="38">
        <v>0.77777777777777779</v>
      </c>
    </row>
    <row r="20" spans="1:23" ht="13.5" customHeight="1">
      <c r="A20" s="98">
        <v>202010</v>
      </c>
      <c r="B20" s="103">
        <v>52</v>
      </c>
      <c r="C20" s="103">
        <v>9</v>
      </c>
      <c r="D20" s="38">
        <v>0.1730769230769231</v>
      </c>
      <c r="E20" s="103">
        <v>0</v>
      </c>
      <c r="F20" s="38">
        <v>0</v>
      </c>
      <c r="G20" s="104">
        <v>43</v>
      </c>
      <c r="H20" s="38">
        <v>0.82692307692307687</v>
      </c>
      <c r="I20" s="128"/>
      <c r="J20" s="128"/>
      <c r="M20" s="98">
        <v>202010</v>
      </c>
      <c r="N20" s="103">
        <v>36</v>
      </c>
      <c r="O20" s="103">
        <v>7</v>
      </c>
      <c r="P20" s="38">
        <v>0.19444444444444439</v>
      </c>
      <c r="Q20" s="103">
        <v>0</v>
      </c>
      <c r="R20" s="38">
        <v>0</v>
      </c>
      <c r="S20" s="104">
        <v>29</v>
      </c>
      <c r="T20" s="38">
        <v>0.80555555555555558</v>
      </c>
    </row>
    <row r="21" spans="1:23" ht="13.5" customHeight="1">
      <c r="A21" s="98">
        <v>202020</v>
      </c>
      <c r="B21" s="103">
        <v>55</v>
      </c>
      <c r="C21" s="103">
        <v>6</v>
      </c>
      <c r="D21" s="38">
        <v>0.10909090909090909</v>
      </c>
      <c r="E21" s="163">
        <v>0</v>
      </c>
      <c r="F21" s="38">
        <v>0</v>
      </c>
      <c r="G21" s="104">
        <v>49</v>
      </c>
      <c r="H21" s="38">
        <v>0.89090909090909087</v>
      </c>
      <c r="I21" s="128"/>
      <c r="J21" s="128"/>
      <c r="M21" s="98">
        <v>202020</v>
      </c>
      <c r="N21" s="103">
        <v>19</v>
      </c>
      <c r="O21" s="103">
        <v>2</v>
      </c>
      <c r="P21" s="38">
        <v>0.10526315789473684</v>
      </c>
      <c r="Q21" s="163">
        <v>0</v>
      </c>
      <c r="R21" s="38">
        <v>0</v>
      </c>
      <c r="S21" s="104">
        <v>17</v>
      </c>
      <c r="T21" s="38">
        <v>0.89473684210526316</v>
      </c>
    </row>
    <row r="22" spans="1:23" ht="13.5" customHeight="1">
      <c r="A22" s="98">
        <v>202110</v>
      </c>
      <c r="B22" s="103">
        <v>46</v>
      </c>
      <c r="C22" s="103">
        <v>6</v>
      </c>
      <c r="D22" s="38">
        <v>0.13043478260869559</v>
      </c>
      <c r="E22" s="163">
        <v>0</v>
      </c>
      <c r="F22" s="38">
        <v>0</v>
      </c>
      <c r="G22" s="104">
        <v>40</v>
      </c>
      <c r="H22" s="38">
        <v>0.86956521739130432</v>
      </c>
      <c r="I22" s="128"/>
      <c r="J22" s="128"/>
      <c r="M22" s="98">
        <v>202110</v>
      </c>
      <c r="N22" s="103">
        <v>31</v>
      </c>
      <c r="O22" s="103">
        <v>3</v>
      </c>
      <c r="P22" s="38">
        <v>9.6774193548387094E-2</v>
      </c>
      <c r="Q22" s="163">
        <v>0</v>
      </c>
      <c r="R22" s="38">
        <v>0</v>
      </c>
      <c r="S22" s="104">
        <v>28</v>
      </c>
      <c r="T22" s="38">
        <v>0.90322580645161288</v>
      </c>
    </row>
    <row r="23" spans="1:23" ht="13.5" customHeight="1">
      <c r="A23" s="98">
        <v>202120</v>
      </c>
      <c r="B23" s="103">
        <v>42</v>
      </c>
      <c r="C23" s="103">
        <v>10</v>
      </c>
      <c r="D23" s="38">
        <v>0.23809523809523811</v>
      </c>
      <c r="E23" s="163">
        <v>0</v>
      </c>
      <c r="F23" s="38">
        <v>0</v>
      </c>
      <c r="G23" s="104">
        <v>32</v>
      </c>
      <c r="H23" s="38">
        <v>0.76190476190476186</v>
      </c>
      <c r="I23" s="128"/>
      <c r="J23" s="128"/>
      <c r="M23" s="98">
        <v>202120</v>
      </c>
      <c r="N23" s="103">
        <v>22</v>
      </c>
      <c r="O23" s="103">
        <v>3</v>
      </c>
      <c r="P23" s="38">
        <v>0.13636363636363641</v>
      </c>
      <c r="Q23" s="163">
        <v>0</v>
      </c>
      <c r="R23" s="38">
        <v>0</v>
      </c>
      <c r="S23" s="104">
        <v>19</v>
      </c>
      <c r="T23" s="38">
        <v>0.86363636363636365</v>
      </c>
    </row>
    <row r="24" spans="1:23" ht="13.5" customHeight="1">
      <c r="A24" s="98">
        <v>202210</v>
      </c>
      <c r="B24" s="103" cm="1">
        <f t="array" ref="B24">IF(RIGHT($A24,2)="10",_xlfn.XLOOKUP("ENI"&amp;$A24,[1]PROGRAMA!$A:$A&amp;[1]PROGRAMA!$B:$B,[1]PROGRAMA!C:C,0),_xlfn.XLOOKUP("ENI"&amp;$A24,[2]PROGRAMA!$A:$A&amp;[2]PROGRAMA!$B:$B,[2]PROGRAMA!C:C,0))</f>
        <v>64</v>
      </c>
      <c r="C24" s="103" cm="1">
        <f t="array" ref="C24">IF(RIGHT($A24,2)="10",_xlfn.XLOOKUP("ENI"&amp;$A24,[1]PROGRAMA!$A:$A&amp;[1]PROGRAMA!$B:$B,[1]PROGRAMA!D:D,0),_xlfn.XLOOKUP("ENI"&amp;$A24,[2]PROGRAMA!$A:$A&amp;[2]PROGRAMA!$B:$B,[2]PROGRAMA!D:D,0))</f>
        <v>14</v>
      </c>
      <c r="D24" s="68">
        <f>IFERROR(C24/$B24,0)</f>
        <v>0.21875</v>
      </c>
      <c r="E24" s="103" cm="1">
        <f t="array" ref="E24">IF(RIGHT($A24,2)="10",_xlfn.XLOOKUP("ENI"&amp;$A24,[1]PROGRAMA!$A:$A&amp;[1]PROGRAMA!$B:$B,[1]PROGRAMA!E:E,0),_xlfn.XLOOKUP("ENI"&amp;$A24,[2]PROGRAMA!$A:$A&amp;[2]PROGRAMA!$B:$B,[2]PROGRAMA!E:E,0))</f>
        <v>0</v>
      </c>
      <c r="F24" s="68">
        <f>IFERROR(E24/$B24,0)</f>
        <v>0</v>
      </c>
      <c r="G24" s="104">
        <f>B24-C24</f>
        <v>50</v>
      </c>
      <c r="H24" s="68">
        <f>IFERROR(G24/$B24,0)</f>
        <v>0.78125</v>
      </c>
      <c r="I24" s="128"/>
      <c r="J24" s="128"/>
      <c r="M24" s="98">
        <v>202210</v>
      </c>
      <c r="N24" s="103" cm="1">
        <f t="array" ref="N24">IF(RIGHT($A24,2)="10",_xlfn.XLOOKUP("ENI"&amp;$A24,'[1]PROGRAMA 123'!$A:$A&amp;'[1]PROGRAMA 123'!$B:$B,'[1]PROGRAMA 123'!C:C,0),_xlfn.XLOOKUP("ENI"&amp;$A24,'[2]PROGRAMA 123'!$A:$A&amp;'[2]PROGRAMA 123'!$B:$B,'[2]PROGRAMA 123'!C:C,0))</f>
        <v>40</v>
      </c>
      <c r="O24" s="103" cm="1">
        <f t="array" ref="O24">IF(RIGHT($A24,2)="10",_xlfn.XLOOKUP("ENI"&amp;$A24,'[1]PROGRAMA 123'!$A:$A&amp;'[1]PROGRAMA 123'!$B:$B,'[1]PROGRAMA 123'!D:D,0),_xlfn.XLOOKUP("ENI"&amp;$A24,'[2]PROGRAMA 123'!$A:$A&amp;'[2]PROGRAMA 123'!$B:$B,'[2]PROGRAMA 123'!D:D,0))</f>
        <v>6</v>
      </c>
      <c r="P24" s="68">
        <f>IFERROR(O24/$N24,0)</f>
        <v>0.15</v>
      </c>
      <c r="Q24" s="103" cm="1">
        <f t="array" ref="Q24">IF(RIGHT($A24,2)="10",_xlfn.XLOOKUP("ENI"&amp;$A24,'[1]PROGRAMA 123'!$A:$A&amp;'[1]PROGRAMA 123'!$B:$B,'[1]PROGRAMA 123'!E:E,0),_xlfn.XLOOKUP("ENI"&amp;$A24,'[2]PROGRAMA 123'!$A:$A&amp;'[2]PROGRAMA 123'!$B:$B,'[2]PROGRAMA 123'!E:E,0))</f>
        <v>0</v>
      </c>
      <c r="R24" s="68">
        <f>IFERROR(Q24/$N24,0)</f>
        <v>0</v>
      </c>
      <c r="S24" s="104">
        <f>N24-O24</f>
        <v>34</v>
      </c>
      <c r="T24" s="68">
        <f>IFERROR(S24/$N24,0)</f>
        <v>0.85</v>
      </c>
    </row>
    <row r="25" spans="1:23" ht="13.5" customHeight="1">
      <c r="A25" s="98">
        <v>202220</v>
      </c>
      <c r="B25" s="103" cm="1">
        <f t="array" ref="B25">IF(RIGHT($A25,2)="10",_xlfn.XLOOKUP("ENI"&amp;$A25,[1]PROGRAMA!$A:$A&amp;[1]PROGRAMA!$B:$B,[1]PROGRAMA!C:C,0),_xlfn.XLOOKUP("ENI"&amp;$A25,[2]PROGRAMA!$A:$A&amp;[2]PROGRAMA!$B:$B,[2]PROGRAMA!C:C,0))</f>
        <v>59</v>
      </c>
      <c r="C25" s="103" cm="1">
        <f t="array" ref="C25">IF(RIGHT($A25,2)="10",_xlfn.XLOOKUP("ENI"&amp;$A25,[1]PROGRAMA!$A:$A&amp;[1]PROGRAMA!$B:$B,[1]PROGRAMA!D:D,0),_xlfn.XLOOKUP("ENI"&amp;$A25,[2]PROGRAMA!$A:$A&amp;[2]PROGRAMA!$B:$B,[2]PROGRAMA!D:D,0))</f>
        <v>11</v>
      </c>
      <c r="D25" s="68">
        <f>IFERROR(C25/$B25,0)</f>
        <v>0.1864406779661017</v>
      </c>
      <c r="E25" s="103" cm="1">
        <f t="array" ref="E25">IF(RIGHT($A25,2)="10",_xlfn.XLOOKUP("ENI"&amp;$A25,[1]PROGRAMA!$A:$A&amp;[1]PROGRAMA!$B:$B,[1]PROGRAMA!E:E,0),_xlfn.XLOOKUP("ENI"&amp;$A25,[2]PROGRAMA!$A:$A&amp;[2]PROGRAMA!$B:$B,[2]PROGRAMA!E:E,0))</f>
        <v>0</v>
      </c>
      <c r="F25" s="68">
        <f>IFERROR(E25/$B25,0)</f>
        <v>0</v>
      </c>
      <c r="G25" s="104">
        <f>B25-C25</f>
        <v>48</v>
      </c>
      <c r="H25" s="68">
        <f>IFERROR(G25/$B25,0)</f>
        <v>0.81355932203389836</v>
      </c>
      <c r="I25" s="128"/>
      <c r="J25" s="128"/>
      <c r="M25" s="98">
        <v>202220</v>
      </c>
      <c r="N25" s="103" cm="1">
        <f t="array" ref="N25">IF(RIGHT($A25,2)="10",_xlfn.XLOOKUP("ENI"&amp;$A25,'[1]PROGRAMA 123'!$A:$A&amp;'[1]PROGRAMA 123'!$B:$B,'[1]PROGRAMA 123'!C:C,0),_xlfn.XLOOKUP("ENI"&amp;$A25,'[2]PROGRAMA 123'!$A:$A&amp;'[2]PROGRAMA 123'!$B:$B,'[2]PROGRAMA 123'!C:C,0))</f>
        <v>43</v>
      </c>
      <c r="O25" s="103" cm="1">
        <f t="array" ref="O25">IF(RIGHT($A25,2)="10",_xlfn.XLOOKUP("ENI"&amp;$A25,'[1]PROGRAMA 123'!$A:$A&amp;'[1]PROGRAMA 123'!$B:$B,'[1]PROGRAMA 123'!D:D,0),_xlfn.XLOOKUP("ENI"&amp;$A25,'[2]PROGRAMA 123'!$A:$A&amp;'[2]PROGRAMA 123'!$B:$B,'[2]PROGRAMA 123'!D:D,0))</f>
        <v>6</v>
      </c>
      <c r="P25" s="68">
        <f>IFERROR(O25/$N25,0)</f>
        <v>0.13953488372093023</v>
      </c>
      <c r="Q25" s="103" cm="1">
        <f t="array" ref="Q25">IF(RIGHT($A25,2)="10",_xlfn.XLOOKUP("ENI"&amp;$A25,'[1]PROGRAMA 123'!$A:$A&amp;'[1]PROGRAMA 123'!$B:$B,'[1]PROGRAMA 123'!E:E,0),_xlfn.XLOOKUP("ENI"&amp;$A25,'[2]PROGRAMA 123'!$A:$A&amp;'[2]PROGRAMA 123'!$B:$B,'[2]PROGRAMA 123'!E:E,0))</f>
        <v>0</v>
      </c>
      <c r="R25" s="68">
        <f>IFERROR(Q25/$N25,0)</f>
        <v>0</v>
      </c>
      <c r="S25" s="104">
        <f>N25-O25</f>
        <v>37</v>
      </c>
      <c r="T25" s="68">
        <f>IFERROR(S25/$N25,0)</f>
        <v>0.86046511627906974</v>
      </c>
    </row>
    <row r="26" spans="1:23" ht="13.5" customHeight="1">
      <c r="A26" s="98" t="s">
        <v>239</v>
      </c>
      <c r="B26" s="103">
        <v>41</v>
      </c>
      <c r="C26" s="103">
        <v>5</v>
      </c>
      <c r="D26" s="68">
        <f>IFERROR(C26/$B26,0)</f>
        <v>0.12195121951219512</v>
      </c>
      <c r="E26" s="103">
        <v>0</v>
      </c>
      <c r="F26" s="68">
        <f>IFERROR(E26/$B26,0)</f>
        <v>0</v>
      </c>
      <c r="G26" s="104">
        <v>36</v>
      </c>
      <c r="H26" s="68">
        <f>IFERROR(G26/$B26,0)</f>
        <v>0.87804878048780488</v>
      </c>
      <c r="I26" s="128"/>
      <c r="J26" s="128"/>
      <c r="M26" s="98" t="s">
        <v>239</v>
      </c>
      <c r="N26" s="103">
        <v>30</v>
      </c>
      <c r="O26" s="103">
        <v>4</v>
      </c>
      <c r="P26" s="68">
        <f>IFERROR(O26/$N26,0)</f>
        <v>0.13333333333333333</v>
      </c>
      <c r="Q26" s="103">
        <v>0</v>
      </c>
      <c r="R26" s="68">
        <f>IFERROR(Q26/$N26,0)</f>
        <v>0</v>
      </c>
      <c r="S26" s="104">
        <v>26</v>
      </c>
      <c r="T26" s="68">
        <f>IFERROR(S26/$N26,0)</f>
        <v>0.8666666666666667</v>
      </c>
    </row>
    <row r="28" spans="1:23" ht="41.25" hidden="1" customHeight="1">
      <c r="A28" s="221" t="s">
        <v>100</v>
      </c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M28" s="221" t="s">
        <v>114</v>
      </c>
      <c r="N28" s="220"/>
      <c r="O28" s="220"/>
      <c r="P28" s="220"/>
      <c r="Q28" s="220"/>
      <c r="R28" s="220"/>
      <c r="S28" s="220"/>
      <c r="T28" s="220"/>
      <c r="U28" s="220"/>
      <c r="V28" s="220"/>
      <c r="W28" s="220"/>
    </row>
    <row r="29" spans="1:23" ht="33" hidden="1" customHeight="1">
      <c r="A29" s="97" t="s">
        <v>117</v>
      </c>
      <c r="B29" s="97" t="s">
        <v>103</v>
      </c>
      <c r="C29" s="97" t="s">
        <v>104</v>
      </c>
      <c r="D29" s="97" t="s">
        <v>105</v>
      </c>
      <c r="E29" s="97" t="s">
        <v>106</v>
      </c>
      <c r="F29" s="97" t="s">
        <v>107</v>
      </c>
      <c r="G29" s="97" t="s">
        <v>108</v>
      </c>
      <c r="H29" s="90" t="s">
        <v>109</v>
      </c>
      <c r="I29" s="90" t="s">
        <v>110</v>
      </c>
      <c r="J29" s="90" t="str">
        <f>'1d. Retiro temprano.'!K30</f>
        <v>2023
212-221</v>
      </c>
      <c r="K29" s="90" t="str">
        <f>'1d. Retiro temprano.'!L30</f>
        <v>2024-1***
222</v>
      </c>
      <c r="M29" s="97" t="s">
        <v>117</v>
      </c>
      <c r="N29" s="97" t="s">
        <v>103</v>
      </c>
      <c r="O29" s="97" t="s">
        <v>104</v>
      </c>
      <c r="P29" s="97" t="s">
        <v>105</v>
      </c>
      <c r="Q29" s="97" t="s">
        <v>106</v>
      </c>
      <c r="R29" s="97" t="s">
        <v>107</v>
      </c>
      <c r="S29" s="97" t="s">
        <v>108</v>
      </c>
      <c r="T29" s="90" t="s">
        <v>109</v>
      </c>
      <c r="U29" s="90" t="s">
        <v>110</v>
      </c>
      <c r="V29" s="90" t="str">
        <f>J29</f>
        <v>2023
212-221</v>
      </c>
      <c r="W29" s="90" t="str">
        <f>K29</f>
        <v>2024-1***
222</v>
      </c>
    </row>
    <row r="30" spans="1:23" hidden="1">
      <c r="A30" s="37">
        <f>D6</f>
        <v>0.33695652173913043</v>
      </c>
      <c r="B30" s="37">
        <f>+((B7*D7)+(B8*D8))/(B7+B8)</f>
        <v>0.30531736526946107</v>
      </c>
      <c r="C30" s="32">
        <f>((B9*D9)+(B10*D10))/(B9+B10)</f>
        <v>0.33046226415094337</v>
      </c>
      <c r="D30" s="32">
        <f>+((B11*D11)+(B12*D12))/(B11+B12)</f>
        <v>0.25114155251141551</v>
      </c>
      <c r="E30" s="32">
        <f>((B13*D13)+(B14*D14))/(B13+B14)</f>
        <v>0.28176795580110497</v>
      </c>
      <c r="F30" s="32">
        <f>((B15*D15)+(B16*D16))/(B15+B16)</f>
        <v>0.18699186991869918</v>
      </c>
      <c r="G30" s="32">
        <f>((B17*D17)+(B18*D18))/(B17+B18)</f>
        <v>0.23469387755102042</v>
      </c>
      <c r="H30" s="32">
        <f>((B19*D19)+(B20*D20))/(B19+B20)</f>
        <v>0.22123893805309736</v>
      </c>
      <c r="I30" s="32">
        <f>((B21*D21)+(B22*D22))/(B21+B22)</f>
        <v>0.11881188118811878</v>
      </c>
      <c r="J30" s="32">
        <f>(C23+C24)/(B23+B24)</f>
        <v>0.22641509433962265</v>
      </c>
      <c r="K30" s="32">
        <f>D25</f>
        <v>0.1864406779661017</v>
      </c>
      <c r="M30" s="37">
        <f>P6</f>
        <v>0.34328358208955223</v>
      </c>
      <c r="N30" s="37">
        <f>+((N7*P7)+(N8*P8))/(N7+N8)</f>
        <v>0.26975280898876403</v>
      </c>
      <c r="O30" s="32">
        <f>((N9*P9)+(N10*P10))/(N9+N10)</f>
        <v>0.33351162790697669</v>
      </c>
      <c r="P30" s="32">
        <f>+((N11*P11)+(N12*P12))/(N11+N12)</f>
        <v>0.21276595744680851</v>
      </c>
      <c r="Q30" s="32">
        <f>((N13*P13)+(N14*P14))/(N13+N14)</f>
        <v>0.31775700934579437</v>
      </c>
      <c r="R30" s="32">
        <f>((N15*P15)+(N16*P16))/(N15+N16)</f>
        <v>0.21212121212121213</v>
      </c>
      <c r="S30" s="32">
        <f>((N17*P17)+(N18*P18))/(N17+N18)</f>
        <v>0.18</v>
      </c>
      <c r="T30" s="32">
        <f>((N19*P19)+(N20*P20))/(N19+N20)</f>
        <v>0.20370370370370366</v>
      </c>
      <c r="U30" s="32">
        <f>((N21*P21)+(N22*P22))/(N21+N22)</f>
        <v>0.1</v>
      </c>
      <c r="V30" s="32">
        <f>(O23+O24)/(N23+N24)</f>
        <v>0.14516129032258066</v>
      </c>
      <c r="W30" s="32">
        <f>P25</f>
        <v>0.13953488372093023</v>
      </c>
    </row>
    <row r="31" spans="1:23" hidden="1">
      <c r="A31" s="215" t="s">
        <v>118</v>
      </c>
      <c r="B31" s="215"/>
      <c r="C31" s="215"/>
      <c r="D31" s="215"/>
      <c r="E31" s="215"/>
      <c r="F31" s="215"/>
      <c r="G31" s="215"/>
      <c r="H31" s="215"/>
      <c r="I31" s="215"/>
      <c r="J31" s="215"/>
      <c r="K31" s="18"/>
      <c r="M31" s="215" t="s">
        <v>118</v>
      </c>
      <c r="N31" s="215"/>
      <c r="O31" s="215"/>
      <c r="P31" s="215"/>
      <c r="Q31" s="215"/>
      <c r="R31" s="215"/>
      <c r="S31" s="215"/>
      <c r="T31" s="215"/>
      <c r="U31" s="215"/>
      <c r="V31" s="215"/>
      <c r="W31" s="18"/>
    </row>
    <row r="32" spans="1:23" hidden="1">
      <c r="A32" s="206" t="s">
        <v>235</v>
      </c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M32" s="206" t="s">
        <v>235</v>
      </c>
      <c r="N32" s="206"/>
      <c r="O32" s="206"/>
      <c r="P32" s="206"/>
      <c r="Q32" s="206"/>
      <c r="R32" s="206"/>
      <c r="S32" s="206"/>
      <c r="T32" s="206"/>
      <c r="U32" s="206"/>
      <c r="V32" s="206"/>
      <c r="W32" s="206"/>
    </row>
  </sheetData>
  <mergeCells count="12">
    <mergeCell ref="A32:K32"/>
    <mergeCell ref="M31:V31"/>
    <mergeCell ref="M32:W32"/>
    <mergeCell ref="M1:T1"/>
    <mergeCell ref="A1:H1"/>
    <mergeCell ref="A3:H3"/>
    <mergeCell ref="M3:T3"/>
    <mergeCell ref="A2:H2"/>
    <mergeCell ref="M2:T2"/>
    <mergeCell ref="A31:J31"/>
    <mergeCell ref="M28:W28"/>
    <mergeCell ref="A28:K28"/>
  </mergeCells>
  <pageMargins left="0.7" right="0.7" top="0.75" bottom="0.75" header="0.3" footer="0.3"/>
  <pageSetup orientation="portrait" r:id="rId1"/>
  <ignoredErrors>
    <ignoredError sqref="E24:H25 Q24:T25" formula="1"/>
    <ignoredError sqref="A26 M2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W36"/>
  <sheetViews>
    <sheetView showGridLines="0" workbookViewId="0">
      <selection sqref="A1:H1"/>
    </sheetView>
  </sheetViews>
  <sheetFormatPr baseColWidth="10" defaultColWidth="11.44140625" defaultRowHeight="14.4"/>
  <cols>
    <col min="1" max="1" width="11.88671875" style="5" customWidth="1"/>
    <col min="2" max="8" width="10.44140625" style="7" customWidth="1"/>
    <col min="9" max="9" width="6.6640625" style="7" bestFit="1" customWidth="1"/>
    <col min="10" max="10" width="10.44140625" style="7" customWidth="1"/>
    <col min="11" max="11" width="7.5546875" style="7" bestFit="1" customWidth="1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08" t="s">
        <v>141</v>
      </c>
      <c r="B3" s="208"/>
      <c r="C3" s="208"/>
      <c r="D3" s="208"/>
      <c r="E3" s="208"/>
      <c r="F3" s="208"/>
      <c r="G3" s="208"/>
      <c r="H3" s="208"/>
      <c r="I3" s="188"/>
      <c r="J3" s="188"/>
      <c r="M3" s="208" t="s">
        <v>142</v>
      </c>
      <c r="N3" s="208"/>
      <c r="O3" s="208"/>
      <c r="P3" s="208"/>
      <c r="Q3" s="208"/>
      <c r="R3" s="208"/>
      <c r="S3" s="208"/>
      <c r="T3" s="208"/>
    </row>
    <row r="5" spans="1:20" ht="30.6">
      <c r="A5" s="60" t="s">
        <v>0</v>
      </c>
      <c r="B5" s="60" t="s">
        <v>1</v>
      </c>
      <c r="C5" s="60" t="s">
        <v>131</v>
      </c>
      <c r="D5" s="60" t="s">
        <v>132</v>
      </c>
      <c r="E5" s="60" t="s">
        <v>133</v>
      </c>
      <c r="F5" s="60" t="s">
        <v>134</v>
      </c>
      <c r="G5" s="60" t="s">
        <v>135</v>
      </c>
      <c r="H5" s="60" t="s">
        <v>136</v>
      </c>
      <c r="I5" s="136"/>
      <c r="J5" s="136"/>
      <c r="M5" s="56" t="s">
        <v>0</v>
      </c>
      <c r="N5" s="56" t="s">
        <v>1</v>
      </c>
      <c r="O5" s="56" t="s">
        <v>131</v>
      </c>
      <c r="P5" s="56" t="s">
        <v>132</v>
      </c>
      <c r="Q5" s="56" t="s">
        <v>133</v>
      </c>
      <c r="R5" s="56" t="s">
        <v>134</v>
      </c>
      <c r="S5" s="56" t="s">
        <v>135</v>
      </c>
      <c r="T5" s="56" t="s">
        <v>136</v>
      </c>
    </row>
    <row r="6" spans="1:20" ht="13.5" customHeight="1">
      <c r="A6" s="59">
        <v>201310</v>
      </c>
      <c r="B6" s="57">
        <v>44</v>
      </c>
      <c r="C6" s="57">
        <v>11</v>
      </c>
      <c r="D6" s="57">
        <v>0.25</v>
      </c>
      <c r="E6" s="57">
        <v>0</v>
      </c>
      <c r="F6" s="57">
        <v>0</v>
      </c>
      <c r="G6" s="57">
        <v>33</v>
      </c>
      <c r="H6" s="57">
        <v>0.75</v>
      </c>
      <c r="I6" s="33"/>
      <c r="J6" s="33"/>
      <c r="M6" s="96">
        <v>201310</v>
      </c>
      <c r="N6" s="57">
        <v>24</v>
      </c>
      <c r="O6" s="57">
        <v>3</v>
      </c>
      <c r="P6" s="58">
        <v>0.125</v>
      </c>
      <c r="Q6" s="57">
        <v>0</v>
      </c>
      <c r="R6" s="58">
        <v>0</v>
      </c>
      <c r="S6" s="57">
        <v>21</v>
      </c>
      <c r="T6" s="58">
        <v>0.875</v>
      </c>
    </row>
    <row r="7" spans="1:20" ht="13.5" customHeight="1">
      <c r="A7" s="59">
        <v>201320</v>
      </c>
      <c r="B7" s="57">
        <v>56</v>
      </c>
      <c r="C7" s="57">
        <v>15</v>
      </c>
      <c r="D7" s="76">
        <v>0.26785714285714285</v>
      </c>
      <c r="E7" s="57">
        <v>0</v>
      </c>
      <c r="F7" s="76">
        <v>0</v>
      </c>
      <c r="G7" s="59">
        <v>41</v>
      </c>
      <c r="H7" s="76">
        <v>0.7321428571428571</v>
      </c>
      <c r="I7" s="127"/>
      <c r="J7" s="127"/>
      <c r="M7" s="96">
        <v>201320</v>
      </c>
      <c r="N7" s="53">
        <v>25</v>
      </c>
      <c r="O7" s="53">
        <v>6</v>
      </c>
      <c r="P7" s="54">
        <v>0.24</v>
      </c>
      <c r="Q7" s="53">
        <v>0</v>
      </c>
      <c r="R7" s="54">
        <v>0</v>
      </c>
      <c r="S7" s="55">
        <v>19</v>
      </c>
      <c r="T7" s="54">
        <v>0.76</v>
      </c>
    </row>
    <row r="8" spans="1:20" ht="13.5" customHeight="1">
      <c r="A8" s="59">
        <v>201410</v>
      </c>
      <c r="B8" s="57">
        <v>36</v>
      </c>
      <c r="C8" s="57">
        <v>9</v>
      </c>
      <c r="D8" s="58">
        <v>0.25</v>
      </c>
      <c r="E8" s="57">
        <v>0</v>
      </c>
      <c r="F8" s="58">
        <v>0</v>
      </c>
      <c r="G8" s="57">
        <v>27</v>
      </c>
      <c r="H8" s="58">
        <v>0.75</v>
      </c>
      <c r="I8" s="125"/>
      <c r="J8" s="125"/>
      <c r="M8" s="96">
        <v>201410</v>
      </c>
      <c r="N8" s="53">
        <v>18</v>
      </c>
      <c r="O8" s="53">
        <v>5</v>
      </c>
      <c r="P8" s="54">
        <v>0.27800000000000002</v>
      </c>
      <c r="Q8" s="53">
        <v>0</v>
      </c>
      <c r="R8" s="54">
        <v>0</v>
      </c>
      <c r="S8" s="55">
        <v>13</v>
      </c>
      <c r="T8" s="54">
        <v>0.72199999999999998</v>
      </c>
    </row>
    <row r="9" spans="1:20" ht="13.5" customHeight="1">
      <c r="A9" s="59">
        <v>201420</v>
      </c>
      <c r="B9" s="53">
        <v>91</v>
      </c>
      <c r="C9" s="53">
        <v>31</v>
      </c>
      <c r="D9" s="54">
        <v>0.34100000000000003</v>
      </c>
      <c r="E9" s="53">
        <v>0</v>
      </c>
      <c r="F9" s="54">
        <v>0</v>
      </c>
      <c r="G9" s="55">
        <v>60</v>
      </c>
      <c r="H9" s="54">
        <v>0.65900000000000003</v>
      </c>
      <c r="I9" s="23"/>
      <c r="J9" s="23"/>
      <c r="M9" s="96">
        <v>201420</v>
      </c>
      <c r="N9" s="53">
        <v>26</v>
      </c>
      <c r="O9" s="53">
        <v>7</v>
      </c>
      <c r="P9" s="54">
        <v>0.26900000000000002</v>
      </c>
      <c r="Q9" s="53">
        <v>0</v>
      </c>
      <c r="R9" s="54">
        <v>0</v>
      </c>
      <c r="S9" s="55">
        <v>19</v>
      </c>
      <c r="T9" s="54">
        <v>0.73099999999999998</v>
      </c>
    </row>
    <row r="10" spans="1:20" ht="13.5" customHeight="1">
      <c r="A10" s="59">
        <v>201510</v>
      </c>
      <c r="B10" s="53">
        <v>50</v>
      </c>
      <c r="C10" s="53">
        <v>11</v>
      </c>
      <c r="D10" s="54">
        <v>0.22</v>
      </c>
      <c r="E10" s="53">
        <v>0</v>
      </c>
      <c r="F10" s="54">
        <v>0</v>
      </c>
      <c r="G10" s="55">
        <v>39</v>
      </c>
      <c r="H10" s="54">
        <v>0.78</v>
      </c>
      <c r="I10" s="23"/>
      <c r="J10" s="23"/>
      <c r="M10" s="96">
        <v>201510</v>
      </c>
      <c r="N10" s="53">
        <v>26</v>
      </c>
      <c r="O10" s="53">
        <v>6</v>
      </c>
      <c r="P10" s="54">
        <v>0.23100000000000001</v>
      </c>
      <c r="Q10" s="53">
        <v>0</v>
      </c>
      <c r="R10" s="54">
        <v>0</v>
      </c>
      <c r="S10" s="55">
        <v>20</v>
      </c>
      <c r="T10" s="54">
        <v>0.76900000000000002</v>
      </c>
    </row>
    <row r="11" spans="1:20" ht="13.5" customHeight="1">
      <c r="A11" s="59">
        <v>201520</v>
      </c>
      <c r="B11" s="53">
        <v>41</v>
      </c>
      <c r="C11" s="53">
        <v>6</v>
      </c>
      <c r="D11" s="54">
        <v>0.14634146341463414</v>
      </c>
      <c r="E11" s="53">
        <v>0</v>
      </c>
      <c r="F11" s="54">
        <v>0</v>
      </c>
      <c r="G11" s="55">
        <v>35</v>
      </c>
      <c r="H11" s="54">
        <v>0.85365853658536583</v>
      </c>
      <c r="I11" s="23"/>
      <c r="J11" s="23"/>
      <c r="M11" s="96">
        <v>201520</v>
      </c>
      <c r="N11" s="53">
        <v>16</v>
      </c>
      <c r="O11" s="53">
        <v>1</v>
      </c>
      <c r="P11" s="54">
        <v>6.25E-2</v>
      </c>
      <c r="Q11" s="53">
        <v>0</v>
      </c>
      <c r="R11" s="54">
        <v>0</v>
      </c>
      <c r="S11" s="55">
        <v>15</v>
      </c>
      <c r="T11" s="54">
        <v>0.9375</v>
      </c>
    </row>
    <row r="12" spans="1:20" ht="13.5" customHeight="1">
      <c r="A12" s="59">
        <v>201610</v>
      </c>
      <c r="B12" s="53">
        <v>51</v>
      </c>
      <c r="C12" s="53">
        <v>12</v>
      </c>
      <c r="D12" s="54">
        <v>0.23529411764705882</v>
      </c>
      <c r="E12" s="53">
        <v>0</v>
      </c>
      <c r="F12" s="54">
        <v>0</v>
      </c>
      <c r="G12" s="55">
        <v>39</v>
      </c>
      <c r="H12" s="54">
        <v>0.76470588235294112</v>
      </c>
      <c r="I12" s="23"/>
      <c r="J12" s="23"/>
      <c r="M12" s="96">
        <v>201610</v>
      </c>
      <c r="N12" s="53">
        <v>29</v>
      </c>
      <c r="O12" s="53">
        <v>7</v>
      </c>
      <c r="P12" s="54">
        <v>0.2413793103448276</v>
      </c>
      <c r="Q12" s="53">
        <v>0</v>
      </c>
      <c r="R12" s="54">
        <v>0</v>
      </c>
      <c r="S12" s="55">
        <v>22</v>
      </c>
      <c r="T12" s="54">
        <v>0.75862068965517238</v>
      </c>
    </row>
    <row r="13" spans="1:20" ht="13.5" customHeight="1">
      <c r="A13" s="59">
        <v>201620</v>
      </c>
      <c r="B13" s="57">
        <v>88</v>
      </c>
      <c r="C13" s="57">
        <v>9</v>
      </c>
      <c r="D13" s="58">
        <v>0.10227272727272728</v>
      </c>
      <c r="E13" s="57">
        <v>1</v>
      </c>
      <c r="F13" s="58">
        <v>1.1363636363636364E-2</v>
      </c>
      <c r="G13" s="57">
        <v>78</v>
      </c>
      <c r="H13" s="58">
        <v>0.88636363636363635</v>
      </c>
      <c r="I13" s="125"/>
      <c r="J13" s="125"/>
      <c r="M13" s="96">
        <v>201620</v>
      </c>
      <c r="N13" s="57">
        <v>23</v>
      </c>
      <c r="O13" s="57">
        <v>3</v>
      </c>
      <c r="P13" s="58">
        <v>0.13043478260869565</v>
      </c>
      <c r="Q13" s="57">
        <v>0</v>
      </c>
      <c r="R13" s="58">
        <v>0</v>
      </c>
      <c r="S13" s="57">
        <v>20</v>
      </c>
      <c r="T13" s="58">
        <v>0.86956521739130432</v>
      </c>
    </row>
    <row r="14" spans="1:20" ht="13.5" customHeight="1">
      <c r="A14" s="59">
        <v>201710</v>
      </c>
      <c r="B14" s="53">
        <v>44</v>
      </c>
      <c r="C14" s="53">
        <v>9</v>
      </c>
      <c r="D14" s="54">
        <v>0.20454545454545456</v>
      </c>
      <c r="E14" s="53">
        <v>0</v>
      </c>
      <c r="F14" s="54">
        <v>0</v>
      </c>
      <c r="G14" s="55">
        <v>35</v>
      </c>
      <c r="H14" s="54">
        <v>0.79545454545454541</v>
      </c>
      <c r="I14" s="23"/>
      <c r="J14" s="23"/>
      <c r="M14" s="96">
        <v>201710</v>
      </c>
      <c r="N14" s="53">
        <v>22</v>
      </c>
      <c r="O14" s="53">
        <v>4</v>
      </c>
      <c r="P14" s="54">
        <v>0.18181818181818182</v>
      </c>
      <c r="Q14" s="53">
        <v>0</v>
      </c>
      <c r="R14" s="54">
        <v>0</v>
      </c>
      <c r="S14" s="55">
        <v>18</v>
      </c>
      <c r="T14" s="54">
        <v>0.81818181818181823</v>
      </c>
    </row>
    <row r="15" spans="1:20" ht="13.5" customHeight="1">
      <c r="A15" s="59">
        <v>201720</v>
      </c>
      <c r="B15" s="53">
        <v>65</v>
      </c>
      <c r="C15" s="53">
        <v>10</v>
      </c>
      <c r="D15" s="54">
        <v>0.15384615384615385</v>
      </c>
      <c r="E15" s="53">
        <v>0</v>
      </c>
      <c r="F15" s="54">
        <v>0</v>
      </c>
      <c r="G15" s="55">
        <v>55</v>
      </c>
      <c r="H15" s="54">
        <v>0.84615384615384615</v>
      </c>
      <c r="I15" s="23"/>
      <c r="J15" s="23"/>
      <c r="M15" s="96">
        <v>201720</v>
      </c>
      <c r="N15" s="53">
        <v>21</v>
      </c>
      <c r="O15" s="53">
        <v>2</v>
      </c>
      <c r="P15" s="54">
        <v>9.5238095238095233E-2</v>
      </c>
      <c r="Q15" s="53">
        <v>0</v>
      </c>
      <c r="R15" s="54">
        <v>0</v>
      </c>
      <c r="S15" s="55">
        <v>19</v>
      </c>
      <c r="T15" s="54">
        <v>0.90476190476190477</v>
      </c>
    </row>
    <row r="16" spans="1:20" ht="13.5" customHeight="1">
      <c r="A16" s="59">
        <v>201810</v>
      </c>
      <c r="B16" s="53">
        <v>53</v>
      </c>
      <c r="C16" s="53">
        <v>9</v>
      </c>
      <c r="D16" s="54">
        <v>0.16981132075471697</v>
      </c>
      <c r="E16" s="53">
        <v>0</v>
      </c>
      <c r="F16" s="54">
        <v>0</v>
      </c>
      <c r="G16" s="55">
        <v>44</v>
      </c>
      <c r="H16" s="54">
        <v>0.83018867924528306</v>
      </c>
      <c r="I16" s="23"/>
      <c r="J16" s="23"/>
      <c r="M16" s="59">
        <v>201810</v>
      </c>
      <c r="N16" s="53">
        <v>22</v>
      </c>
      <c r="O16" s="53">
        <v>4</v>
      </c>
      <c r="P16" s="54">
        <v>0.18181818181818182</v>
      </c>
      <c r="Q16" s="53">
        <v>0</v>
      </c>
      <c r="R16" s="54">
        <v>0</v>
      </c>
      <c r="S16" s="55">
        <v>18</v>
      </c>
      <c r="T16" s="54">
        <v>0.81818181818181823</v>
      </c>
    </row>
    <row r="17" spans="1:23" ht="13.5" customHeight="1">
      <c r="A17" s="59">
        <v>201820</v>
      </c>
      <c r="B17" s="53">
        <v>58</v>
      </c>
      <c r="C17" s="53">
        <v>9</v>
      </c>
      <c r="D17" s="54">
        <v>0.15517241379310345</v>
      </c>
      <c r="E17" s="53">
        <v>0</v>
      </c>
      <c r="F17" s="54">
        <v>0</v>
      </c>
      <c r="G17" s="55">
        <v>49</v>
      </c>
      <c r="H17" s="54">
        <v>0.84482758620689657</v>
      </c>
      <c r="I17" s="23"/>
      <c r="J17" s="23"/>
      <c r="M17" s="112">
        <v>201820</v>
      </c>
      <c r="N17" s="53">
        <v>21</v>
      </c>
      <c r="O17" s="53">
        <v>5</v>
      </c>
      <c r="P17" s="54">
        <v>0.23809523809523808</v>
      </c>
      <c r="Q17" s="53">
        <v>0</v>
      </c>
      <c r="R17" s="54">
        <v>0</v>
      </c>
      <c r="S17" s="55">
        <v>16</v>
      </c>
      <c r="T17" s="54">
        <v>0.76190476190476186</v>
      </c>
    </row>
    <row r="18" spans="1:23" s="18" customFormat="1" ht="13.5" customHeight="1">
      <c r="A18" s="98">
        <v>201910</v>
      </c>
      <c r="B18" s="103">
        <v>56</v>
      </c>
      <c r="C18" s="103">
        <v>19</v>
      </c>
      <c r="D18" s="38">
        <v>0.3392857142857143</v>
      </c>
      <c r="E18" s="103">
        <v>0</v>
      </c>
      <c r="F18" s="38">
        <v>0</v>
      </c>
      <c r="G18" s="104">
        <v>37</v>
      </c>
      <c r="H18" s="38">
        <v>0.6607142857142857</v>
      </c>
      <c r="I18" s="128"/>
      <c r="J18" s="128"/>
      <c r="L18"/>
      <c r="M18" s="112">
        <v>201910</v>
      </c>
      <c r="N18" s="103">
        <v>18</v>
      </c>
      <c r="O18" s="103">
        <v>6</v>
      </c>
      <c r="P18" s="38">
        <v>0.33333333333333331</v>
      </c>
      <c r="Q18" s="103">
        <v>0</v>
      </c>
      <c r="R18" s="38">
        <v>0</v>
      </c>
      <c r="S18" s="104">
        <v>12</v>
      </c>
      <c r="T18" s="38">
        <v>0.66666666666666663</v>
      </c>
    </row>
    <row r="19" spans="1:23" s="18" customFormat="1" ht="13.5" customHeight="1">
      <c r="A19" s="98">
        <v>201920</v>
      </c>
      <c r="B19" s="103">
        <v>75</v>
      </c>
      <c r="C19" s="103">
        <v>12</v>
      </c>
      <c r="D19" s="38">
        <v>0.16</v>
      </c>
      <c r="E19" s="103">
        <v>0</v>
      </c>
      <c r="F19" s="38">
        <v>0</v>
      </c>
      <c r="G19" s="104">
        <v>63</v>
      </c>
      <c r="H19" s="38">
        <v>0.84</v>
      </c>
      <c r="I19" s="128"/>
      <c r="J19" s="128"/>
      <c r="L19"/>
      <c r="M19" s="112">
        <v>201920</v>
      </c>
      <c r="N19" s="103">
        <v>26</v>
      </c>
      <c r="O19" s="103">
        <v>4</v>
      </c>
      <c r="P19" s="38">
        <v>0.15384615384615391</v>
      </c>
      <c r="Q19" s="103">
        <v>0</v>
      </c>
      <c r="R19" s="38">
        <v>0</v>
      </c>
      <c r="S19" s="104">
        <v>22</v>
      </c>
      <c r="T19" s="38">
        <v>0.84615384615384615</v>
      </c>
    </row>
    <row r="20" spans="1:23" s="18" customFormat="1" ht="13.5" customHeight="1">
      <c r="A20" s="98">
        <v>202010</v>
      </c>
      <c r="B20" s="103">
        <v>54</v>
      </c>
      <c r="C20" s="103">
        <v>9</v>
      </c>
      <c r="D20" s="38">
        <v>0.16666666666666671</v>
      </c>
      <c r="E20" s="103">
        <v>0</v>
      </c>
      <c r="F20" s="38">
        <v>0</v>
      </c>
      <c r="G20" s="104">
        <v>45</v>
      </c>
      <c r="H20" s="38">
        <v>0.83333333333333337</v>
      </c>
      <c r="I20" s="128"/>
      <c r="J20" s="128"/>
      <c r="L20"/>
      <c r="M20" s="112">
        <v>202010</v>
      </c>
      <c r="N20" s="103">
        <v>19</v>
      </c>
      <c r="O20" s="103">
        <v>4</v>
      </c>
      <c r="P20" s="38">
        <v>0.2105263157894737</v>
      </c>
      <c r="Q20" s="103">
        <v>0</v>
      </c>
      <c r="R20" s="38">
        <v>0</v>
      </c>
      <c r="S20" s="104">
        <v>15</v>
      </c>
      <c r="T20" s="38">
        <v>0.78947368421052633</v>
      </c>
    </row>
    <row r="21" spans="1:23" s="18" customFormat="1" ht="13.5" customHeight="1">
      <c r="A21" s="98">
        <v>202020</v>
      </c>
      <c r="B21" s="103">
        <v>59</v>
      </c>
      <c r="C21" s="103">
        <v>8</v>
      </c>
      <c r="D21" s="38">
        <v>0.13559322033898305</v>
      </c>
      <c r="E21" s="163">
        <v>0</v>
      </c>
      <c r="F21" s="38">
        <v>0</v>
      </c>
      <c r="G21" s="104">
        <v>51</v>
      </c>
      <c r="H21" s="38">
        <v>0.86440677966101698</v>
      </c>
      <c r="I21" s="128"/>
      <c r="J21" s="128"/>
      <c r="L21"/>
      <c r="M21" s="112">
        <v>202020</v>
      </c>
      <c r="N21" s="103">
        <v>14</v>
      </c>
      <c r="O21" s="103">
        <v>2</v>
      </c>
      <c r="P21" s="38">
        <v>0.14285714285714285</v>
      </c>
      <c r="Q21" s="163">
        <v>0</v>
      </c>
      <c r="R21" s="38">
        <v>0</v>
      </c>
      <c r="S21" s="104">
        <v>12</v>
      </c>
      <c r="T21" s="38">
        <v>0.8571428571428571</v>
      </c>
    </row>
    <row r="22" spans="1:23" s="18" customFormat="1" ht="13.5" customHeight="1">
      <c r="A22" s="98">
        <v>202110</v>
      </c>
      <c r="B22" s="103">
        <v>48</v>
      </c>
      <c r="C22" s="103">
        <v>1</v>
      </c>
      <c r="D22" s="38">
        <v>2.0833333333333329E-2</v>
      </c>
      <c r="E22" s="163">
        <v>0</v>
      </c>
      <c r="F22" s="38">
        <v>0</v>
      </c>
      <c r="G22" s="104">
        <v>47</v>
      </c>
      <c r="H22" s="38">
        <v>0.97916666666666663</v>
      </c>
      <c r="I22" s="128"/>
      <c r="J22" s="128"/>
      <c r="L22"/>
      <c r="M22" s="112">
        <v>202110</v>
      </c>
      <c r="N22" s="103">
        <v>17</v>
      </c>
      <c r="O22" s="103">
        <v>1</v>
      </c>
      <c r="P22" s="38">
        <v>5.8823529411764712E-2</v>
      </c>
      <c r="Q22" s="163">
        <v>0</v>
      </c>
      <c r="R22" s="38">
        <v>0</v>
      </c>
      <c r="S22" s="104">
        <v>16</v>
      </c>
      <c r="T22" s="38">
        <v>0.94117647058823528</v>
      </c>
    </row>
    <row r="23" spans="1:23" s="18" customFormat="1" ht="13.5" customHeight="1">
      <c r="A23" s="98">
        <v>202120</v>
      </c>
      <c r="B23" s="103">
        <v>39</v>
      </c>
      <c r="C23" s="103">
        <v>6</v>
      </c>
      <c r="D23" s="38">
        <v>0.15384615384615391</v>
      </c>
      <c r="E23" s="163">
        <v>0</v>
      </c>
      <c r="F23" s="38">
        <v>0</v>
      </c>
      <c r="G23" s="104">
        <v>33</v>
      </c>
      <c r="H23" s="38">
        <v>0.84615384615384615</v>
      </c>
      <c r="I23" s="128"/>
      <c r="J23" s="128"/>
      <c r="L23"/>
      <c r="M23" s="112">
        <v>202120</v>
      </c>
      <c r="N23" s="103">
        <v>13</v>
      </c>
      <c r="O23" s="103">
        <v>2</v>
      </c>
      <c r="P23" s="38">
        <v>0.15384615384615391</v>
      </c>
      <c r="Q23" s="163">
        <v>0</v>
      </c>
      <c r="R23" s="38">
        <v>0</v>
      </c>
      <c r="S23" s="104">
        <v>11</v>
      </c>
      <c r="T23" s="38">
        <v>0.84615384615384615</v>
      </c>
    </row>
    <row r="24" spans="1:23" s="18" customFormat="1" ht="13.5" customHeight="1">
      <c r="A24" s="98">
        <v>202210</v>
      </c>
      <c r="B24" s="103" cm="1">
        <f t="array" ref="B24">IF(RIGHT($A24,2)="10",_xlfn.XLOOKUP("MIP"&amp;$A24,[1]PROGRAMA!$A:$A&amp;[1]PROGRAMA!$B:$B,[1]PROGRAMA!C:C,0),_xlfn.XLOOKUP("MIP"&amp;$A24,[2]PROGRAMA!$A:$A&amp;[2]PROGRAMA!$B:$B,[2]PROGRAMA!C:C,0))</f>
        <v>102</v>
      </c>
      <c r="C24" s="103" cm="1">
        <f t="array" ref="C24">IF(RIGHT($A24,2)="10",_xlfn.XLOOKUP("MIP"&amp;$A24,[1]PROGRAMA!$A:$A&amp;[1]PROGRAMA!$B:$B,[1]PROGRAMA!D:D,0),_xlfn.XLOOKUP("MIP"&amp;$A24,[2]PROGRAMA!$A:$A&amp;[2]PROGRAMA!$B:$B,[2]PROGRAMA!D:D,0))</f>
        <v>13</v>
      </c>
      <c r="D24" s="68">
        <f>IFERROR(C24/$B24,0)</f>
        <v>0.12745098039215685</v>
      </c>
      <c r="E24" s="103" cm="1">
        <f t="array" ref="E24">IF(RIGHT($A24,2)="10",_xlfn.XLOOKUP("MIP"&amp;$A24,[1]PROGRAMA!$A:$A&amp;[1]PROGRAMA!$B:$B,[1]PROGRAMA!E:E,0),_xlfn.XLOOKUP("MIP"&amp;$A24,[2]PROGRAMA!$A:$A&amp;[2]PROGRAMA!$B:$B,[2]PROGRAMA!E:E,0))</f>
        <v>0</v>
      </c>
      <c r="F24" s="68">
        <f>IFERROR(E24/$B24,0)</f>
        <v>0</v>
      </c>
      <c r="G24" s="104">
        <f>B24-C24</f>
        <v>89</v>
      </c>
      <c r="H24" s="68">
        <f>IFERROR(G24/$B24,0)</f>
        <v>0.87254901960784315</v>
      </c>
      <c r="I24" s="128"/>
      <c r="J24" s="128"/>
      <c r="K24" s="7"/>
      <c r="L24"/>
      <c r="M24" s="98">
        <v>202210</v>
      </c>
      <c r="N24" s="103" cm="1">
        <f t="array" ref="N24">IF(RIGHT($A24,2)="10",_xlfn.XLOOKUP("MIP"&amp;$A24,'[1]PROGRAMA 123'!$A:$A&amp;'[1]PROGRAMA 123'!$B:$B,'[1]PROGRAMA 123'!C:C,0),_xlfn.XLOOKUP("MIP"&amp;$A24,'[2]PROGRAMA 123'!$A:$A&amp;'[2]PROGRAMA 123'!$B:$B,'[2]PROGRAMA 123'!C:C,0))</f>
        <v>44</v>
      </c>
      <c r="O24" s="103" cm="1">
        <f t="array" ref="O24">IF(RIGHT($A24,2)="10",_xlfn.XLOOKUP("MIP"&amp;$A24,'[1]PROGRAMA 123'!$A:$A&amp;'[1]PROGRAMA 123'!$B:$B,'[1]PROGRAMA 123'!D:D,0),_xlfn.XLOOKUP("MIP"&amp;$A24,'[2]PROGRAMA 123'!$A:$A&amp;'[2]PROGRAMA 123'!$B:$B,'[2]PROGRAMA 123'!D:D,0))</f>
        <v>6</v>
      </c>
      <c r="P24" s="68">
        <f>IFERROR(O24/$N24,0)</f>
        <v>0.13636363636363635</v>
      </c>
      <c r="Q24" s="103" cm="1">
        <f t="array" ref="Q24">IF(RIGHT($A24,2)="10",_xlfn.XLOOKUP("MIP"&amp;$A24,'[1]PROGRAMA 123'!$A:$A&amp;'[1]PROGRAMA 123'!$B:$B,'[1]PROGRAMA 123'!E:E,0),_xlfn.XLOOKUP("MIP"&amp;$A24,'[2]PROGRAMA 123'!$A:$A&amp;'[2]PROGRAMA 123'!$B:$B,'[2]PROGRAMA 123'!E:E,0))</f>
        <v>0</v>
      </c>
      <c r="R24" s="68">
        <f>IFERROR(Q24/$N24,0)</f>
        <v>0</v>
      </c>
      <c r="S24" s="104">
        <f>N24-O24</f>
        <v>38</v>
      </c>
      <c r="T24" s="68">
        <f>IFERROR(S24/$N24,0)</f>
        <v>0.86363636363636365</v>
      </c>
    </row>
    <row r="25" spans="1:23" s="18" customFormat="1" ht="13.5" customHeight="1">
      <c r="A25" s="98">
        <v>202220</v>
      </c>
      <c r="B25" s="103" cm="1">
        <f t="array" ref="B25">IF(RIGHT($A25,2)="10",_xlfn.XLOOKUP("MIP"&amp;$A25,[1]PROGRAMA!$A:$A&amp;[1]PROGRAMA!$B:$B,[1]PROGRAMA!C:C,0),_xlfn.XLOOKUP("MIP"&amp;$A25,[2]PROGRAMA!$A:$A&amp;[2]PROGRAMA!$B:$B,[2]PROGRAMA!C:C,0))</f>
        <v>45</v>
      </c>
      <c r="C25" s="103" cm="1">
        <f t="array" ref="C25">IF(RIGHT($A25,2)="10",_xlfn.XLOOKUP("MIP"&amp;$A25,[1]PROGRAMA!$A:$A&amp;[1]PROGRAMA!$B:$B,[1]PROGRAMA!D:D,0),_xlfn.XLOOKUP("MIP"&amp;$A25,[2]PROGRAMA!$A:$A&amp;[2]PROGRAMA!$B:$B,[2]PROGRAMA!D:D,0))</f>
        <v>8</v>
      </c>
      <c r="D25" s="68">
        <f>IFERROR(C25/$B25,0)</f>
        <v>0.17777777777777778</v>
      </c>
      <c r="E25" s="103" cm="1">
        <f t="array" ref="E25">IF(RIGHT($A25,2)="10",_xlfn.XLOOKUP("MIP"&amp;$A25,[1]PROGRAMA!$A:$A&amp;[1]PROGRAMA!$B:$B,[1]PROGRAMA!E:E,0),_xlfn.XLOOKUP("MIP"&amp;$A25,[2]PROGRAMA!$A:$A&amp;[2]PROGRAMA!$B:$B,[2]PROGRAMA!E:E,0))</f>
        <v>0</v>
      </c>
      <c r="F25" s="68">
        <f>IFERROR(E25/$B25,0)</f>
        <v>0</v>
      </c>
      <c r="G25" s="104">
        <f>B25-C25</f>
        <v>37</v>
      </c>
      <c r="H25" s="68">
        <f>IFERROR(G25/$B25,0)</f>
        <v>0.82222222222222219</v>
      </c>
      <c r="I25" s="128"/>
      <c r="J25" s="128"/>
      <c r="K25" s="7"/>
      <c r="L25"/>
      <c r="M25" s="98">
        <v>202220</v>
      </c>
      <c r="N25" s="103" cm="1">
        <f t="array" ref="N25">IF(RIGHT($A25,2)="10",_xlfn.XLOOKUP("MIP"&amp;$A25,'[1]PROGRAMA 123'!$A:$A&amp;'[1]PROGRAMA 123'!$B:$B,'[1]PROGRAMA 123'!C:C,0),_xlfn.XLOOKUP("MIP"&amp;$A25,'[2]PROGRAMA 123'!$A:$A&amp;'[2]PROGRAMA 123'!$B:$B,'[2]PROGRAMA 123'!C:C,0))</f>
        <v>18</v>
      </c>
      <c r="O25" s="103" cm="1">
        <f t="array" ref="O25">IF(RIGHT($A25,2)="10",_xlfn.XLOOKUP("MIP"&amp;$A25,'[1]PROGRAMA 123'!$A:$A&amp;'[1]PROGRAMA 123'!$B:$B,'[1]PROGRAMA 123'!D:D,0),_xlfn.XLOOKUP("MIP"&amp;$A25,'[2]PROGRAMA 123'!$A:$A&amp;'[2]PROGRAMA 123'!$B:$B,'[2]PROGRAMA 123'!D:D,0))</f>
        <v>5</v>
      </c>
      <c r="P25" s="68">
        <f>IFERROR(O25/$N25,0)</f>
        <v>0.27777777777777779</v>
      </c>
      <c r="Q25" s="103" cm="1">
        <f t="array" ref="Q25">IF(RIGHT($A25,2)="10",_xlfn.XLOOKUP("MIP"&amp;$A25,'[1]PROGRAMA 123'!$A:$A&amp;'[1]PROGRAMA 123'!$B:$B,'[1]PROGRAMA 123'!E:E,0),_xlfn.XLOOKUP("MIP"&amp;$A25,'[2]PROGRAMA 123'!$A:$A&amp;'[2]PROGRAMA 123'!$B:$B,'[2]PROGRAMA 123'!E:E,0))</f>
        <v>0</v>
      </c>
      <c r="R25" s="68">
        <f>IFERROR(Q25/$N25,0)</f>
        <v>0</v>
      </c>
      <c r="S25" s="104">
        <f>N25-O25</f>
        <v>13</v>
      </c>
      <c r="T25" s="68">
        <f>IFERROR(S25/$N25,0)</f>
        <v>0.72222222222222221</v>
      </c>
    </row>
    <row r="26" spans="1:23" s="18" customFormat="1" ht="13.5" customHeight="1">
      <c r="A26" s="98" t="s">
        <v>239</v>
      </c>
      <c r="B26" s="103">
        <v>58</v>
      </c>
      <c r="C26" s="103">
        <v>5</v>
      </c>
      <c r="D26" s="68">
        <f>IFERROR(C26/$B26,0)</f>
        <v>8.6206896551724144E-2</v>
      </c>
      <c r="E26" s="103">
        <v>0</v>
      </c>
      <c r="F26" s="68">
        <f>IFERROR(E26/$B26,0)</f>
        <v>0</v>
      </c>
      <c r="G26" s="104">
        <v>53</v>
      </c>
      <c r="H26" s="68">
        <f>IFERROR(G26/$B26,0)</f>
        <v>0.91379310344827591</v>
      </c>
      <c r="I26" s="128"/>
      <c r="J26" s="128"/>
      <c r="K26" s="7"/>
      <c r="L26"/>
      <c r="M26" s="98" t="s">
        <v>239</v>
      </c>
      <c r="N26" s="103">
        <v>26</v>
      </c>
      <c r="O26" s="103">
        <v>3</v>
      </c>
      <c r="P26" s="68">
        <f>IFERROR(O26/$N26,0)</f>
        <v>0.11538461538461539</v>
      </c>
      <c r="Q26" s="103">
        <v>0</v>
      </c>
      <c r="R26" s="68">
        <f>IFERROR(Q26/$N26,0)</f>
        <v>0</v>
      </c>
      <c r="S26" s="104">
        <v>23</v>
      </c>
      <c r="T26" s="68">
        <f>IFERROR(S26/$N26,0)</f>
        <v>0.88461538461538458</v>
      </c>
    </row>
    <row r="28" spans="1:23" ht="41.25" hidden="1" customHeight="1">
      <c r="A28" s="221" t="s">
        <v>100</v>
      </c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M28" s="221" t="s">
        <v>114</v>
      </c>
      <c r="N28" s="220"/>
      <c r="O28" s="220"/>
      <c r="P28" s="220"/>
      <c r="Q28" s="220"/>
      <c r="R28" s="220"/>
      <c r="S28" s="220"/>
      <c r="T28" s="220"/>
      <c r="U28" s="220"/>
      <c r="V28" s="220"/>
      <c r="W28" s="220"/>
    </row>
    <row r="29" spans="1:23" ht="33" hidden="1" customHeight="1">
      <c r="A29" s="90" t="s">
        <v>117</v>
      </c>
      <c r="B29" s="90" t="s">
        <v>103</v>
      </c>
      <c r="C29" s="90" t="s">
        <v>104</v>
      </c>
      <c r="D29" s="90" t="s">
        <v>105</v>
      </c>
      <c r="E29" s="90" t="s">
        <v>106</v>
      </c>
      <c r="F29" s="90" t="s">
        <v>107</v>
      </c>
      <c r="G29" s="90" t="s">
        <v>108</v>
      </c>
      <c r="H29" s="90" t="s">
        <v>109</v>
      </c>
      <c r="I29" s="90" t="s">
        <v>110</v>
      </c>
      <c r="J29" s="90" t="str">
        <f>'1d. Retiro temprano.'!K30</f>
        <v>2023
212-221</v>
      </c>
      <c r="K29" s="90" t="str">
        <f>'1d. Retiro temprano.'!L30</f>
        <v>2024-1***
222</v>
      </c>
      <c r="M29" s="90" t="s">
        <v>102</v>
      </c>
      <c r="N29" s="90" t="s">
        <v>103</v>
      </c>
      <c r="O29" s="90" t="s">
        <v>104</v>
      </c>
      <c r="P29" s="90" t="s">
        <v>105</v>
      </c>
      <c r="Q29" s="90" t="s">
        <v>106</v>
      </c>
      <c r="R29" s="90" t="s">
        <v>107</v>
      </c>
      <c r="S29" s="90" t="s">
        <v>108</v>
      </c>
      <c r="T29" s="90" t="s">
        <v>109</v>
      </c>
      <c r="U29" s="90" t="s">
        <v>110</v>
      </c>
      <c r="V29" s="90" t="str">
        <f>J29</f>
        <v>2023
212-221</v>
      </c>
      <c r="W29" s="90" t="str">
        <f>K29</f>
        <v>2024-1***
222</v>
      </c>
    </row>
    <row r="30" spans="1:23" hidden="1">
      <c r="A30" s="37">
        <f>D6</f>
        <v>0.25</v>
      </c>
      <c r="B30" s="37">
        <f>+((B7*D7)+(B8*D8))/(B7+B8)</f>
        <v>0.2608695652173913</v>
      </c>
      <c r="C30" s="32">
        <f>((B9*D9)+(B10*D10))/(B9+B10)</f>
        <v>0.29809219858156033</v>
      </c>
      <c r="D30" s="32">
        <f>+((B11*D11)+(B12*D12))/(B11+B12)</f>
        <v>0.19565217391304349</v>
      </c>
      <c r="E30" s="32">
        <f>((B13*D13)+(B14*D14))/(B13+B14)</f>
        <v>0.13636363636363635</v>
      </c>
      <c r="F30" s="32">
        <f>((B15*D15)+(B16*D16))/(B15+B16)</f>
        <v>0.16101694915254236</v>
      </c>
      <c r="G30" s="32">
        <f>((B17*D17)+(B18*D18))/(B17+B18)</f>
        <v>0.24561403508771928</v>
      </c>
      <c r="H30" s="32">
        <f>((B19*D19)+(B20*D20))/(B19+B20)</f>
        <v>0.16279069767441862</v>
      </c>
      <c r="I30" s="32">
        <f>((B21*D21)+(B22*D22))/(B21+B22)</f>
        <v>8.4112149532710276E-2</v>
      </c>
      <c r="J30" s="32">
        <f>(C23+C24)/(B23+B24)</f>
        <v>0.13475177304964539</v>
      </c>
      <c r="K30" s="32">
        <f>D25</f>
        <v>0.17777777777777778</v>
      </c>
      <c r="M30" s="37">
        <f>P6</f>
        <v>0.125</v>
      </c>
      <c r="N30" s="37">
        <f>+((N7*P7)+(N8*P8))/(N7+N8)</f>
        <v>0.25590697674418605</v>
      </c>
      <c r="O30" s="32">
        <f>((N9*P9)+(N10*P10))/(N9+N10)</f>
        <v>0.25</v>
      </c>
      <c r="P30" s="32">
        <f>+((N11*P11)+(N12*P12))/(N11+N12)</f>
        <v>0.17777777777777778</v>
      </c>
      <c r="Q30" s="32">
        <f>((N13*P13)+(N14*P14))/(N13+N14)</f>
        <v>0.15555555555555556</v>
      </c>
      <c r="R30" s="32">
        <f>((N15*P15)+(N16*P16))/(N15+N16)</f>
        <v>0.13953488372093023</v>
      </c>
      <c r="S30" s="32">
        <f>((N17*P17)+(N18*P18))/(N17+N18)</f>
        <v>0.28205128205128205</v>
      </c>
      <c r="T30" s="32">
        <f>((N19*P19)+(N20*P20))/(N19+N20)</f>
        <v>0.17777777777777781</v>
      </c>
      <c r="U30" s="32">
        <f>((N21*P21)+(N22*P22))/(N21+N22)</f>
        <v>9.6774193548387094E-2</v>
      </c>
      <c r="V30" s="32">
        <f>(O23+O24)/(N23+N24)</f>
        <v>0.14035087719298245</v>
      </c>
      <c r="W30" s="32">
        <f>P25</f>
        <v>0.27777777777777779</v>
      </c>
    </row>
    <row r="31" spans="1:23" ht="15" hidden="1" customHeight="1">
      <c r="A31" s="227" t="s">
        <v>118</v>
      </c>
      <c r="B31" s="227"/>
      <c r="C31" s="227"/>
      <c r="D31" s="227"/>
      <c r="E31" s="227"/>
      <c r="F31" s="227"/>
      <c r="G31" s="227"/>
      <c r="H31" s="227"/>
      <c r="I31" s="227"/>
      <c r="J31" s="227"/>
      <c r="K31" s="18"/>
      <c r="M31" s="215" t="s">
        <v>118</v>
      </c>
      <c r="N31" s="215"/>
      <c r="O31" s="215"/>
      <c r="P31" s="215"/>
      <c r="Q31" s="215"/>
      <c r="R31" s="215"/>
      <c r="S31" s="215"/>
      <c r="T31" s="215"/>
      <c r="U31" s="215"/>
      <c r="V31" s="215"/>
      <c r="W31" s="18"/>
    </row>
    <row r="32" spans="1:23" hidden="1">
      <c r="A32" s="206" t="s">
        <v>235</v>
      </c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M32" s="206" t="s">
        <v>235</v>
      </c>
      <c r="N32" s="206"/>
      <c r="O32" s="206"/>
      <c r="P32" s="206"/>
      <c r="Q32" s="206"/>
      <c r="R32" s="206"/>
      <c r="S32" s="206"/>
      <c r="T32" s="206"/>
      <c r="U32" s="206"/>
      <c r="V32" s="206"/>
      <c r="W32" s="206"/>
    </row>
    <row r="36" spans="5:5">
      <c r="E36" s="157"/>
    </row>
  </sheetData>
  <mergeCells count="12">
    <mergeCell ref="A32:K32"/>
    <mergeCell ref="M31:V31"/>
    <mergeCell ref="M32:W32"/>
    <mergeCell ref="A1:H1"/>
    <mergeCell ref="A2:H2"/>
    <mergeCell ref="M2:T2"/>
    <mergeCell ref="A3:H3"/>
    <mergeCell ref="M3:T3"/>
    <mergeCell ref="M1:T1"/>
    <mergeCell ref="A31:J31"/>
    <mergeCell ref="A28:K28"/>
    <mergeCell ref="M28:W28"/>
  </mergeCells>
  <pageMargins left="0.7" right="0.7" top="0.75" bottom="0.75" header="0.3" footer="0.3"/>
  <pageSetup orientation="portrait" r:id="rId1"/>
  <ignoredErrors>
    <ignoredError sqref="M24:O25 Q24:Q25 S24:S25 E24:K25" formula="1"/>
    <ignoredError sqref="A26 M2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143</v>
      </c>
      <c r="B3" s="225"/>
      <c r="C3" s="225"/>
      <c r="D3" s="225"/>
      <c r="E3" s="225"/>
      <c r="F3" s="225"/>
      <c r="G3" s="225"/>
      <c r="H3" s="226"/>
      <c r="I3" s="188"/>
      <c r="J3" s="188"/>
      <c r="M3" s="224" t="s">
        <v>144</v>
      </c>
      <c r="N3" s="225"/>
      <c r="O3" s="225"/>
      <c r="P3" s="225"/>
      <c r="Q3" s="225"/>
      <c r="R3" s="225"/>
      <c r="S3" s="225"/>
      <c r="T3" s="226"/>
    </row>
    <row r="4" spans="1:20" ht="30.6">
      <c r="A4" s="100" t="s">
        <v>0</v>
      </c>
      <c r="B4" s="100" t="s">
        <v>1</v>
      </c>
      <c r="C4" s="100" t="s">
        <v>131</v>
      </c>
      <c r="D4" s="100" t="s">
        <v>132</v>
      </c>
      <c r="E4" s="100" t="s">
        <v>133</v>
      </c>
      <c r="F4" s="100" t="s">
        <v>134</v>
      </c>
      <c r="G4" s="100" t="s">
        <v>135</v>
      </c>
      <c r="H4" s="100" t="s">
        <v>136</v>
      </c>
      <c r="I4" s="147"/>
      <c r="J4" s="147"/>
      <c r="M4" s="100" t="s">
        <v>0</v>
      </c>
      <c r="N4" s="100" t="s">
        <v>1</v>
      </c>
      <c r="O4" s="100" t="s">
        <v>131</v>
      </c>
      <c r="P4" s="100" t="s">
        <v>132</v>
      </c>
      <c r="Q4" s="100" t="s">
        <v>133</v>
      </c>
      <c r="R4" s="100" t="s">
        <v>134</v>
      </c>
      <c r="S4" s="100" t="s">
        <v>135</v>
      </c>
      <c r="T4" s="100" t="s">
        <v>136</v>
      </c>
    </row>
    <row r="5" spans="1:20" ht="13.5" customHeight="1">
      <c r="A5" s="98">
        <v>201310</v>
      </c>
      <c r="B5" s="89">
        <v>11</v>
      </c>
      <c r="C5" s="89">
        <v>3</v>
      </c>
      <c r="D5" s="99">
        <v>0.27272727272727271</v>
      </c>
      <c r="E5" s="89">
        <v>0</v>
      </c>
      <c r="F5" s="99">
        <v>0</v>
      </c>
      <c r="G5" s="89">
        <v>8</v>
      </c>
      <c r="H5" s="99">
        <v>0.72727272727272729</v>
      </c>
      <c r="I5" s="133"/>
      <c r="J5" s="133"/>
      <c r="M5" s="104">
        <v>201310</v>
      </c>
      <c r="N5" s="89">
        <v>10</v>
      </c>
      <c r="O5" s="89">
        <v>2</v>
      </c>
      <c r="P5" s="99">
        <v>0.2</v>
      </c>
      <c r="Q5" s="89">
        <v>0</v>
      </c>
      <c r="R5" s="99">
        <v>0</v>
      </c>
      <c r="S5" s="89">
        <v>8</v>
      </c>
      <c r="T5" s="99">
        <v>0.8</v>
      </c>
    </row>
    <row r="6" spans="1:20" ht="13.5" customHeight="1">
      <c r="A6" s="98">
        <v>201320</v>
      </c>
      <c r="B6" s="89">
        <v>10</v>
      </c>
      <c r="C6" s="89">
        <v>3</v>
      </c>
      <c r="D6" s="102">
        <v>0.3</v>
      </c>
      <c r="E6" s="89">
        <v>0</v>
      </c>
      <c r="F6" s="102">
        <v>0</v>
      </c>
      <c r="G6" s="98">
        <v>7</v>
      </c>
      <c r="H6" s="102">
        <v>0.7</v>
      </c>
      <c r="I6" s="148"/>
      <c r="J6" s="148"/>
      <c r="M6" s="104">
        <v>201320</v>
      </c>
      <c r="N6" s="103">
        <v>7</v>
      </c>
      <c r="O6" s="103">
        <v>2</v>
      </c>
      <c r="P6" s="38">
        <v>0.2857142857142857</v>
      </c>
      <c r="Q6" s="103">
        <v>0</v>
      </c>
      <c r="R6" s="38">
        <v>0</v>
      </c>
      <c r="S6" s="104">
        <v>5</v>
      </c>
      <c r="T6" s="38">
        <v>0.7142857142857143</v>
      </c>
    </row>
    <row r="7" spans="1:20" ht="13.5" customHeight="1">
      <c r="A7" s="98">
        <v>201410</v>
      </c>
      <c r="B7" s="89">
        <v>16</v>
      </c>
      <c r="C7" s="89">
        <v>2</v>
      </c>
      <c r="D7" s="99">
        <v>0.125</v>
      </c>
      <c r="E7" s="89">
        <v>0</v>
      </c>
      <c r="F7" s="99">
        <v>0</v>
      </c>
      <c r="G7" s="89">
        <v>14</v>
      </c>
      <c r="H7" s="99">
        <v>0.875</v>
      </c>
      <c r="I7" s="133"/>
      <c r="J7" s="133"/>
      <c r="M7" s="104">
        <v>201410</v>
      </c>
      <c r="N7" s="103">
        <v>15</v>
      </c>
      <c r="O7" s="103">
        <v>2</v>
      </c>
      <c r="P7" s="38">
        <v>0.13300000000000001</v>
      </c>
      <c r="Q7" s="103">
        <v>0</v>
      </c>
      <c r="R7" s="38">
        <v>0</v>
      </c>
      <c r="S7" s="104">
        <v>13</v>
      </c>
      <c r="T7" s="38">
        <v>0.86699999999999999</v>
      </c>
    </row>
    <row r="8" spans="1:20" ht="13.5" customHeight="1">
      <c r="A8" s="98">
        <v>201420</v>
      </c>
      <c r="B8" s="103">
        <v>21</v>
      </c>
      <c r="C8" s="103">
        <v>4</v>
      </c>
      <c r="D8" s="38">
        <v>0.19</v>
      </c>
      <c r="E8" s="103">
        <v>0</v>
      </c>
      <c r="F8" s="38">
        <v>0</v>
      </c>
      <c r="G8" s="104">
        <v>17</v>
      </c>
      <c r="H8" s="38">
        <v>0.81</v>
      </c>
      <c r="I8" s="128"/>
      <c r="J8" s="128"/>
      <c r="M8" s="104">
        <v>201420</v>
      </c>
      <c r="N8" s="103">
        <v>14</v>
      </c>
      <c r="O8" s="103">
        <v>3</v>
      </c>
      <c r="P8" s="38">
        <v>0.214</v>
      </c>
      <c r="Q8" s="103">
        <v>0</v>
      </c>
      <c r="R8" s="38">
        <v>0</v>
      </c>
      <c r="S8" s="104">
        <v>11</v>
      </c>
      <c r="T8" s="38">
        <v>0.78600000000000003</v>
      </c>
    </row>
    <row r="9" spans="1:20" ht="13.5" customHeight="1">
      <c r="A9" s="98">
        <v>201510</v>
      </c>
      <c r="B9" s="103">
        <v>45</v>
      </c>
      <c r="C9" s="103">
        <v>8</v>
      </c>
      <c r="D9" s="38">
        <v>0.17799999999999999</v>
      </c>
      <c r="E9" s="103">
        <v>0</v>
      </c>
      <c r="F9" s="38">
        <v>0</v>
      </c>
      <c r="G9" s="104">
        <v>37</v>
      </c>
      <c r="H9" s="38">
        <v>0.82199999999999995</v>
      </c>
      <c r="I9" s="128"/>
      <c r="J9" s="128"/>
      <c r="M9" s="104">
        <v>201510</v>
      </c>
      <c r="N9" s="103">
        <v>42</v>
      </c>
      <c r="O9" s="103">
        <v>6</v>
      </c>
      <c r="P9" s="38">
        <v>0.14299999999999999</v>
      </c>
      <c r="Q9" s="103">
        <v>0</v>
      </c>
      <c r="R9" s="38">
        <v>0</v>
      </c>
      <c r="S9" s="104">
        <v>36</v>
      </c>
      <c r="T9" s="38">
        <v>0.85699999999999998</v>
      </c>
    </row>
    <row r="10" spans="1:20" ht="13.5" customHeight="1">
      <c r="A10" s="98">
        <v>201520</v>
      </c>
      <c r="B10" s="103">
        <v>11</v>
      </c>
      <c r="C10" s="103">
        <v>3</v>
      </c>
      <c r="D10" s="38">
        <v>0.27272727272727271</v>
      </c>
      <c r="E10" s="103">
        <v>0</v>
      </c>
      <c r="F10" s="38">
        <v>0</v>
      </c>
      <c r="G10" s="104">
        <v>8</v>
      </c>
      <c r="H10" s="38">
        <v>0.72727272727272729</v>
      </c>
      <c r="I10" s="128"/>
      <c r="J10" s="128"/>
      <c r="M10" s="104">
        <v>201520</v>
      </c>
      <c r="N10" s="103">
        <v>7</v>
      </c>
      <c r="O10" s="103">
        <v>3</v>
      </c>
      <c r="P10" s="38">
        <v>0.42857142857142855</v>
      </c>
      <c r="Q10" s="103">
        <v>0</v>
      </c>
      <c r="R10" s="38">
        <v>0</v>
      </c>
      <c r="S10" s="104">
        <v>4</v>
      </c>
      <c r="T10" s="38">
        <v>0.5714285714285714</v>
      </c>
    </row>
    <row r="11" spans="1:20" ht="13.5" customHeight="1">
      <c r="A11" s="98">
        <v>201610</v>
      </c>
      <c r="B11" s="103">
        <v>37</v>
      </c>
      <c r="C11" s="103">
        <v>6</v>
      </c>
      <c r="D11" s="38">
        <v>0.16216216216216217</v>
      </c>
      <c r="E11" s="103">
        <v>0</v>
      </c>
      <c r="F11" s="38">
        <v>0</v>
      </c>
      <c r="G11" s="104">
        <v>31</v>
      </c>
      <c r="H11" s="38">
        <v>0.83783783783783783</v>
      </c>
      <c r="I11" s="128"/>
      <c r="J11" s="128"/>
      <c r="M11" s="104">
        <v>201610</v>
      </c>
      <c r="N11" s="103">
        <v>36</v>
      </c>
      <c r="O11" s="103">
        <v>6</v>
      </c>
      <c r="P11" s="38">
        <v>0.16666666666666666</v>
      </c>
      <c r="Q11" s="103">
        <v>0</v>
      </c>
      <c r="R11" s="38">
        <v>0</v>
      </c>
      <c r="S11" s="104">
        <v>30</v>
      </c>
      <c r="T11" s="38">
        <v>0.83333333333333337</v>
      </c>
    </row>
    <row r="12" spans="1:20" ht="13.5" customHeight="1">
      <c r="A12" s="98">
        <v>201620</v>
      </c>
      <c r="B12" s="89">
        <v>10</v>
      </c>
      <c r="C12" s="89">
        <v>1</v>
      </c>
      <c r="D12" s="99">
        <v>0.1</v>
      </c>
      <c r="E12" s="89">
        <v>1</v>
      </c>
      <c r="F12" s="99">
        <v>0.1</v>
      </c>
      <c r="G12" s="89">
        <v>8</v>
      </c>
      <c r="H12" s="99">
        <v>0.8</v>
      </c>
      <c r="I12" s="133"/>
      <c r="J12" s="133"/>
      <c r="M12" s="104">
        <v>201620</v>
      </c>
      <c r="N12" s="89">
        <v>9</v>
      </c>
      <c r="O12" s="89">
        <v>1</v>
      </c>
      <c r="P12" s="99">
        <v>0.1111111111111111</v>
      </c>
      <c r="Q12" s="89">
        <v>1</v>
      </c>
      <c r="R12" s="99">
        <v>0.1111111111111111</v>
      </c>
      <c r="S12" s="89">
        <v>7</v>
      </c>
      <c r="T12" s="99">
        <v>0.77777777777777779</v>
      </c>
    </row>
    <row r="13" spans="1:20" ht="13.5" customHeight="1">
      <c r="A13" s="98">
        <v>201710</v>
      </c>
      <c r="B13" s="103">
        <v>24</v>
      </c>
      <c r="C13" s="103">
        <v>2</v>
      </c>
      <c r="D13" s="38">
        <v>8.3333333333333329E-2</v>
      </c>
      <c r="E13" s="103">
        <v>0</v>
      </c>
      <c r="F13" s="38">
        <v>0</v>
      </c>
      <c r="G13" s="104">
        <v>22</v>
      </c>
      <c r="H13" s="38">
        <v>0.91666666666666663</v>
      </c>
      <c r="I13" s="128"/>
      <c r="J13" s="128"/>
      <c r="M13" s="104">
        <v>201710</v>
      </c>
      <c r="N13" s="103">
        <v>22</v>
      </c>
      <c r="O13" s="103">
        <v>2</v>
      </c>
      <c r="P13" s="38">
        <v>9.0909090909090912E-2</v>
      </c>
      <c r="Q13" s="103">
        <v>0</v>
      </c>
      <c r="R13" s="38">
        <v>0</v>
      </c>
      <c r="S13" s="104">
        <v>20</v>
      </c>
      <c r="T13" s="38">
        <v>0.90909090909090906</v>
      </c>
    </row>
    <row r="14" spans="1:20" ht="13.5" customHeight="1">
      <c r="A14" s="98">
        <v>201720</v>
      </c>
      <c r="B14" s="103">
        <v>15</v>
      </c>
      <c r="C14" s="103">
        <v>4</v>
      </c>
      <c r="D14" s="38">
        <v>0.26666666666666666</v>
      </c>
      <c r="E14" s="103">
        <v>0</v>
      </c>
      <c r="F14" s="38">
        <v>0</v>
      </c>
      <c r="G14" s="104">
        <v>11</v>
      </c>
      <c r="H14" s="38">
        <v>0.73333333333333328</v>
      </c>
      <c r="I14" s="128"/>
      <c r="J14" s="128"/>
      <c r="M14" s="104">
        <v>201720</v>
      </c>
      <c r="N14" s="103">
        <v>8</v>
      </c>
      <c r="O14" s="103">
        <v>2</v>
      </c>
      <c r="P14" s="38">
        <v>0.25</v>
      </c>
      <c r="Q14" s="103">
        <v>0</v>
      </c>
      <c r="R14" s="38">
        <v>0</v>
      </c>
      <c r="S14" s="104">
        <v>6</v>
      </c>
      <c r="T14" s="38">
        <v>0.75</v>
      </c>
    </row>
    <row r="15" spans="1:20" ht="13.5" customHeight="1">
      <c r="A15" s="98">
        <v>201810</v>
      </c>
      <c r="B15" s="103">
        <v>14</v>
      </c>
      <c r="C15" s="103">
        <v>2</v>
      </c>
      <c r="D15" s="38">
        <v>0.14285714285714285</v>
      </c>
      <c r="E15" s="103">
        <v>0</v>
      </c>
      <c r="F15" s="38">
        <v>0</v>
      </c>
      <c r="G15" s="104">
        <v>12</v>
      </c>
      <c r="H15" s="38">
        <v>0.8571428571428571</v>
      </c>
      <c r="I15" s="128"/>
      <c r="J15" s="128"/>
      <c r="M15" s="104">
        <v>201810</v>
      </c>
      <c r="N15" s="103">
        <v>12</v>
      </c>
      <c r="O15" s="103">
        <v>2</v>
      </c>
      <c r="P15" s="38">
        <v>0.16666666666666666</v>
      </c>
      <c r="Q15" s="103">
        <v>0</v>
      </c>
      <c r="R15" s="38">
        <v>0</v>
      </c>
      <c r="S15" s="104">
        <v>10</v>
      </c>
      <c r="T15" s="38">
        <v>0.83333333333333337</v>
      </c>
    </row>
    <row r="16" spans="1:20" ht="13.5" customHeight="1">
      <c r="A16" s="98">
        <v>201820</v>
      </c>
      <c r="B16" s="103">
        <v>12</v>
      </c>
      <c r="C16" s="103">
        <v>0</v>
      </c>
      <c r="D16" s="38">
        <v>0</v>
      </c>
      <c r="E16" s="103">
        <v>0</v>
      </c>
      <c r="F16" s="38">
        <v>0</v>
      </c>
      <c r="G16" s="104">
        <v>12</v>
      </c>
      <c r="H16" s="38">
        <v>1</v>
      </c>
      <c r="I16" s="128"/>
      <c r="J16" s="128"/>
      <c r="M16" s="98">
        <v>201820</v>
      </c>
      <c r="N16" s="103">
        <v>11</v>
      </c>
      <c r="O16" s="103">
        <v>0</v>
      </c>
      <c r="P16" s="38">
        <v>0</v>
      </c>
      <c r="Q16" s="103">
        <v>0</v>
      </c>
      <c r="R16" s="38">
        <v>0</v>
      </c>
      <c r="S16" s="104">
        <v>11</v>
      </c>
      <c r="T16" s="38">
        <v>1</v>
      </c>
    </row>
    <row r="17" spans="1:23" s="18" customFormat="1" ht="13.5" customHeight="1">
      <c r="A17" s="98">
        <v>201910</v>
      </c>
      <c r="B17" s="103">
        <v>11</v>
      </c>
      <c r="C17" s="103">
        <v>1</v>
      </c>
      <c r="D17" s="38">
        <v>9.0909090909090912E-2</v>
      </c>
      <c r="E17" s="103">
        <v>0</v>
      </c>
      <c r="F17" s="38">
        <v>0</v>
      </c>
      <c r="G17" s="104">
        <v>10</v>
      </c>
      <c r="H17" s="38">
        <v>0.90909090909090906</v>
      </c>
      <c r="I17" s="128"/>
      <c r="J17" s="128"/>
      <c r="M17" s="98">
        <v>201910</v>
      </c>
      <c r="N17" s="103">
        <v>6</v>
      </c>
      <c r="O17" s="103">
        <v>0</v>
      </c>
      <c r="P17" s="38">
        <v>0</v>
      </c>
      <c r="Q17" s="103">
        <v>0</v>
      </c>
      <c r="R17" s="38">
        <v>0</v>
      </c>
      <c r="S17" s="104">
        <v>6</v>
      </c>
      <c r="T17" s="38">
        <v>1</v>
      </c>
    </row>
    <row r="18" spans="1:23" s="18" customFormat="1" ht="13.5" customHeight="1">
      <c r="A18" s="98">
        <v>201920</v>
      </c>
      <c r="B18" s="103">
        <v>7</v>
      </c>
      <c r="C18" s="103">
        <v>1</v>
      </c>
      <c r="D18" s="38">
        <v>0.14285714285714279</v>
      </c>
      <c r="E18" s="103">
        <v>0</v>
      </c>
      <c r="F18" s="38">
        <v>0</v>
      </c>
      <c r="G18" s="104">
        <v>6</v>
      </c>
      <c r="H18" s="38">
        <v>0.8571428571428571</v>
      </c>
      <c r="I18" s="128"/>
      <c r="J18" s="128"/>
      <c r="M18" s="98">
        <v>201920</v>
      </c>
      <c r="N18" s="103">
        <v>3</v>
      </c>
      <c r="O18" s="103">
        <v>1</v>
      </c>
      <c r="P18" s="38">
        <v>0.33333333333333331</v>
      </c>
      <c r="Q18" s="103">
        <v>0</v>
      </c>
      <c r="R18" s="38">
        <v>0</v>
      </c>
      <c r="S18" s="104">
        <v>2</v>
      </c>
      <c r="T18" s="38">
        <v>0.66666666666666663</v>
      </c>
    </row>
    <row r="19" spans="1:23" s="18" customFormat="1" ht="13.5" customHeight="1">
      <c r="A19" s="98">
        <v>202010</v>
      </c>
      <c r="B19" s="103">
        <v>10</v>
      </c>
      <c r="C19" s="103">
        <v>4</v>
      </c>
      <c r="D19" s="38">
        <v>0.4</v>
      </c>
      <c r="E19" s="103">
        <v>0</v>
      </c>
      <c r="F19" s="38">
        <v>0</v>
      </c>
      <c r="G19" s="104">
        <v>6</v>
      </c>
      <c r="H19" s="38">
        <v>0.6</v>
      </c>
      <c r="I19" s="128"/>
      <c r="J19" s="128"/>
      <c r="M19" s="98">
        <v>202010</v>
      </c>
      <c r="N19" s="103">
        <v>7</v>
      </c>
      <c r="O19" s="103">
        <v>2</v>
      </c>
      <c r="P19" s="38">
        <v>0.2857142857142857</v>
      </c>
      <c r="Q19" s="103">
        <v>0</v>
      </c>
      <c r="R19" s="38">
        <v>0</v>
      </c>
      <c r="S19" s="104">
        <v>5</v>
      </c>
      <c r="T19" s="38">
        <v>0.7142857142857143</v>
      </c>
    </row>
    <row r="20" spans="1:23" s="18" customFormat="1" ht="13.5" customHeight="1">
      <c r="A20" s="98">
        <v>202020</v>
      </c>
      <c r="B20" s="103">
        <v>6</v>
      </c>
      <c r="C20" s="103">
        <v>0</v>
      </c>
      <c r="D20" s="38">
        <v>0</v>
      </c>
      <c r="E20" s="103">
        <v>0</v>
      </c>
      <c r="F20" s="38">
        <v>0</v>
      </c>
      <c r="G20" s="104">
        <v>6</v>
      </c>
      <c r="H20" s="38">
        <v>1</v>
      </c>
      <c r="I20" s="128"/>
      <c r="J20" s="128"/>
      <c r="M20" s="98">
        <v>202020</v>
      </c>
      <c r="N20" s="103">
        <v>4</v>
      </c>
      <c r="O20" s="103">
        <v>0</v>
      </c>
      <c r="P20" s="38">
        <v>0</v>
      </c>
      <c r="Q20" s="103">
        <v>0</v>
      </c>
      <c r="R20" s="38">
        <v>0</v>
      </c>
      <c r="S20" s="104">
        <v>4</v>
      </c>
      <c r="T20" s="38">
        <v>1</v>
      </c>
    </row>
    <row r="21" spans="1:23" s="18" customFormat="1" ht="13.5" customHeight="1">
      <c r="A21" s="98">
        <v>202110</v>
      </c>
      <c r="B21" s="103">
        <v>7</v>
      </c>
      <c r="C21" s="103">
        <v>3</v>
      </c>
      <c r="D21" s="38">
        <v>0.42857142857142849</v>
      </c>
      <c r="E21" s="103">
        <v>0</v>
      </c>
      <c r="F21" s="38">
        <v>0</v>
      </c>
      <c r="G21" s="104">
        <v>4</v>
      </c>
      <c r="H21" s="38">
        <v>0.5714285714285714</v>
      </c>
      <c r="I21" s="128"/>
      <c r="J21" s="128"/>
      <c r="M21" s="98">
        <v>202110</v>
      </c>
      <c r="N21" s="103">
        <v>3</v>
      </c>
      <c r="O21" s="103">
        <v>1</v>
      </c>
      <c r="P21" s="38">
        <v>0.33333333333333331</v>
      </c>
      <c r="Q21" s="103">
        <v>0</v>
      </c>
      <c r="R21" s="38">
        <v>0</v>
      </c>
      <c r="S21" s="104">
        <v>2</v>
      </c>
      <c r="T21" s="38">
        <v>0.66666666666666663</v>
      </c>
    </row>
    <row r="22" spans="1:23" s="18" customFormat="1" ht="13.5" customHeight="1">
      <c r="A22" s="98">
        <v>202120</v>
      </c>
      <c r="B22" s="103">
        <v>5</v>
      </c>
      <c r="C22" s="103">
        <v>0</v>
      </c>
      <c r="D22" s="38">
        <v>0</v>
      </c>
      <c r="E22" s="103">
        <v>0</v>
      </c>
      <c r="F22" s="38">
        <v>0</v>
      </c>
      <c r="G22" s="104">
        <v>5</v>
      </c>
      <c r="H22" s="38">
        <v>1</v>
      </c>
      <c r="I22" s="128"/>
      <c r="J22" s="128"/>
      <c r="M22" s="98">
        <v>202120</v>
      </c>
      <c r="N22" s="103">
        <v>2</v>
      </c>
      <c r="O22" s="103">
        <v>0</v>
      </c>
      <c r="P22" s="38">
        <v>0</v>
      </c>
      <c r="Q22" s="103">
        <v>0</v>
      </c>
      <c r="R22" s="38">
        <v>0</v>
      </c>
      <c r="S22" s="104">
        <v>2</v>
      </c>
      <c r="T22" s="38">
        <v>1</v>
      </c>
    </row>
    <row r="23" spans="1:23" s="18" customFormat="1" ht="13.5" customHeight="1">
      <c r="A23" s="98">
        <v>202210</v>
      </c>
      <c r="B23" s="103" cm="1">
        <f t="array" ref="B23">IF(RIGHT($A23,2)="10",_xlfn.XLOOKUP("COF"&amp;$A23,[1]PROGRAMA!$A:$A&amp;[1]PROGRAMA!$B:$B,[1]PROGRAMA!C:C,0),_xlfn.XLOOKUP("COF"&amp;$A23,[2]PROGRAMA!$A:$A&amp;[2]PROGRAMA!$B:$B,[2]PROGRAMA!C:C,0))</f>
        <v>28</v>
      </c>
      <c r="C23" s="103" cm="1">
        <f t="array" ref="C23">IF(RIGHT($A23,2)="10",_xlfn.XLOOKUP("COF"&amp;$A23,[1]PROGRAMA!$A:$A&amp;[1]PROGRAMA!$B:$B,[1]PROGRAMA!D:D,0),_xlfn.XLOOKUP("COF"&amp;$A23,[2]PROGRAMA!$A:$A&amp;[2]PROGRAMA!$B:$B,[2]PROGRAMA!D:D,0))</f>
        <v>4</v>
      </c>
      <c r="D23" s="68">
        <f>IFERROR(C23/$B23,0)</f>
        <v>0.14285714285714285</v>
      </c>
      <c r="E23" s="103" cm="1">
        <f t="array" ref="E23">IF(RIGHT($A23,2)="10",_xlfn.XLOOKUP("COF"&amp;$A23,[1]PROGRAMA!$A:$A&amp;[1]PROGRAMA!$B:$B,[1]PROGRAMA!E:E,0),_xlfn.XLOOKUP("COF"&amp;$A23,[2]PROGRAMA!$A:$A&amp;[2]PROGRAMA!$B:$B,[2]PROGRAMA!E:E,0))</f>
        <v>0</v>
      </c>
      <c r="F23" s="68">
        <f>IFERROR(E23/$B23,0)</f>
        <v>0</v>
      </c>
      <c r="G23" s="104">
        <f>B23-C23</f>
        <v>24</v>
      </c>
      <c r="H23" s="68">
        <f>IFERROR(G23/$B23,0)</f>
        <v>0.8571428571428571</v>
      </c>
      <c r="I23" s="128"/>
      <c r="J23" s="128"/>
      <c r="K23" s="7"/>
      <c r="L23" s="7"/>
      <c r="M23" s="98">
        <v>202210</v>
      </c>
      <c r="N23" s="103" cm="1">
        <f t="array" ref="N23">IF(RIGHT($A23,2)="10",_xlfn.XLOOKUP("COF"&amp;$A23,'[1]PROGRAMA 123'!$A:$A&amp;'[1]PROGRAMA 123'!$B:$B,'[1]PROGRAMA 123'!C:C,0),_xlfn.XLOOKUP("COF"&amp;$A23,'[2]PROGRAMA 123'!$A:$A&amp;'[2]PROGRAMA 123'!$B:$B,'[2]PROGRAMA 123'!C:C,0))</f>
        <v>24</v>
      </c>
      <c r="O23" s="103" cm="1">
        <f t="array" ref="O23">IF(RIGHT($A23,2)="10",_xlfn.XLOOKUP("COF"&amp;$A23,'[1]PROGRAMA 123'!$A:$A&amp;'[1]PROGRAMA 123'!$B:$B,'[1]PROGRAMA 123'!D:D,0),_xlfn.XLOOKUP("COF"&amp;$A23,'[2]PROGRAMA 123'!$A:$A&amp;'[2]PROGRAMA 123'!$B:$B,'[2]PROGRAMA 123'!D:D,0))</f>
        <v>3</v>
      </c>
      <c r="P23" s="68">
        <f>IFERROR(O23/$N23,0)</f>
        <v>0.125</v>
      </c>
      <c r="Q23" s="103" cm="1">
        <f t="array" ref="Q23">IF(RIGHT($A23,2)="10",_xlfn.XLOOKUP("COF"&amp;$A23,'[1]PROGRAMA 123'!$A:$A&amp;'[1]PROGRAMA 123'!$B:$B,'[1]PROGRAMA 123'!E:E,0),_xlfn.XLOOKUP("COF"&amp;$A23,'[2]PROGRAMA 123'!$A:$A&amp;'[2]PROGRAMA 123'!$B:$B,'[2]PROGRAMA 123'!E:E,0))</f>
        <v>0</v>
      </c>
      <c r="R23" s="68">
        <f>IFERROR(Q23/$N23,0)</f>
        <v>0</v>
      </c>
      <c r="S23" s="104">
        <f>N23-O23</f>
        <v>21</v>
      </c>
      <c r="T23" s="68">
        <f>IFERROR(S23/$N23,0)</f>
        <v>0.875</v>
      </c>
    </row>
    <row r="24" spans="1:23" s="18" customFormat="1" ht="13.5" customHeight="1">
      <c r="A24" s="98">
        <v>202220</v>
      </c>
      <c r="B24" s="103" cm="1">
        <f t="array" ref="B24">IF(RIGHT($A24,2)="10",_xlfn.XLOOKUP("COF"&amp;$A24,[1]PROGRAMA!$A:$A&amp;[1]PROGRAMA!$B:$B,[1]PROGRAMA!C:C,0),_xlfn.XLOOKUP("COF"&amp;$A24,[2]PROGRAMA!$A:$A&amp;[2]PROGRAMA!$B:$B,[2]PROGRAMA!C:C,0))</f>
        <v>6</v>
      </c>
      <c r="C24" s="103" cm="1">
        <f t="array" ref="C24">IF(RIGHT($A24,2)="10",_xlfn.XLOOKUP("COF"&amp;$A24,[1]PROGRAMA!$A:$A&amp;[1]PROGRAMA!$B:$B,[1]PROGRAMA!D:D,0),_xlfn.XLOOKUP("COF"&amp;$A24,[2]PROGRAMA!$A:$A&amp;[2]PROGRAMA!$B:$B,[2]PROGRAMA!D:D,0))</f>
        <v>2</v>
      </c>
      <c r="D24" s="68">
        <f>IFERROR(C24/$B24,0)</f>
        <v>0.33333333333333331</v>
      </c>
      <c r="E24" s="103" cm="1">
        <f t="array" ref="E24">IF(RIGHT($A24,2)="10",_xlfn.XLOOKUP("COF"&amp;$A24,[1]PROGRAMA!$A:$A&amp;[1]PROGRAMA!$B:$B,[1]PROGRAMA!E:E,0),_xlfn.XLOOKUP("COF"&amp;$A24,[2]PROGRAMA!$A:$A&amp;[2]PROGRAMA!$B:$B,[2]PROGRAMA!E:E,0))</f>
        <v>0</v>
      </c>
      <c r="F24" s="68">
        <f>IFERROR(E24/$B24,0)</f>
        <v>0</v>
      </c>
      <c r="G24" s="104">
        <f>B24-C24</f>
        <v>4</v>
      </c>
      <c r="H24" s="68">
        <f>IFERROR(G24/$B24,0)</f>
        <v>0.66666666666666663</v>
      </c>
      <c r="I24" s="128"/>
      <c r="J24" s="128"/>
      <c r="K24" s="7"/>
      <c r="L24" s="7"/>
      <c r="M24" s="98">
        <v>202220</v>
      </c>
      <c r="N24" s="103" cm="1">
        <f t="array" ref="N24">IF(RIGHT($A24,2)="10",_xlfn.XLOOKUP("COF"&amp;$A24,'[1]PROGRAMA 123'!$A:$A&amp;'[1]PROGRAMA 123'!$B:$B,'[1]PROGRAMA 123'!C:C,0),_xlfn.XLOOKUP("COF"&amp;$A24,'[2]PROGRAMA 123'!$A:$A&amp;'[2]PROGRAMA 123'!$B:$B,'[2]PROGRAMA 123'!C:C,0))</f>
        <v>6</v>
      </c>
      <c r="O24" s="103" cm="1">
        <f t="array" ref="O24">IF(RIGHT($A24,2)="10",_xlfn.XLOOKUP("COF"&amp;$A24,'[1]PROGRAMA 123'!$A:$A&amp;'[1]PROGRAMA 123'!$B:$B,'[1]PROGRAMA 123'!D:D,0),_xlfn.XLOOKUP("COF"&amp;$A24,'[2]PROGRAMA 123'!$A:$A&amp;'[2]PROGRAMA 123'!$B:$B,'[2]PROGRAMA 123'!D:D,0))</f>
        <v>2</v>
      </c>
      <c r="P24" s="68">
        <f>IFERROR(O24/$N24,0)</f>
        <v>0.33333333333333331</v>
      </c>
      <c r="Q24" s="103" cm="1">
        <f t="array" ref="Q24">IF(RIGHT($A24,2)="10",_xlfn.XLOOKUP("COF"&amp;$A24,'[1]PROGRAMA 123'!$A:$A&amp;'[1]PROGRAMA 123'!$B:$B,'[1]PROGRAMA 123'!E:E,0),_xlfn.XLOOKUP("COF"&amp;$A24,'[2]PROGRAMA 123'!$A:$A&amp;'[2]PROGRAMA 123'!$B:$B,'[2]PROGRAMA 123'!E:E,0))</f>
        <v>0</v>
      </c>
      <c r="R24" s="68">
        <f>IFERROR(Q24/$N24,0)</f>
        <v>0</v>
      </c>
      <c r="S24" s="104">
        <f>N24-O24</f>
        <v>4</v>
      </c>
      <c r="T24" s="68">
        <f>IFERROR(S24/$N24,0)</f>
        <v>0.66666666666666663</v>
      </c>
    </row>
    <row r="25" spans="1:23" s="18" customFormat="1" ht="13.5" customHeight="1">
      <c r="A25" s="98" t="s">
        <v>239</v>
      </c>
      <c r="B25" s="103">
        <v>15</v>
      </c>
      <c r="C25" s="103">
        <v>7</v>
      </c>
      <c r="D25" s="68">
        <v>0.46666666666666667</v>
      </c>
      <c r="E25" s="103">
        <v>0</v>
      </c>
      <c r="F25" s="68">
        <v>0</v>
      </c>
      <c r="G25" s="104">
        <v>8</v>
      </c>
      <c r="H25" s="68">
        <v>0.53333333333333333</v>
      </c>
      <c r="I25" s="128"/>
      <c r="J25" s="128"/>
      <c r="K25" s="7"/>
      <c r="L25" s="7"/>
      <c r="M25" s="98" t="s">
        <v>239</v>
      </c>
      <c r="N25" s="103">
        <v>12</v>
      </c>
      <c r="O25" s="103">
        <v>6</v>
      </c>
      <c r="P25" s="68">
        <v>0.5</v>
      </c>
      <c r="Q25" s="103">
        <v>0</v>
      </c>
      <c r="R25" s="68">
        <v>0</v>
      </c>
      <c r="S25" s="104">
        <v>6</v>
      </c>
      <c r="T25" s="68">
        <v>0.5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122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0.27272727272727271</v>
      </c>
      <c r="B29" s="37">
        <f>+((B6*D6)+(B7*D7))/(B6+B7)</f>
        <v>0.19230769230769232</v>
      </c>
      <c r="C29" s="32">
        <f>((B8*D8)+(B9*D9))/(B8+B9)</f>
        <v>0.18181818181818182</v>
      </c>
      <c r="D29" s="32">
        <f>+((B10*D10)+(B11*D11))/(B10+B11)</f>
        <v>0.1875</v>
      </c>
      <c r="E29" s="32">
        <f>((B12*D12)+(B13*D13))/(B12+B13)</f>
        <v>8.8235294117647065E-2</v>
      </c>
      <c r="F29" s="32">
        <f>((B14*D14)+(B15*D15))/(B14+B15)</f>
        <v>0.20689655172413793</v>
      </c>
      <c r="G29" s="32">
        <f>((B16*D16)+(B17*D17))/(B16+B17)</f>
        <v>4.3478260869565216E-2</v>
      </c>
      <c r="H29" s="32">
        <f>((B18*D18)+(B19*D19))/(B18+B19)</f>
        <v>0.29411764705882354</v>
      </c>
      <c r="I29" s="32">
        <f>((B20*D20)+(B21*D21))/(B20+B21)</f>
        <v>0.23076923076923073</v>
      </c>
      <c r="J29" s="32">
        <f>(C22+C23)/(B22+B23)</f>
        <v>0.12121212121212122</v>
      </c>
      <c r="K29" s="32">
        <f>D24</f>
        <v>0.33333333333333331</v>
      </c>
      <c r="L29" s="6"/>
      <c r="M29" s="37">
        <f>P5</f>
        <v>0.2</v>
      </c>
      <c r="N29" s="37">
        <f>+((N6*P6)+(N7*P7))/(N6+N7)</f>
        <v>0.18159090909090911</v>
      </c>
      <c r="O29" s="32">
        <f>((N8*P8)+(N9*P9))/(N8+N9)</f>
        <v>0.16074999999999998</v>
      </c>
      <c r="P29" s="32">
        <f>+((N10*P10)+(N11*P11))/(N10+N11)</f>
        <v>0.20930232558139536</v>
      </c>
      <c r="Q29" s="32">
        <f>((N12*P12)+(N13*P13))/(N12+N13)</f>
        <v>9.6774193548387094E-2</v>
      </c>
      <c r="R29" s="32">
        <f>((N14*P14)+(N15*P15))/(N14+N15)</f>
        <v>0.2</v>
      </c>
      <c r="S29" s="32">
        <f>((N16*P16)+(N17*P17))/(N16+N17)</f>
        <v>0</v>
      </c>
      <c r="T29" s="32">
        <f>((N18*P18)+(N19*P19))/(N18+N19)</f>
        <v>0.3</v>
      </c>
      <c r="U29" s="32">
        <f>((N20*P20)+(N21*P21))/(N20+N21)</f>
        <v>0.14285714285714285</v>
      </c>
      <c r="V29" s="32">
        <f>(O22+O23)/(N22+N23)</f>
        <v>0.11538461538461539</v>
      </c>
      <c r="W29" s="32">
        <f>P24</f>
        <v>0.33333333333333331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K31"/>
    <mergeCell ref="M30:V30"/>
    <mergeCell ref="M31:W31"/>
    <mergeCell ref="A1:H1"/>
    <mergeCell ref="A2:H2"/>
    <mergeCell ref="A3:H3"/>
    <mergeCell ref="M2:T2"/>
    <mergeCell ref="M3:T3"/>
    <mergeCell ref="M1:T1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M23:O24 Q23:Q24 S23:S24 E23:K24" formula="1"/>
    <ignoredError sqref="A25 M2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W19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3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3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3" ht="14.4">
      <c r="A3" s="224" t="s">
        <v>145</v>
      </c>
      <c r="B3" s="225"/>
      <c r="C3" s="225"/>
      <c r="D3" s="225"/>
      <c r="E3" s="225"/>
      <c r="F3" s="225"/>
      <c r="G3" s="225"/>
      <c r="H3" s="226"/>
      <c r="I3"/>
      <c r="J3"/>
      <c r="K3"/>
      <c r="M3" s="224" t="s">
        <v>146</v>
      </c>
      <c r="N3" s="225"/>
      <c r="O3" s="225"/>
      <c r="P3" s="225"/>
      <c r="Q3" s="225"/>
      <c r="R3" s="225"/>
      <c r="S3" s="225"/>
      <c r="T3" s="226"/>
    </row>
    <row r="4" spans="1:23" ht="30.6">
      <c r="A4" s="100" t="s">
        <v>0</v>
      </c>
      <c r="B4" s="100" t="s">
        <v>1</v>
      </c>
      <c r="C4" s="100" t="s">
        <v>131</v>
      </c>
      <c r="D4" s="100" t="s">
        <v>132</v>
      </c>
      <c r="E4" s="100" t="s">
        <v>133</v>
      </c>
      <c r="F4" s="100" t="s">
        <v>134</v>
      </c>
      <c r="G4" s="100" t="s">
        <v>135</v>
      </c>
      <c r="H4" s="100" t="s">
        <v>136</v>
      </c>
      <c r="I4" s="147"/>
      <c r="J4" s="147"/>
      <c r="M4" s="100" t="s">
        <v>0</v>
      </c>
      <c r="N4" s="100" t="s">
        <v>1</v>
      </c>
      <c r="O4" s="100" t="s">
        <v>131</v>
      </c>
      <c r="P4" s="100" t="s">
        <v>132</v>
      </c>
      <c r="Q4" s="100" t="s">
        <v>133</v>
      </c>
      <c r="R4" s="100" t="s">
        <v>134</v>
      </c>
      <c r="S4" s="100" t="s">
        <v>135</v>
      </c>
      <c r="T4" s="100" t="s">
        <v>136</v>
      </c>
    </row>
    <row r="5" spans="1:23" ht="13.5" customHeight="1">
      <c r="A5" s="98" t="s">
        <v>8</v>
      </c>
      <c r="B5" s="89">
        <v>14</v>
      </c>
      <c r="C5" s="89">
        <v>4</v>
      </c>
      <c r="D5" s="99">
        <v>0.2857142857142857</v>
      </c>
      <c r="E5" s="89">
        <v>0</v>
      </c>
      <c r="F5" s="99">
        <v>0</v>
      </c>
      <c r="G5" s="89">
        <v>10</v>
      </c>
      <c r="H5" s="99">
        <v>0.7142857142857143</v>
      </c>
      <c r="I5" s="133"/>
      <c r="J5" s="133"/>
      <c r="M5" s="98">
        <v>201910</v>
      </c>
      <c r="N5" s="89">
        <v>5</v>
      </c>
      <c r="O5" s="89">
        <v>1</v>
      </c>
      <c r="P5" s="99">
        <v>0.2</v>
      </c>
      <c r="Q5" s="89">
        <v>0</v>
      </c>
      <c r="R5" s="99">
        <v>0</v>
      </c>
      <c r="S5" s="89">
        <v>4</v>
      </c>
      <c r="T5" s="99">
        <v>0.8</v>
      </c>
    </row>
    <row r="6" spans="1:23" ht="13.5" customHeight="1">
      <c r="A6" s="98">
        <v>201920</v>
      </c>
      <c r="B6" s="89">
        <v>12</v>
      </c>
      <c r="C6" s="89">
        <v>1</v>
      </c>
      <c r="D6" s="99">
        <v>8.3333333333333329E-2</v>
      </c>
      <c r="E6" s="89">
        <v>0</v>
      </c>
      <c r="F6" s="99">
        <v>0</v>
      </c>
      <c r="G6" s="89">
        <v>11</v>
      </c>
      <c r="H6" s="99">
        <v>0.91666666666666663</v>
      </c>
      <c r="I6" s="133"/>
      <c r="J6" s="133"/>
      <c r="M6" s="98">
        <v>201920</v>
      </c>
      <c r="N6" s="89">
        <v>6</v>
      </c>
      <c r="O6" s="89">
        <v>1</v>
      </c>
      <c r="P6" s="99">
        <v>0.16666666666666671</v>
      </c>
      <c r="Q6" s="89">
        <v>0</v>
      </c>
      <c r="R6" s="99">
        <v>0</v>
      </c>
      <c r="S6" s="89">
        <v>5</v>
      </c>
      <c r="T6" s="99">
        <v>0.83333333333333337</v>
      </c>
    </row>
    <row r="7" spans="1:23" ht="13.5" customHeight="1">
      <c r="A7" s="98">
        <v>202010</v>
      </c>
      <c r="B7" s="89">
        <v>14</v>
      </c>
      <c r="C7" s="89">
        <v>2</v>
      </c>
      <c r="D7" s="99">
        <v>0.14285714285714279</v>
      </c>
      <c r="E7" s="89">
        <v>0</v>
      </c>
      <c r="F7" s="99">
        <v>0</v>
      </c>
      <c r="G7" s="89">
        <v>12</v>
      </c>
      <c r="H7" s="99">
        <v>0.8571428571428571</v>
      </c>
      <c r="I7" s="133"/>
      <c r="J7" s="133"/>
      <c r="M7" s="98">
        <v>202010</v>
      </c>
      <c r="N7" s="89">
        <v>5</v>
      </c>
      <c r="O7" s="89">
        <v>0</v>
      </c>
      <c r="P7" s="99">
        <v>0</v>
      </c>
      <c r="Q7" s="89">
        <v>0</v>
      </c>
      <c r="R7" s="99">
        <v>0</v>
      </c>
      <c r="S7" s="89">
        <v>6</v>
      </c>
      <c r="T7" s="99">
        <v>1</v>
      </c>
    </row>
    <row r="8" spans="1:23" ht="13.5" customHeight="1">
      <c r="A8" s="98">
        <v>202020</v>
      </c>
      <c r="B8" s="89">
        <v>12</v>
      </c>
      <c r="C8" s="89">
        <v>3</v>
      </c>
      <c r="D8" s="99">
        <v>0.25</v>
      </c>
      <c r="E8" s="89">
        <v>0</v>
      </c>
      <c r="F8" s="99">
        <v>0</v>
      </c>
      <c r="G8" s="89">
        <v>9</v>
      </c>
      <c r="H8" s="99">
        <v>0.75</v>
      </c>
      <c r="I8" s="133"/>
      <c r="J8" s="133"/>
      <c r="M8" s="98">
        <v>202020</v>
      </c>
      <c r="N8" s="89">
        <v>3</v>
      </c>
      <c r="O8" s="89">
        <v>2</v>
      </c>
      <c r="P8" s="99">
        <v>0.66666666666666663</v>
      </c>
      <c r="Q8" s="89">
        <v>0</v>
      </c>
      <c r="R8" s="99">
        <v>0</v>
      </c>
      <c r="S8" s="89">
        <v>1</v>
      </c>
      <c r="T8" s="99">
        <v>0.33333333333333331</v>
      </c>
    </row>
    <row r="9" spans="1:23" ht="13.5" customHeight="1">
      <c r="A9" s="98">
        <v>202110</v>
      </c>
      <c r="B9" s="89">
        <v>15</v>
      </c>
      <c r="C9" s="89">
        <v>2</v>
      </c>
      <c r="D9" s="99">
        <v>0.1333333333333333</v>
      </c>
      <c r="E9" s="89">
        <v>0</v>
      </c>
      <c r="F9" s="99">
        <v>0</v>
      </c>
      <c r="G9" s="89">
        <v>13</v>
      </c>
      <c r="H9" s="99">
        <v>0.86666666666666681</v>
      </c>
      <c r="I9" s="133"/>
      <c r="J9" s="133"/>
      <c r="M9" s="98">
        <v>202110</v>
      </c>
      <c r="N9" s="89">
        <v>10</v>
      </c>
      <c r="O9" s="89">
        <v>1</v>
      </c>
      <c r="P9" s="99">
        <v>0.1</v>
      </c>
      <c r="Q9" s="89">
        <v>0</v>
      </c>
      <c r="R9" s="99">
        <v>0</v>
      </c>
      <c r="S9" s="89">
        <v>9</v>
      </c>
      <c r="T9" s="99">
        <v>0.9</v>
      </c>
    </row>
    <row r="10" spans="1:23" ht="13.5" customHeight="1">
      <c r="A10" s="98">
        <v>202120</v>
      </c>
      <c r="B10" s="89">
        <v>14</v>
      </c>
      <c r="C10" s="89">
        <v>3</v>
      </c>
      <c r="D10" s="99">
        <v>0.2142857142857143</v>
      </c>
      <c r="E10" s="89">
        <v>0</v>
      </c>
      <c r="F10" s="99">
        <v>0</v>
      </c>
      <c r="G10" s="89">
        <v>11</v>
      </c>
      <c r="H10" s="99">
        <v>0.7857142857142857</v>
      </c>
      <c r="I10" s="133"/>
      <c r="J10" s="133"/>
      <c r="M10" s="98">
        <v>202120</v>
      </c>
      <c r="N10" s="89">
        <v>6</v>
      </c>
      <c r="O10" s="89">
        <v>2</v>
      </c>
      <c r="P10" s="99">
        <v>0.33333333333333331</v>
      </c>
      <c r="Q10" s="89">
        <v>0</v>
      </c>
      <c r="R10" s="99">
        <v>0</v>
      </c>
      <c r="S10" s="89">
        <v>4</v>
      </c>
      <c r="T10" s="99">
        <v>0.66666666666666663</v>
      </c>
    </row>
    <row r="11" spans="1:23" ht="13.5" customHeight="1">
      <c r="A11" s="98">
        <v>202210</v>
      </c>
      <c r="B11" s="103" cm="1">
        <f t="array" ref="B11">IF(RIGHT($A11,2)="10",_xlfn.XLOOKUP("FIN"&amp;$A11,[1]PROGRAMA!$A:$A&amp;[1]PROGRAMA!$B:$B,[1]PROGRAMA!C:C,0),_xlfn.XLOOKUP("FIN"&amp;$A11,[2]PROGRAMA!$A:$A&amp;[2]PROGRAMA!$B:$B,[2]PROGRAMA!C:C,0))</f>
        <v>32</v>
      </c>
      <c r="C11" s="103" cm="1">
        <f t="array" ref="C11">IF(RIGHT($A11,2)="10",_xlfn.XLOOKUP("FIN"&amp;$A11,[1]PROGRAMA!$A:$A&amp;[1]PROGRAMA!$B:$B,[1]PROGRAMA!D:D,0),_xlfn.XLOOKUP("FIN"&amp;$A11,[2]PROGRAMA!$A:$A&amp;[2]PROGRAMA!$B:$B,[2]PROGRAMA!D:D,0))</f>
        <v>2</v>
      </c>
      <c r="D11" s="68">
        <f>IFERROR(C11/$B11,0)</f>
        <v>6.25E-2</v>
      </c>
      <c r="E11" s="103" cm="1">
        <f t="array" ref="E11">IF(RIGHT($A11,2)="10",_xlfn.XLOOKUP("FIN"&amp;$A11,[1]PROGRAMA!$A:$A&amp;[1]PROGRAMA!$B:$B,[1]PROGRAMA!E:E,0),_xlfn.XLOOKUP("FIN"&amp;$A11,[2]PROGRAMA!$A:$A&amp;[2]PROGRAMA!$B:$B,[2]PROGRAMA!E:E,0))</f>
        <v>0</v>
      </c>
      <c r="F11" s="68">
        <f>IFERROR(E11/$B11,0)</f>
        <v>0</v>
      </c>
      <c r="G11" s="104">
        <f>B11-C11</f>
        <v>30</v>
      </c>
      <c r="H11" s="68">
        <f>IFERROR(G11/$B11,0)</f>
        <v>0.9375</v>
      </c>
      <c r="I11" s="128"/>
      <c r="J11" s="128"/>
      <c r="M11" s="98">
        <v>202210</v>
      </c>
      <c r="N11" s="103" cm="1">
        <f t="array" ref="N11">IF(RIGHT($A11,2)="10",_xlfn.XLOOKUP("FIN"&amp;$A11,'[1]PROGRAMA 123'!$A:$A&amp;'[1]PROGRAMA 123'!$B:$B,'[1]PROGRAMA 123'!C:C,0),_xlfn.XLOOKUP("FIN"&amp;$A11,'[2]PROGRAMA 123'!$A:$A&amp;'[2]PROGRAMA 123'!$B:$B,'[2]PROGRAMA 123'!C:C,0))</f>
        <v>18</v>
      </c>
      <c r="O11" s="103" cm="1">
        <f t="array" ref="O11">IF(RIGHT($A11,2)="10",_xlfn.XLOOKUP("FIN"&amp;$A11,'[1]PROGRAMA 123'!$A:$A&amp;'[1]PROGRAMA 123'!$B:$B,'[1]PROGRAMA 123'!D:D,0),_xlfn.XLOOKUP("FIN"&amp;$A11,'[2]PROGRAMA 123'!$A:$A&amp;'[2]PROGRAMA 123'!$B:$B,'[2]PROGRAMA 123'!D:D,0))</f>
        <v>1</v>
      </c>
      <c r="P11" s="68">
        <f>IFERROR(O11/$B11,0)</f>
        <v>3.125E-2</v>
      </c>
      <c r="Q11" s="103" cm="1">
        <f t="array" ref="Q11">IF(RIGHT($A11,2)="10",_xlfn.XLOOKUP("FIN"&amp;$A11,'[1]PROGRAMA 123'!$A:$A&amp;'[1]PROGRAMA 123'!$B:$B,'[1]PROGRAMA 123'!E:E,0),_xlfn.XLOOKUP("FIN"&amp;$A11,'[2]PROGRAMA 123'!$A:$A&amp;'[2]PROGRAMA 123'!$B:$B,'[2]PROGRAMA 123'!E:E,0))</f>
        <v>0</v>
      </c>
      <c r="R11" s="68">
        <f>IFERROR(Q11/$B11,0)</f>
        <v>0</v>
      </c>
      <c r="S11" s="104">
        <f>N11-O11</f>
        <v>17</v>
      </c>
      <c r="T11" s="68">
        <f>IFERROR(S11/$B11,0)</f>
        <v>0.53125</v>
      </c>
    </row>
    <row r="12" spans="1:23" ht="13.5" customHeight="1">
      <c r="A12" s="98">
        <v>202220</v>
      </c>
      <c r="B12" s="103" cm="1">
        <f t="array" ref="B12">IF(RIGHT($A12,2)="10",_xlfn.XLOOKUP("FIN"&amp;$A12,[1]PROGRAMA!$A:$A&amp;[1]PROGRAMA!$B:$B,[1]PROGRAMA!C:C,0),_xlfn.XLOOKUP("FIN"&amp;$A12,[2]PROGRAMA!$A:$A&amp;[2]PROGRAMA!$B:$B,[2]PROGRAMA!C:C,0))</f>
        <v>19</v>
      </c>
      <c r="C12" s="103" cm="1">
        <f t="array" ref="C12">IF(RIGHT($A12,2)="10",_xlfn.XLOOKUP("FIN"&amp;$A12,[1]PROGRAMA!$A:$A&amp;[1]PROGRAMA!$B:$B,[1]PROGRAMA!D:D,0),_xlfn.XLOOKUP("FIN"&amp;$A12,[2]PROGRAMA!$A:$A&amp;[2]PROGRAMA!$B:$B,[2]PROGRAMA!D:D,0))</f>
        <v>8</v>
      </c>
      <c r="D12" s="68">
        <f>IFERROR(C12/$B12,0)</f>
        <v>0.42105263157894735</v>
      </c>
      <c r="E12" s="103" cm="1">
        <f t="array" ref="E12">IF(RIGHT($A12,2)="10",_xlfn.XLOOKUP("FIN"&amp;$A12,[1]PROGRAMA!$A:$A&amp;[1]PROGRAMA!$B:$B,[1]PROGRAMA!E:E,0),_xlfn.XLOOKUP("FIN"&amp;$A12,[2]PROGRAMA!$A:$A&amp;[2]PROGRAMA!$B:$B,[2]PROGRAMA!E:E,0))</f>
        <v>0</v>
      </c>
      <c r="F12" s="68">
        <f>IFERROR(E12/$B12,0)</f>
        <v>0</v>
      </c>
      <c r="G12" s="104">
        <f>B12-C12</f>
        <v>11</v>
      </c>
      <c r="H12" s="68">
        <f>IFERROR(G12/$B12,0)</f>
        <v>0.57894736842105265</v>
      </c>
      <c r="I12" s="128"/>
      <c r="J12" s="128"/>
      <c r="M12" s="98">
        <v>202220</v>
      </c>
      <c r="N12" s="103" cm="1">
        <f t="array" ref="N12">IF(RIGHT($A12,2)="10",_xlfn.XLOOKUP("FIN"&amp;$A12,'[1]PROGRAMA 123'!$A:$A&amp;'[1]PROGRAMA 123'!$B:$B,'[1]PROGRAMA 123'!C:C,0),_xlfn.XLOOKUP("FIN"&amp;$A12,'[2]PROGRAMA 123'!$A:$A&amp;'[2]PROGRAMA 123'!$B:$B,'[2]PROGRAMA 123'!C:C,0))</f>
        <v>9</v>
      </c>
      <c r="O12" s="103" cm="1">
        <f t="array" ref="O12">IF(RIGHT($A12,2)="10",_xlfn.XLOOKUP("FIN"&amp;$A12,'[1]PROGRAMA 123'!$A:$A&amp;'[1]PROGRAMA 123'!$B:$B,'[1]PROGRAMA 123'!D:D,0),_xlfn.XLOOKUP("FIN"&amp;$A12,'[2]PROGRAMA 123'!$A:$A&amp;'[2]PROGRAMA 123'!$B:$B,'[2]PROGRAMA 123'!D:D,0))</f>
        <v>4</v>
      </c>
      <c r="P12" s="68">
        <f>IFERROR(O12/$B12,0)</f>
        <v>0.21052631578947367</v>
      </c>
      <c r="Q12" s="103" cm="1">
        <f t="array" ref="Q12">IF(RIGHT($A12,2)="10",_xlfn.XLOOKUP("FIN"&amp;$A12,'[1]PROGRAMA 123'!$A:$A&amp;'[1]PROGRAMA 123'!$B:$B,'[1]PROGRAMA 123'!E:E,0),_xlfn.XLOOKUP("FIN"&amp;$A12,'[2]PROGRAMA 123'!$A:$A&amp;'[2]PROGRAMA 123'!$B:$B,'[2]PROGRAMA 123'!E:E,0))</f>
        <v>0</v>
      </c>
      <c r="R12" s="68">
        <f>IFERROR(Q12/$B12,0)</f>
        <v>0</v>
      </c>
      <c r="S12" s="104">
        <f>N12-O12</f>
        <v>5</v>
      </c>
      <c r="T12" s="68">
        <f>IFERROR(S12/$B12,0)</f>
        <v>0.26315789473684209</v>
      </c>
    </row>
    <row r="13" spans="1:23" ht="13.5" customHeight="1">
      <c r="A13" s="98" t="s">
        <v>239</v>
      </c>
      <c r="B13" s="103">
        <v>20</v>
      </c>
      <c r="C13" s="103">
        <v>3</v>
      </c>
      <c r="D13" s="68">
        <f>IFERROR(C13/$B13,0)</f>
        <v>0.15</v>
      </c>
      <c r="E13" s="103">
        <v>0</v>
      </c>
      <c r="F13" s="68">
        <f>IFERROR(E13/$B13,0)</f>
        <v>0</v>
      </c>
      <c r="G13" s="104">
        <v>17</v>
      </c>
      <c r="H13" s="68">
        <f>IFERROR(G13/$B13,0)</f>
        <v>0.85</v>
      </c>
      <c r="I13" s="128"/>
      <c r="J13" s="128"/>
      <c r="M13" s="98" t="s">
        <v>239</v>
      </c>
      <c r="N13" s="103">
        <v>12</v>
      </c>
      <c r="O13" s="103">
        <v>3</v>
      </c>
      <c r="P13" s="68">
        <v>0.25</v>
      </c>
      <c r="Q13" s="103">
        <v>0</v>
      </c>
      <c r="R13" s="68">
        <v>0</v>
      </c>
      <c r="S13" s="104">
        <v>9</v>
      </c>
      <c r="T13" s="68">
        <v>0.75</v>
      </c>
    </row>
    <row r="15" spans="1:23" ht="41.25" hidden="1" customHeight="1">
      <c r="A15" s="221" t="s">
        <v>100</v>
      </c>
      <c r="B15" s="220"/>
      <c r="C15" s="220"/>
      <c r="D15" s="220"/>
      <c r="E15" s="220"/>
      <c r="F15" s="220"/>
      <c r="G15" s="220"/>
      <c r="H15" s="220"/>
      <c r="I15" s="220"/>
      <c r="J15" s="220"/>
      <c r="K15" s="220"/>
      <c r="M15" s="221" t="s">
        <v>114</v>
      </c>
      <c r="N15" s="220"/>
      <c r="O15" s="220"/>
      <c r="P15" s="220"/>
      <c r="Q15" s="220"/>
      <c r="R15" s="220"/>
      <c r="S15" s="220"/>
      <c r="T15" s="220"/>
      <c r="U15" s="220"/>
      <c r="V15" s="220"/>
      <c r="W15" s="220"/>
    </row>
    <row r="16" spans="1:23" ht="33" hidden="1" customHeight="1">
      <c r="A16" s="90" t="s">
        <v>121</v>
      </c>
      <c r="B16" s="90" t="s">
        <v>103</v>
      </c>
      <c r="C16" s="90" t="s">
        <v>104</v>
      </c>
      <c r="D16" s="90" t="s">
        <v>105</v>
      </c>
      <c r="E16" s="90" t="s">
        <v>106</v>
      </c>
      <c r="F16" s="90" t="s">
        <v>107</v>
      </c>
      <c r="G16" s="90" t="s">
        <v>147</v>
      </c>
      <c r="H16" s="90" t="s">
        <v>109</v>
      </c>
      <c r="I16" s="90" t="s">
        <v>110</v>
      </c>
      <c r="J16" s="90" t="str">
        <f>'1d. Retiro temprano.'!K30</f>
        <v>2023
212-221</v>
      </c>
      <c r="K16" s="90" t="str">
        <f>'1d. Retiro temprano.'!L30</f>
        <v>2024-1***
222</v>
      </c>
      <c r="L16" s="6"/>
      <c r="M16" s="90" t="s">
        <v>121</v>
      </c>
      <c r="N16" s="90" t="s">
        <v>103</v>
      </c>
      <c r="O16" s="90" t="s">
        <v>104</v>
      </c>
      <c r="P16" s="90" t="s">
        <v>105</v>
      </c>
      <c r="Q16" s="90" t="s">
        <v>106</v>
      </c>
      <c r="R16" s="90" t="s">
        <v>107</v>
      </c>
      <c r="S16" s="90" t="s">
        <v>147</v>
      </c>
      <c r="T16" s="90" t="s">
        <v>109</v>
      </c>
      <c r="U16" s="90" t="s">
        <v>110</v>
      </c>
      <c r="V16" s="90" t="str">
        <f>J16</f>
        <v>2023
212-221</v>
      </c>
      <c r="W16" s="90" t="str">
        <f>K16</f>
        <v>2024-1***
222</v>
      </c>
    </row>
    <row r="17" spans="1:23" hidden="1">
      <c r="A17" s="37" t="s">
        <v>124</v>
      </c>
      <c r="B17" s="37" t="s">
        <v>124</v>
      </c>
      <c r="C17" s="37" t="s">
        <v>124</v>
      </c>
      <c r="D17" s="37" t="s">
        <v>124</v>
      </c>
      <c r="E17" s="37" t="s">
        <v>124</v>
      </c>
      <c r="F17" s="37" t="s">
        <v>124</v>
      </c>
      <c r="G17" s="32">
        <f>D5</f>
        <v>0.2857142857142857</v>
      </c>
      <c r="H17" s="32">
        <f>((B6*D6)+(B7*D7))/(B6+B7)</f>
        <v>0.11538461538461535</v>
      </c>
      <c r="I17" s="32">
        <f>((B8*D8)+(B9*D9))/(B8+B9)</f>
        <v>0.18518518518518517</v>
      </c>
      <c r="J17" s="32">
        <f>(C10+C11)/(B10+B11)</f>
        <v>0.10869565217391304</v>
      </c>
      <c r="K17" s="32">
        <f>D12</f>
        <v>0.42105263157894735</v>
      </c>
      <c r="L17" s="6"/>
      <c r="M17" s="37" t="s">
        <v>124</v>
      </c>
      <c r="N17" s="37" t="s">
        <v>124</v>
      </c>
      <c r="O17" s="37" t="s">
        <v>124</v>
      </c>
      <c r="P17" s="37" t="s">
        <v>124</v>
      </c>
      <c r="Q17" s="37" t="s">
        <v>124</v>
      </c>
      <c r="R17" s="37" t="s">
        <v>124</v>
      </c>
      <c r="S17" s="32">
        <f>P5</f>
        <v>0.2</v>
      </c>
      <c r="T17" s="32">
        <f>((N6*P6)+(N7*P7))/(N6+N7)</f>
        <v>9.0909090909090925E-2</v>
      </c>
      <c r="U17" s="32">
        <f>((N8*P8)+(N9*P9))/(N8+N9)</f>
        <v>0.23076923076923078</v>
      </c>
      <c r="V17" s="32">
        <f>(O10+O11)/(N10+N11)</f>
        <v>0.125</v>
      </c>
      <c r="W17" s="32">
        <f>P12</f>
        <v>0.21052631578947367</v>
      </c>
    </row>
    <row r="18" spans="1:23" hidden="1">
      <c r="A18" s="206" t="s">
        <v>148</v>
      </c>
      <c r="B18" s="206"/>
      <c r="C18" s="206"/>
      <c r="D18" s="206"/>
      <c r="E18" s="206"/>
      <c r="F18" s="206"/>
      <c r="G18" s="206"/>
      <c r="K18" s="6"/>
      <c r="L18" s="6"/>
      <c r="M18" s="206" t="s">
        <v>148</v>
      </c>
      <c r="N18" s="206"/>
      <c r="O18" s="206"/>
      <c r="P18" s="206"/>
      <c r="Q18" s="206"/>
      <c r="R18" s="206"/>
      <c r="S18" s="206"/>
      <c r="T18" s="7"/>
    </row>
    <row r="19" spans="1:23" hidden="1">
      <c r="A19" s="206" t="s">
        <v>235</v>
      </c>
      <c r="B19" s="206"/>
      <c r="C19" s="206"/>
      <c r="D19" s="206"/>
      <c r="E19" s="206"/>
      <c r="F19" s="206"/>
      <c r="G19" s="206"/>
      <c r="H19" s="206"/>
      <c r="I19" s="206"/>
      <c r="J19" s="206"/>
      <c r="K19" s="206"/>
      <c r="L19" s="13"/>
      <c r="M19" s="206" t="s">
        <v>235</v>
      </c>
      <c r="N19" s="206"/>
      <c r="O19" s="206"/>
      <c r="P19" s="206"/>
      <c r="Q19" s="206"/>
      <c r="R19" s="206"/>
      <c r="S19" s="206"/>
      <c r="T19" s="206"/>
      <c r="U19" s="206"/>
      <c r="V19" s="206"/>
      <c r="W19" s="206"/>
    </row>
  </sheetData>
  <mergeCells count="12">
    <mergeCell ref="A19:K19"/>
    <mergeCell ref="M19:W19"/>
    <mergeCell ref="M1:T1"/>
    <mergeCell ref="A1:H1"/>
    <mergeCell ref="A18:G18"/>
    <mergeCell ref="M18:S18"/>
    <mergeCell ref="A2:H2"/>
    <mergeCell ref="M2:T2"/>
    <mergeCell ref="A3:H3"/>
    <mergeCell ref="M3:T3"/>
    <mergeCell ref="A15:K15"/>
    <mergeCell ref="M15:W15"/>
  </mergeCells>
  <pageMargins left="0.7" right="0.7" top="0.75" bottom="0.75" header="0.3" footer="0.3"/>
  <pageSetup orientation="portrait" r:id="rId1"/>
  <ignoredErrors>
    <ignoredError sqref="A5 A13 M13" numberStoredAsText="1"/>
    <ignoredError sqref="M11:T11 E11:G11 M12:S12 E12:G12 I12:K12 I11:K11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5597-3DA6-4E97-B5F5-6D24442B9919}">
  <sheetPr>
    <tabColor rgb="FF92D050"/>
  </sheetPr>
  <dimension ref="A1:V14"/>
  <sheetViews>
    <sheetView showGridLines="0" workbookViewId="0">
      <selection activeCell="D8" sqref="D8"/>
    </sheetView>
  </sheetViews>
  <sheetFormatPr baseColWidth="10" defaultColWidth="11.44140625" defaultRowHeight="10.199999999999999"/>
  <cols>
    <col min="1" max="10" width="11.44140625" style="6"/>
    <col min="11" max="12" width="11.44140625" style="7"/>
    <col min="13" max="13" width="15.5546875" style="7" customWidth="1"/>
    <col min="14" max="16384" width="11.44140625" style="7"/>
  </cols>
  <sheetData>
    <row r="1" spans="1:22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L1" s="209" t="s">
        <v>240</v>
      </c>
      <c r="M1" s="209"/>
      <c r="N1" s="209"/>
      <c r="O1" s="209"/>
      <c r="P1" s="209"/>
      <c r="Q1" s="209"/>
      <c r="R1" s="209"/>
      <c r="S1" s="209"/>
    </row>
    <row r="2" spans="1:22" ht="16.5" customHeight="1" thickBot="1">
      <c r="A2" s="215"/>
      <c r="B2" s="215"/>
      <c r="C2" s="215"/>
      <c r="D2" s="215"/>
      <c r="E2" s="215"/>
      <c r="F2" s="215"/>
      <c r="G2" s="215"/>
      <c r="H2" s="215"/>
      <c r="I2" s="11"/>
      <c r="J2" s="11"/>
    </row>
    <row r="3" spans="1:22" ht="10.8" thickBot="1">
      <c r="A3" s="216" t="s">
        <v>151</v>
      </c>
      <c r="B3" s="217"/>
      <c r="C3" s="217"/>
      <c r="D3" s="217"/>
      <c r="E3" s="217"/>
      <c r="F3" s="217"/>
      <c r="G3" s="217"/>
      <c r="H3" s="218"/>
      <c r="I3" s="188"/>
      <c r="J3" s="188"/>
      <c r="K3" s="19"/>
      <c r="L3" s="216" t="s">
        <v>152</v>
      </c>
      <c r="M3" s="217"/>
      <c r="N3" s="217"/>
      <c r="O3" s="217"/>
      <c r="P3" s="217"/>
      <c r="Q3" s="217"/>
      <c r="R3" s="217"/>
      <c r="S3" s="218"/>
    </row>
    <row r="4" spans="1:22" ht="51">
      <c r="A4" s="153" t="s">
        <v>0</v>
      </c>
      <c r="B4" s="164" t="s">
        <v>93</v>
      </c>
      <c r="C4" s="164" t="s">
        <v>94</v>
      </c>
      <c r="D4" s="164" t="s">
        <v>95</v>
      </c>
      <c r="E4" s="164" t="s">
        <v>96</v>
      </c>
      <c r="F4" s="164" t="s">
        <v>97</v>
      </c>
      <c r="G4" s="164" t="s">
        <v>98</v>
      </c>
      <c r="H4" s="165" t="s">
        <v>99</v>
      </c>
      <c r="I4" s="126"/>
      <c r="J4" s="126"/>
      <c r="L4" s="149" t="s">
        <v>0</v>
      </c>
      <c r="M4" s="150" t="s">
        <v>93</v>
      </c>
      <c r="N4" s="150" t="s">
        <v>94</v>
      </c>
      <c r="O4" s="150" t="s">
        <v>95</v>
      </c>
      <c r="P4" s="150" t="s">
        <v>96</v>
      </c>
      <c r="Q4" s="150" t="s">
        <v>97</v>
      </c>
      <c r="R4" s="150" t="s">
        <v>98</v>
      </c>
      <c r="S4" s="151" t="s">
        <v>99</v>
      </c>
    </row>
    <row r="5" spans="1:22">
      <c r="A5" s="132">
        <v>202120</v>
      </c>
      <c r="B5" s="103">
        <v>189</v>
      </c>
      <c r="C5" s="103">
        <v>33</v>
      </c>
      <c r="D5" s="38">
        <v>0.17460317460317459</v>
      </c>
      <c r="E5" s="103">
        <v>0</v>
      </c>
      <c r="F5" s="38">
        <v>0</v>
      </c>
      <c r="G5" s="104">
        <v>156</v>
      </c>
      <c r="H5" s="131">
        <v>0.82539682539682535</v>
      </c>
      <c r="I5" s="128"/>
      <c r="J5" s="128"/>
      <c r="L5" s="132">
        <v>202120</v>
      </c>
      <c r="M5" s="103">
        <v>92</v>
      </c>
      <c r="N5" s="103">
        <v>14</v>
      </c>
      <c r="O5" s="38">
        <v>0.15217391304347827</v>
      </c>
      <c r="P5" s="103">
        <v>0</v>
      </c>
      <c r="Q5" s="38">
        <v>0</v>
      </c>
      <c r="R5" s="104">
        <v>78</v>
      </c>
      <c r="S5" s="131">
        <v>0.84782608695652173</v>
      </c>
    </row>
    <row r="6" spans="1:22">
      <c r="A6" s="132">
        <v>202210</v>
      </c>
      <c r="B6" s="103">
        <f>IF(RIGHT($A6,2)="10",_xlfn.XLOOKUP($A6,[1]FIDCA!$B:$B,[1]FIDCA!C:C,0),_xlfn.XLOOKUP($A6,[2]FIDCA!$K:$K,[2]FIDCA!L:L,0))</f>
        <v>306</v>
      </c>
      <c r="C6" s="103">
        <f>IF(RIGHT($A6,2)="10",_xlfn.XLOOKUP($A6,[1]FIDCA!$B:$B,[1]FIDCA!D:D,0),_xlfn.XLOOKUP($A6,[2]FIDCA!$K:$K,[2]FIDCA!M:M,0))</f>
        <v>56</v>
      </c>
      <c r="D6" s="68">
        <f>IFERROR(C6/$B6,0)</f>
        <v>0.18300653594771241</v>
      </c>
      <c r="E6" s="103">
        <f>IF(RIGHT($A6,2)="10",_xlfn.XLOOKUP($A6,[1]FIDCA!$B:$B,[1]FIDCA!F:F,0),_xlfn.XLOOKUP($A6,[2]FIDCA!$K:$K,[2]FIDCA!O:O,0))</f>
        <v>0</v>
      </c>
      <c r="F6" s="38">
        <f>E6/B6</f>
        <v>0</v>
      </c>
      <c r="G6" s="104">
        <f>B6-C6</f>
        <v>250</v>
      </c>
      <c r="H6" s="108">
        <f>IFERROR(G6/$B6,0)</f>
        <v>0.81699346405228757</v>
      </c>
      <c r="I6" s="128"/>
      <c r="J6" s="128"/>
      <c r="L6" s="132">
        <v>202210</v>
      </c>
      <c r="M6" s="103">
        <f>IF(RIGHT($A6,2)="10",_xlfn.XLOOKUP($A6,'[1]FCAE 123'!$B:$B,'[1]FCAE 123'!C:C,0),_xlfn.XLOOKUP($A6,'[2]FCAE 123'!$K:$K,'[2]FCAE 123'!L:L,0))</f>
        <v>159</v>
      </c>
      <c r="N6" s="103">
        <f>IF(RIGHT($A6,2)="10",_xlfn.XLOOKUP($A6,'[1]FCAE 123'!$B:$B,'[1]FCAE 123'!D:D,0),_xlfn.XLOOKUP($A6,'[2]FCAE 123'!$K:$K,'[2]FCAE 123'!M:M,0))</f>
        <v>24</v>
      </c>
      <c r="O6" s="68">
        <f>IFERROR(N6/$M6,0)</f>
        <v>0.15094339622641509</v>
      </c>
      <c r="P6" s="103">
        <f>IF(RIGHT($A6,2)="10",_xlfn.XLOOKUP($A6,'[1]FCAE 123'!$B:$B,'[1]FCAE 123'!F:F,0),_xlfn.XLOOKUP($A6,'[2]FCAE 123'!$K:$K,'[2]FCAE 123'!O:O,0))</f>
        <v>0</v>
      </c>
      <c r="Q6" s="68">
        <f>IFERROR(P6/$M6,0)</f>
        <v>0</v>
      </c>
      <c r="R6" s="104">
        <f>M6-N6</f>
        <v>135</v>
      </c>
      <c r="S6" s="108">
        <f>IFERROR(R6/$M6,0)</f>
        <v>0.84905660377358494</v>
      </c>
    </row>
    <row r="7" spans="1:22">
      <c r="A7" s="132">
        <v>202220</v>
      </c>
      <c r="B7" s="103">
        <f>IF(RIGHT($A7,2)="10",_xlfn.XLOOKUP($A7,[1]FIDCA!$B:$B,[1]FIDCA!C:C,0),_xlfn.XLOOKUP($A7,[2]FIDCA!$K:$K,[2]FIDCA!L:L,0))</f>
        <v>258</v>
      </c>
      <c r="C7" s="103">
        <f>IF(RIGHT($A7,2)="10",_xlfn.XLOOKUP($A7,[1]FIDCA!$B:$B,[1]FIDCA!D:D,0),_xlfn.XLOOKUP($A7,[2]FIDCA!$K:$K,[2]FIDCA!M:M,0))</f>
        <v>55</v>
      </c>
      <c r="D7" s="68">
        <f>IFERROR(C7/$B7,0)</f>
        <v>0.2131782945736434</v>
      </c>
      <c r="E7" s="103">
        <f>IF(RIGHT($A7,2)="10",_xlfn.XLOOKUP($A7,[1]FIDCA!$B:$B,[1]FIDCA!F:F,0),_xlfn.XLOOKUP($A7,[2]FIDCA!$K:$K,[2]FIDCA!O:O,0))</f>
        <v>0</v>
      </c>
      <c r="F7" s="38">
        <f>E7/B7</f>
        <v>0</v>
      </c>
      <c r="G7" s="104">
        <f>B7-C7</f>
        <v>203</v>
      </c>
      <c r="H7" s="108">
        <f>IFERROR(G7/$B7,0)</f>
        <v>0.78682170542635654</v>
      </c>
      <c r="I7" s="128"/>
      <c r="J7" s="128"/>
      <c r="L7" s="132">
        <v>202220</v>
      </c>
      <c r="M7" s="103">
        <f>IF(RIGHT($A7,2)="10",_xlfn.XLOOKUP($A7,'[1]FCAE 123'!$B:$B,'[1]FCAE 123'!C:C,0),_xlfn.XLOOKUP($A7,'[2]FCAE 123'!$K:$K,'[2]FCAE 123'!L:L,0))</f>
        <v>97</v>
      </c>
      <c r="N7" s="103">
        <f>IF(RIGHT($A7,2)="10",_xlfn.XLOOKUP($A7,'[1]FCAE 123'!$B:$B,'[1]FCAE 123'!D:D,0),_xlfn.XLOOKUP($A7,'[2]FCAE 123'!$K:$K,'[2]FCAE 123'!M:M,0))</f>
        <v>20</v>
      </c>
      <c r="O7" s="68">
        <f>IFERROR(N7/$M7,0)</f>
        <v>0.20618556701030927</v>
      </c>
      <c r="P7" s="103">
        <f>IF(RIGHT($A7,2)="10",_xlfn.XLOOKUP($A7,'[1]FCAE 123'!$B:$B,'[1]FCAE 123'!F:F,0),_xlfn.XLOOKUP($A7,'[2]FCAE 123'!$K:$K,'[2]FCAE 123'!O:O,0))</f>
        <v>0</v>
      </c>
      <c r="Q7" s="68">
        <f>IFERROR(P7/$M7,0)</f>
        <v>0</v>
      </c>
      <c r="R7" s="104">
        <f>M7-N7</f>
        <v>77</v>
      </c>
      <c r="S7" s="108">
        <f>IFERROR(R7/$M7,0)</f>
        <v>0.79381443298969068</v>
      </c>
    </row>
    <row r="8" spans="1:22" ht="10.8" thickBot="1">
      <c r="A8" s="183">
        <v>202310</v>
      </c>
      <c r="B8" s="184">
        <v>268</v>
      </c>
      <c r="C8" s="184">
        <v>56</v>
      </c>
      <c r="D8" s="174">
        <f t="shared" ref="D8" si="0">C8/B8</f>
        <v>0.20895522388059701</v>
      </c>
      <c r="E8" s="184">
        <v>0</v>
      </c>
      <c r="F8" s="185">
        <f t="shared" ref="F8" si="1">E8/B8</f>
        <v>0</v>
      </c>
      <c r="G8" s="186">
        <v>212</v>
      </c>
      <c r="H8" s="175">
        <f t="shared" ref="H8" si="2">(B8-C8-E8)/B8</f>
        <v>0.79104477611940294</v>
      </c>
      <c r="I8" s="128"/>
      <c r="J8" s="128"/>
      <c r="L8" s="183">
        <v>202310</v>
      </c>
      <c r="M8" s="184">
        <v>201</v>
      </c>
      <c r="N8" s="184">
        <v>39</v>
      </c>
      <c r="O8" s="174">
        <f t="shared" ref="O8" si="3">N8/M8</f>
        <v>0.19402985074626866</v>
      </c>
      <c r="P8" s="184">
        <v>0</v>
      </c>
      <c r="Q8" s="174">
        <f t="shared" ref="Q8" si="4">P8/M8</f>
        <v>0</v>
      </c>
      <c r="R8" s="186">
        <v>162</v>
      </c>
      <c r="S8" s="175">
        <f t="shared" ref="S8" si="5">(M8-N8-P8)/M8</f>
        <v>0.80597014925373134</v>
      </c>
    </row>
    <row r="9" spans="1:22">
      <c r="A9" s="21"/>
      <c r="B9" s="22"/>
      <c r="C9" s="22"/>
      <c r="D9" s="23"/>
      <c r="E9" s="22"/>
      <c r="F9" s="23"/>
      <c r="G9" s="24"/>
      <c r="H9" s="23"/>
      <c r="I9" s="23"/>
      <c r="J9" s="23"/>
      <c r="L9" s="25"/>
      <c r="M9" s="22"/>
      <c r="N9" s="22"/>
      <c r="O9" s="23"/>
      <c r="P9" s="22"/>
      <c r="Q9" s="23"/>
      <c r="R9" s="24"/>
      <c r="S9" s="23"/>
    </row>
    <row r="10" spans="1:22" ht="29.25" hidden="1" customHeight="1">
      <c r="A10" s="219" t="s">
        <v>100</v>
      </c>
      <c r="B10" s="220"/>
      <c r="C10" s="220"/>
      <c r="D10" s="220"/>
      <c r="E10" s="220"/>
      <c r="F10" s="220"/>
      <c r="G10" s="220"/>
      <c r="H10" s="220"/>
      <c r="I10" s="220"/>
      <c r="J10" s="220"/>
      <c r="L10" s="219" t="s">
        <v>114</v>
      </c>
      <c r="M10" s="220"/>
      <c r="N10" s="220"/>
      <c r="O10" s="220"/>
      <c r="P10" s="220"/>
      <c r="Q10" s="220"/>
      <c r="R10" s="220"/>
      <c r="S10" s="220"/>
      <c r="T10" s="220"/>
      <c r="U10" s="220"/>
    </row>
    <row r="11" spans="1:22" ht="20.399999999999999" hidden="1">
      <c r="A11" s="90" t="str">
        <f>'1d. Retiro temprano.'!K30</f>
        <v>2023
212-221</v>
      </c>
      <c r="B11" s="90" t="str">
        <f>'1d. Retiro temprano.'!L30</f>
        <v>2024-1***
222</v>
      </c>
      <c r="J11" s="7"/>
      <c r="L11" s="90" t="str">
        <f>A11</f>
        <v>2023
212-221</v>
      </c>
      <c r="M11" s="90" t="str">
        <f>B11</f>
        <v>2024-1***
222</v>
      </c>
    </row>
    <row r="12" spans="1:22" hidden="1">
      <c r="A12" s="32">
        <f>(C5+C6)/(B5+B6)</f>
        <v>0.17979797979797979</v>
      </c>
      <c r="B12" s="32">
        <f>D7</f>
        <v>0.2131782945736434</v>
      </c>
      <c r="J12" s="7"/>
      <c r="L12" s="32">
        <f>(N5+N6)/(M5+M6)</f>
        <v>0.15139442231075698</v>
      </c>
      <c r="M12" s="32">
        <f>O7</f>
        <v>0.20618556701030927</v>
      </c>
    </row>
    <row r="13" spans="1:22" ht="15" hidden="1" customHeight="1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18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18"/>
    </row>
    <row r="14" spans="1:22" hidden="1">
      <c r="A14" s="206" t="s">
        <v>235</v>
      </c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 t="s">
        <v>235</v>
      </c>
      <c r="M14" s="206"/>
      <c r="N14" s="206"/>
      <c r="O14" s="206"/>
      <c r="P14" s="206"/>
      <c r="Q14" s="206"/>
      <c r="R14" s="206"/>
      <c r="S14" s="206"/>
      <c r="T14" s="206"/>
      <c r="U14" s="206"/>
      <c r="V14" s="206"/>
    </row>
  </sheetData>
  <mergeCells count="11">
    <mergeCell ref="A13:J13"/>
    <mergeCell ref="L13:U13"/>
    <mergeCell ref="A14:K14"/>
    <mergeCell ref="L14:V14"/>
    <mergeCell ref="A1:H1"/>
    <mergeCell ref="L1:S1"/>
    <mergeCell ref="A2:H2"/>
    <mergeCell ref="A3:H3"/>
    <mergeCell ref="L3:S3"/>
    <mergeCell ref="A10:J10"/>
    <mergeCell ref="L10:U10"/>
  </mergeCells>
  <pageMargins left="0.7" right="0.7" top="0.75" bottom="0.75" header="0.3" footer="0.3"/>
  <pageSetup orientation="portrait" r:id="rId1"/>
  <ignoredErrors>
    <ignoredError sqref="P6:P7 R6:R7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23.25" customHeight="1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 ht="14.25" customHeight="1">
      <c r="A3" s="228" t="s">
        <v>153</v>
      </c>
      <c r="B3" s="229"/>
      <c r="C3" s="229"/>
      <c r="D3" s="229"/>
      <c r="E3" s="229"/>
      <c r="F3" s="229"/>
      <c r="G3" s="229"/>
      <c r="H3" s="230"/>
      <c r="I3"/>
      <c r="J3"/>
      <c r="M3" s="228" t="s">
        <v>154</v>
      </c>
      <c r="N3" s="229"/>
      <c r="O3" s="229"/>
      <c r="P3" s="229"/>
      <c r="Q3" s="229"/>
      <c r="R3" s="229"/>
      <c r="S3" s="229"/>
      <c r="T3" s="230"/>
    </row>
    <row r="4" spans="1:20" ht="51">
      <c r="A4" s="60" t="s">
        <v>0</v>
      </c>
      <c r="B4" s="60" t="s">
        <v>93</v>
      </c>
      <c r="C4" s="60" t="s">
        <v>94</v>
      </c>
      <c r="D4" s="60" t="s">
        <v>95</v>
      </c>
      <c r="E4" s="60" t="s">
        <v>96</v>
      </c>
      <c r="F4" s="60" t="s">
        <v>97</v>
      </c>
      <c r="G4" s="60" t="s">
        <v>98</v>
      </c>
      <c r="H4" s="60" t="s">
        <v>99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59</v>
      </c>
      <c r="C5" s="57">
        <v>23</v>
      </c>
      <c r="D5" s="58">
        <v>0.38983050847457629</v>
      </c>
      <c r="E5" s="57">
        <v>0</v>
      </c>
      <c r="F5" s="58">
        <v>0</v>
      </c>
      <c r="G5" s="57">
        <v>36</v>
      </c>
      <c r="H5" s="58">
        <v>0.61016949152542377</v>
      </c>
      <c r="I5" s="125"/>
      <c r="J5" s="125"/>
      <c r="M5" s="55">
        <v>201310</v>
      </c>
      <c r="N5" s="57">
        <v>41</v>
      </c>
      <c r="O5" s="57">
        <v>15</v>
      </c>
      <c r="P5" s="58">
        <v>0.36585365853658536</v>
      </c>
      <c r="Q5" s="57">
        <v>0</v>
      </c>
      <c r="R5" s="58">
        <v>0</v>
      </c>
      <c r="S5" s="57">
        <v>26</v>
      </c>
      <c r="T5" s="58">
        <v>0.63414634146341464</v>
      </c>
    </row>
    <row r="6" spans="1:20" ht="13.5" customHeight="1">
      <c r="A6" s="59">
        <v>201320</v>
      </c>
      <c r="B6" s="57">
        <v>60</v>
      </c>
      <c r="C6" s="57">
        <v>18</v>
      </c>
      <c r="D6" s="76">
        <v>0.3</v>
      </c>
      <c r="E6" s="57">
        <v>0</v>
      </c>
      <c r="F6" s="76">
        <v>0</v>
      </c>
      <c r="G6" s="59">
        <v>42</v>
      </c>
      <c r="H6" s="76">
        <v>0.7</v>
      </c>
      <c r="I6" s="127"/>
      <c r="J6" s="127"/>
      <c r="M6" s="55">
        <v>201320</v>
      </c>
      <c r="N6" s="53">
        <v>34</v>
      </c>
      <c r="O6" s="53">
        <v>10</v>
      </c>
      <c r="P6" s="54">
        <v>0.29411764705882354</v>
      </c>
      <c r="Q6" s="53">
        <v>0</v>
      </c>
      <c r="R6" s="54">
        <v>0</v>
      </c>
      <c r="S6" s="55">
        <v>24</v>
      </c>
      <c r="T6" s="54">
        <v>0.70588235294117652</v>
      </c>
    </row>
    <row r="7" spans="1:20" ht="13.5" customHeight="1">
      <c r="A7" s="59">
        <v>201410</v>
      </c>
      <c r="B7" s="57">
        <v>55</v>
      </c>
      <c r="C7" s="57">
        <v>20</v>
      </c>
      <c r="D7" s="58">
        <v>0.36399999999999999</v>
      </c>
      <c r="E7" s="57">
        <v>0</v>
      </c>
      <c r="F7" s="58">
        <v>0</v>
      </c>
      <c r="G7" s="57">
        <v>35</v>
      </c>
      <c r="H7" s="58">
        <v>0.63600000000000001</v>
      </c>
      <c r="I7" s="125"/>
      <c r="J7" s="125"/>
      <c r="M7" s="55">
        <v>201410</v>
      </c>
      <c r="N7" s="53">
        <v>40</v>
      </c>
      <c r="O7" s="53">
        <v>14</v>
      </c>
      <c r="P7" s="54">
        <v>0.35</v>
      </c>
      <c r="Q7" s="53">
        <v>0</v>
      </c>
      <c r="R7" s="54">
        <v>0</v>
      </c>
      <c r="S7" s="55">
        <v>26</v>
      </c>
      <c r="T7" s="54">
        <v>0.65</v>
      </c>
    </row>
    <row r="8" spans="1:20" ht="13.5" customHeight="1">
      <c r="A8" s="59">
        <v>201420</v>
      </c>
      <c r="B8" s="53">
        <v>76</v>
      </c>
      <c r="C8" s="53">
        <v>25</v>
      </c>
      <c r="D8" s="54">
        <v>0.32900000000000001</v>
      </c>
      <c r="E8" s="53">
        <v>0</v>
      </c>
      <c r="F8" s="54">
        <v>0</v>
      </c>
      <c r="G8" s="55">
        <v>51</v>
      </c>
      <c r="H8" s="54">
        <v>0.67100000000000004</v>
      </c>
      <c r="I8" s="23"/>
      <c r="J8" s="23"/>
      <c r="M8" s="55">
        <v>201420</v>
      </c>
      <c r="N8" s="53">
        <v>35</v>
      </c>
      <c r="O8" s="53">
        <v>11</v>
      </c>
      <c r="P8" s="54">
        <v>0.314</v>
      </c>
      <c r="Q8" s="53">
        <v>0</v>
      </c>
      <c r="R8" s="54">
        <v>0</v>
      </c>
      <c r="S8" s="55">
        <v>24</v>
      </c>
      <c r="T8" s="54">
        <v>0.68600000000000005</v>
      </c>
    </row>
    <row r="9" spans="1:20" ht="13.5" customHeight="1">
      <c r="A9" s="59">
        <v>201510</v>
      </c>
      <c r="B9" s="53">
        <v>105</v>
      </c>
      <c r="C9" s="53">
        <v>27</v>
      </c>
      <c r="D9" s="54">
        <v>0.25700000000000001</v>
      </c>
      <c r="E9" s="53">
        <v>0</v>
      </c>
      <c r="F9" s="54">
        <v>0</v>
      </c>
      <c r="G9" s="55">
        <v>78</v>
      </c>
      <c r="H9" s="54">
        <v>0.74299999999999999</v>
      </c>
      <c r="I9" s="23"/>
      <c r="J9" s="23"/>
      <c r="M9" s="55">
        <v>201510</v>
      </c>
      <c r="N9" s="53">
        <v>98</v>
      </c>
      <c r="O9" s="53">
        <v>25</v>
      </c>
      <c r="P9" s="54">
        <v>0.255</v>
      </c>
      <c r="Q9" s="53">
        <v>0</v>
      </c>
      <c r="R9" s="54">
        <v>0</v>
      </c>
      <c r="S9" s="55">
        <v>73</v>
      </c>
      <c r="T9" s="54">
        <v>0.745</v>
      </c>
    </row>
    <row r="10" spans="1:20" ht="13.5" customHeight="1">
      <c r="A10" s="59">
        <v>201520</v>
      </c>
      <c r="B10" s="53">
        <v>50</v>
      </c>
      <c r="C10" s="53">
        <v>12</v>
      </c>
      <c r="D10" s="54">
        <v>0.24</v>
      </c>
      <c r="E10" s="53">
        <v>0</v>
      </c>
      <c r="F10" s="54">
        <v>0</v>
      </c>
      <c r="G10" s="55">
        <v>38</v>
      </c>
      <c r="H10" s="54">
        <v>0.76</v>
      </c>
      <c r="I10" s="23"/>
      <c r="J10" s="23"/>
      <c r="M10" s="55">
        <v>201520</v>
      </c>
      <c r="N10" s="53">
        <v>24</v>
      </c>
      <c r="O10" s="53">
        <v>8</v>
      </c>
      <c r="P10" s="54">
        <v>0.33333333333333331</v>
      </c>
      <c r="Q10" s="53">
        <v>0</v>
      </c>
      <c r="R10" s="54">
        <v>0</v>
      </c>
      <c r="S10" s="55">
        <v>16</v>
      </c>
      <c r="T10" s="54">
        <v>0.66666666666666663</v>
      </c>
    </row>
    <row r="11" spans="1:20" ht="13.5" customHeight="1">
      <c r="A11" s="59">
        <v>201610</v>
      </c>
      <c r="B11" s="53">
        <v>132</v>
      </c>
      <c r="C11" s="53">
        <v>29</v>
      </c>
      <c r="D11" s="54">
        <v>0.2196969696969697</v>
      </c>
      <c r="E11" s="53">
        <v>0</v>
      </c>
      <c r="F11" s="54">
        <v>0</v>
      </c>
      <c r="G11" s="55">
        <v>103</v>
      </c>
      <c r="H11" s="54">
        <v>0.78030303030303028</v>
      </c>
      <c r="I11" s="23"/>
      <c r="J11" s="23"/>
      <c r="M11" s="55">
        <v>201610</v>
      </c>
      <c r="N11" s="53">
        <v>117</v>
      </c>
      <c r="O11" s="53">
        <v>24</v>
      </c>
      <c r="P11" s="54">
        <v>0.20512820512820512</v>
      </c>
      <c r="Q11" s="53">
        <v>0</v>
      </c>
      <c r="R11" s="54">
        <v>0</v>
      </c>
      <c r="S11" s="55">
        <v>93</v>
      </c>
      <c r="T11" s="54">
        <v>0.79487179487179482</v>
      </c>
    </row>
    <row r="12" spans="1:20" ht="13.5" customHeight="1">
      <c r="A12" s="59">
        <v>201620</v>
      </c>
      <c r="B12" s="57">
        <v>72</v>
      </c>
      <c r="C12" s="57">
        <v>15</v>
      </c>
      <c r="D12" s="58">
        <v>0.20833333333333334</v>
      </c>
      <c r="E12" s="57">
        <v>0</v>
      </c>
      <c r="F12" s="58">
        <v>0</v>
      </c>
      <c r="G12" s="57">
        <v>57</v>
      </c>
      <c r="H12" s="58">
        <v>0.79166666666666663</v>
      </c>
      <c r="I12" s="125"/>
      <c r="J12" s="125"/>
      <c r="M12" s="55">
        <v>201620</v>
      </c>
      <c r="N12" s="57">
        <v>27</v>
      </c>
      <c r="O12" s="57">
        <v>2</v>
      </c>
      <c r="P12" s="58">
        <v>7.407407407407407E-2</v>
      </c>
      <c r="Q12" s="57">
        <v>0</v>
      </c>
      <c r="R12" s="58">
        <v>0</v>
      </c>
      <c r="S12" s="57">
        <v>25</v>
      </c>
      <c r="T12" s="58">
        <v>0.92592592592592593</v>
      </c>
    </row>
    <row r="13" spans="1:20" ht="13.5" customHeight="1">
      <c r="A13" s="59">
        <v>201710</v>
      </c>
      <c r="B13" s="53">
        <v>71</v>
      </c>
      <c r="C13" s="53">
        <v>10</v>
      </c>
      <c r="D13" s="54">
        <v>0.14084507042253522</v>
      </c>
      <c r="E13" s="53">
        <v>0</v>
      </c>
      <c r="F13" s="54">
        <v>0</v>
      </c>
      <c r="G13" s="55">
        <v>61</v>
      </c>
      <c r="H13" s="54">
        <v>0.85915492957746475</v>
      </c>
      <c r="I13" s="23"/>
      <c r="J13" s="23"/>
      <c r="M13" s="55">
        <v>201710</v>
      </c>
      <c r="N13" s="53">
        <v>62</v>
      </c>
      <c r="O13" s="53">
        <v>9</v>
      </c>
      <c r="P13" s="54">
        <v>0.14516129032258066</v>
      </c>
      <c r="Q13" s="53">
        <v>0</v>
      </c>
      <c r="R13" s="54">
        <v>0</v>
      </c>
      <c r="S13" s="55">
        <v>53</v>
      </c>
      <c r="T13" s="54">
        <v>0.85483870967741937</v>
      </c>
    </row>
    <row r="14" spans="1:20" ht="13.5" customHeight="1">
      <c r="A14" s="59">
        <v>201720</v>
      </c>
      <c r="B14" s="53">
        <v>51</v>
      </c>
      <c r="C14" s="53">
        <v>12</v>
      </c>
      <c r="D14" s="54">
        <v>0.23529411764705882</v>
      </c>
      <c r="E14" s="53">
        <v>0</v>
      </c>
      <c r="F14" s="54">
        <v>0</v>
      </c>
      <c r="G14" s="55">
        <v>39</v>
      </c>
      <c r="H14" s="54">
        <v>0.76470588235294112</v>
      </c>
      <c r="I14" s="23"/>
      <c r="J14" s="23"/>
      <c r="M14" s="55">
        <v>201720</v>
      </c>
      <c r="N14" s="53">
        <v>20</v>
      </c>
      <c r="O14" s="53">
        <v>5</v>
      </c>
      <c r="P14" s="54">
        <v>0.25</v>
      </c>
      <c r="Q14" s="53">
        <v>0</v>
      </c>
      <c r="R14" s="54">
        <v>0</v>
      </c>
      <c r="S14" s="55">
        <v>15</v>
      </c>
      <c r="T14" s="54">
        <v>0.75</v>
      </c>
    </row>
    <row r="15" spans="1:20" ht="13.5" customHeight="1">
      <c r="A15" s="59">
        <v>201810</v>
      </c>
      <c r="B15" s="53">
        <v>41</v>
      </c>
      <c r="C15" s="53">
        <v>6</v>
      </c>
      <c r="D15" s="54">
        <v>0.14634146341463414</v>
      </c>
      <c r="E15" s="53">
        <v>0</v>
      </c>
      <c r="F15" s="54">
        <v>0</v>
      </c>
      <c r="G15" s="55">
        <v>35</v>
      </c>
      <c r="H15" s="54">
        <v>0.85365853658536583</v>
      </c>
      <c r="I15" s="23"/>
      <c r="J15" s="23"/>
      <c r="M15" s="55">
        <v>201810</v>
      </c>
      <c r="N15" s="53">
        <v>31</v>
      </c>
      <c r="O15" s="53">
        <v>1</v>
      </c>
      <c r="P15" s="54">
        <v>3.2258064516129031E-2</v>
      </c>
      <c r="Q15" s="53">
        <v>0</v>
      </c>
      <c r="R15" s="54">
        <v>0</v>
      </c>
      <c r="S15" s="55">
        <v>30</v>
      </c>
      <c r="T15" s="54">
        <v>0.967741935483871</v>
      </c>
    </row>
    <row r="16" spans="1:20" ht="13.5" customHeight="1">
      <c r="A16" s="59">
        <v>201820</v>
      </c>
      <c r="B16" s="53">
        <v>61</v>
      </c>
      <c r="C16" s="53">
        <v>10</v>
      </c>
      <c r="D16" s="54">
        <v>0.16393442622950818</v>
      </c>
      <c r="E16" s="53">
        <v>0</v>
      </c>
      <c r="F16" s="54">
        <v>0</v>
      </c>
      <c r="G16" s="55">
        <v>51</v>
      </c>
      <c r="H16" s="54">
        <v>0.83606557377049184</v>
      </c>
      <c r="I16" s="23"/>
      <c r="J16" s="23"/>
      <c r="M16" s="59">
        <v>201820</v>
      </c>
      <c r="N16" s="53">
        <v>24</v>
      </c>
      <c r="O16" s="53">
        <v>2</v>
      </c>
      <c r="P16" s="54">
        <v>8.3333333333333329E-2</v>
      </c>
      <c r="Q16" s="53">
        <v>0</v>
      </c>
      <c r="R16" s="54">
        <v>0</v>
      </c>
      <c r="S16" s="55">
        <v>22</v>
      </c>
      <c r="T16" s="54">
        <v>0.91666666666666663</v>
      </c>
    </row>
    <row r="17" spans="1:23" s="18" customFormat="1" ht="13.5" customHeight="1">
      <c r="A17" s="59">
        <v>201910</v>
      </c>
      <c r="B17" s="53">
        <v>26</v>
      </c>
      <c r="C17" s="53">
        <v>5</v>
      </c>
      <c r="D17" s="54">
        <v>0.19230769230769229</v>
      </c>
      <c r="E17" s="53">
        <v>1</v>
      </c>
      <c r="F17" s="54">
        <v>3.8461538461538457E-2</v>
      </c>
      <c r="G17" s="55">
        <v>20</v>
      </c>
      <c r="H17" s="54">
        <v>0.76923076923076927</v>
      </c>
      <c r="I17" s="23"/>
      <c r="J17" s="23"/>
      <c r="M17" s="59">
        <v>201910</v>
      </c>
      <c r="N17" s="53">
        <v>17</v>
      </c>
      <c r="O17" s="53">
        <v>5</v>
      </c>
      <c r="P17" s="54">
        <v>0.29411764705882348</v>
      </c>
      <c r="Q17" s="53">
        <v>0</v>
      </c>
      <c r="R17" s="54">
        <v>0</v>
      </c>
      <c r="S17" s="55">
        <v>12</v>
      </c>
      <c r="T17" s="54">
        <v>0.70588235294117663</v>
      </c>
    </row>
    <row r="18" spans="1:23" s="18" customFormat="1" ht="13.5" customHeight="1">
      <c r="A18" s="59">
        <v>201920</v>
      </c>
      <c r="B18" s="53">
        <v>29</v>
      </c>
      <c r="C18" s="53">
        <v>1</v>
      </c>
      <c r="D18" s="54">
        <v>3.4482758620689648E-2</v>
      </c>
      <c r="E18" s="53">
        <v>0</v>
      </c>
      <c r="F18" s="54">
        <v>0</v>
      </c>
      <c r="G18" s="55">
        <v>28</v>
      </c>
      <c r="H18" s="54">
        <v>0.96551724137931039</v>
      </c>
      <c r="I18" s="23"/>
      <c r="J18" s="23"/>
      <c r="M18" s="59">
        <v>201920</v>
      </c>
      <c r="N18" s="53">
        <v>8</v>
      </c>
      <c r="O18" s="53">
        <v>0</v>
      </c>
      <c r="P18" s="54">
        <v>0</v>
      </c>
      <c r="Q18" s="53">
        <v>0</v>
      </c>
      <c r="R18" s="54">
        <v>0</v>
      </c>
      <c r="S18" s="55">
        <v>8</v>
      </c>
      <c r="T18" s="54">
        <v>1</v>
      </c>
    </row>
    <row r="19" spans="1:23" s="18" customFormat="1" ht="13.5" customHeight="1">
      <c r="A19" s="59">
        <v>202010</v>
      </c>
      <c r="B19" s="53">
        <v>27</v>
      </c>
      <c r="C19" s="53">
        <v>3</v>
      </c>
      <c r="D19" s="54">
        <v>0.1111111111111111</v>
      </c>
      <c r="E19" s="53">
        <v>0</v>
      </c>
      <c r="F19" s="54">
        <v>0</v>
      </c>
      <c r="G19" s="55">
        <v>24</v>
      </c>
      <c r="H19" s="54">
        <v>0.88888888888888884</v>
      </c>
      <c r="I19" s="23"/>
      <c r="J19" s="23"/>
      <c r="M19" s="59">
        <v>202010</v>
      </c>
      <c r="N19" s="53">
        <v>19</v>
      </c>
      <c r="O19" s="53">
        <v>1</v>
      </c>
      <c r="P19" s="54">
        <v>5.2631578947368418E-2</v>
      </c>
      <c r="Q19" s="53">
        <v>0</v>
      </c>
      <c r="R19" s="54">
        <v>0</v>
      </c>
      <c r="S19" s="55">
        <v>18</v>
      </c>
      <c r="T19" s="54">
        <v>0.94736842105263153</v>
      </c>
    </row>
    <row r="20" spans="1:23" s="18" customFormat="1" ht="13.5" customHeight="1">
      <c r="A20" s="59">
        <v>202020</v>
      </c>
      <c r="B20" s="53">
        <v>31</v>
      </c>
      <c r="C20" s="53">
        <v>5</v>
      </c>
      <c r="D20" s="54">
        <v>0.16129032258064516</v>
      </c>
      <c r="E20" s="53">
        <v>0</v>
      </c>
      <c r="F20" s="54">
        <v>0</v>
      </c>
      <c r="G20" s="55">
        <v>26</v>
      </c>
      <c r="H20" s="54">
        <v>0.83870967741935487</v>
      </c>
      <c r="I20" s="23"/>
      <c r="J20" s="23"/>
      <c r="M20" s="59">
        <v>202020</v>
      </c>
      <c r="N20" s="53">
        <v>10</v>
      </c>
      <c r="O20" s="53">
        <v>3</v>
      </c>
      <c r="P20" s="54">
        <v>0.3</v>
      </c>
      <c r="Q20" s="53">
        <v>0</v>
      </c>
      <c r="R20" s="54">
        <v>0</v>
      </c>
      <c r="S20" s="55">
        <v>7</v>
      </c>
      <c r="T20" s="54">
        <v>0.7</v>
      </c>
    </row>
    <row r="21" spans="1:23" s="18" customFormat="1" ht="13.5" customHeight="1">
      <c r="A21" s="59">
        <v>202110</v>
      </c>
      <c r="B21" s="53">
        <v>13</v>
      </c>
      <c r="C21" s="53">
        <v>0</v>
      </c>
      <c r="D21" s="54">
        <v>0</v>
      </c>
      <c r="E21" s="53">
        <v>0</v>
      </c>
      <c r="F21" s="54">
        <v>0</v>
      </c>
      <c r="G21" s="55">
        <v>13</v>
      </c>
      <c r="H21" s="54">
        <v>1</v>
      </c>
      <c r="I21" s="23"/>
      <c r="J21" s="23"/>
      <c r="M21" s="59">
        <v>202110</v>
      </c>
      <c r="N21" s="53">
        <v>8</v>
      </c>
      <c r="O21" s="53">
        <v>0</v>
      </c>
      <c r="P21" s="54">
        <v>0</v>
      </c>
      <c r="Q21" s="53">
        <v>0</v>
      </c>
      <c r="R21" s="54">
        <v>0</v>
      </c>
      <c r="S21" s="55">
        <v>8</v>
      </c>
      <c r="T21" s="54">
        <v>1</v>
      </c>
    </row>
    <row r="22" spans="1:23" s="18" customFormat="1" ht="13.5" customHeight="1">
      <c r="A22" s="59">
        <v>202120</v>
      </c>
      <c r="B22" s="53">
        <v>20</v>
      </c>
      <c r="C22" s="53">
        <v>3</v>
      </c>
      <c r="D22" s="54">
        <v>0.15</v>
      </c>
      <c r="E22" s="53">
        <v>0</v>
      </c>
      <c r="F22" s="54">
        <v>0</v>
      </c>
      <c r="G22" s="55">
        <v>17</v>
      </c>
      <c r="H22" s="54">
        <v>0.85</v>
      </c>
      <c r="I22" s="23"/>
      <c r="J22" s="23"/>
      <c r="M22" s="59">
        <v>202120</v>
      </c>
      <c r="N22" s="53">
        <v>11</v>
      </c>
      <c r="O22" s="53">
        <v>3</v>
      </c>
      <c r="P22" s="54">
        <v>0.27272727272727271</v>
      </c>
      <c r="Q22" s="53">
        <v>0</v>
      </c>
      <c r="R22" s="54">
        <v>0</v>
      </c>
      <c r="S22" s="55">
        <v>8</v>
      </c>
      <c r="T22" s="54">
        <v>0.72727272727272729</v>
      </c>
    </row>
    <row r="23" spans="1:23" s="18" customFormat="1" ht="13.5" customHeight="1">
      <c r="A23" s="98">
        <v>202210</v>
      </c>
      <c r="B23" s="103" cm="1">
        <f t="array" ref="B23">IF(RIGHT($A23,2)="10",_xlfn.XLOOKUP("IND"&amp;$A23,[1]PROGRAMA!$A:$A&amp;[1]PROGRAMA!$B:$B,[1]PROGRAMA!C:C,0),_xlfn.XLOOKUP("IND"&amp;$A23,[2]PROGRAMA!$A:$A&amp;[2]PROGRAMA!$B:$B,[2]PROGRAMA!C:C,0))</f>
        <v>28</v>
      </c>
      <c r="C23" s="103" cm="1">
        <f t="array" ref="C23">IF(RIGHT($A23,2)="10",_xlfn.XLOOKUP("IND"&amp;$A23,[1]PROGRAMA!$A:$A&amp;[1]PROGRAMA!$B:$B,[1]PROGRAMA!D:D,0),_xlfn.XLOOKUP("IND"&amp;$A23,[2]PROGRAMA!$A:$A&amp;[2]PROGRAMA!$B:$B,[2]PROGRAMA!D:D,0))</f>
        <v>4</v>
      </c>
      <c r="D23" s="68">
        <f>IFERROR(C23/$B23,0)</f>
        <v>0.14285714285714285</v>
      </c>
      <c r="E23" s="103" cm="1">
        <f t="array" ref="E23">IF(RIGHT($A23,2)="10",_xlfn.XLOOKUP("IND"&amp;$A23,[1]PROGRAMA!$A:$A&amp;[1]PROGRAMA!$B:$B,[1]PROGRAMA!E:E,0),_xlfn.XLOOKUP("IND"&amp;$A23,[2]PROGRAMA!$A:$A&amp;[2]PROGRAMA!$B:$B,[2]PROGRAMA!E:E,0))</f>
        <v>0</v>
      </c>
      <c r="F23" s="68">
        <f>IFERROR(E23/$B23,0)</f>
        <v>0</v>
      </c>
      <c r="G23" s="104">
        <f>B23-C23</f>
        <v>24</v>
      </c>
      <c r="H23" s="68">
        <f>IFERROR(G23/$B23,0)</f>
        <v>0.8571428571428571</v>
      </c>
      <c r="I23" s="128"/>
      <c r="J23" s="128"/>
      <c r="K23" s="7"/>
      <c r="L23" s="7"/>
      <c r="M23" s="98">
        <v>202210</v>
      </c>
      <c r="N23" s="103" cm="1">
        <f t="array" ref="N23">IF(RIGHT($A23,2)="10",_xlfn.XLOOKUP("IND"&amp;$A23,'[1]PROGRAMA 123'!$A:$A&amp;'[1]PROGRAMA 123'!$B:$B,'[1]PROGRAMA 123'!C:C,0),_xlfn.XLOOKUP("IND"&amp;$A23,'[2]PROGRAMA 123'!$A:$A&amp;'[2]PROGRAMA 123'!$B:$B,'[2]PROGRAMA 123'!C:C,0))</f>
        <v>17</v>
      </c>
      <c r="O23" s="103" cm="1">
        <f t="array" ref="O23">IF(RIGHT($A23,2)="10",_xlfn.XLOOKUP("IND"&amp;$A23,'[1]PROGRAMA 123'!$A:$A&amp;'[1]PROGRAMA 123'!$B:$B,'[1]PROGRAMA 123'!D:D,0),_xlfn.XLOOKUP("IND"&amp;$A23,'[2]PROGRAMA 123'!$A:$A&amp;'[2]PROGRAMA 123'!$B:$B,'[2]PROGRAMA 123'!D:D,0))</f>
        <v>1</v>
      </c>
      <c r="P23" s="68">
        <f>IFERROR(O23/$N23,0)</f>
        <v>5.8823529411764705E-2</v>
      </c>
      <c r="Q23" s="103" cm="1">
        <f t="array" ref="Q23">IF(RIGHT($A23,2)="10",_xlfn.XLOOKUP("IND"&amp;$A23,'[1]PROGRAMA 123'!$A:$A&amp;'[1]PROGRAMA 123'!$B:$B,'[1]PROGRAMA 123'!E:E,0),_xlfn.XLOOKUP("IND"&amp;$A23,'[2]PROGRAMA 123'!$A:$A&amp;'[2]PROGRAMA 123'!$B:$B,'[2]PROGRAMA 123'!E:E,0))</f>
        <v>0</v>
      </c>
      <c r="R23" s="68">
        <f>IFERROR(Q23/$N23,0)</f>
        <v>0</v>
      </c>
      <c r="S23" s="104">
        <f>N23-O23</f>
        <v>16</v>
      </c>
      <c r="T23" s="68">
        <f>IFERROR(S23/$N23,0)</f>
        <v>0.94117647058823528</v>
      </c>
    </row>
    <row r="24" spans="1:23" s="18" customFormat="1" ht="13.5" customHeight="1">
      <c r="A24" s="98">
        <v>202220</v>
      </c>
      <c r="B24" s="103" cm="1">
        <f t="array" ref="B24">IF(RIGHT($A24,2)="10",_xlfn.XLOOKUP("IND"&amp;$A24,[1]PROGRAMA!$A:$A&amp;[1]PROGRAMA!$B:$B,[1]PROGRAMA!C:C,0),_xlfn.XLOOKUP("IND"&amp;$A24,[2]PROGRAMA!$A:$A&amp;[2]PROGRAMA!$B:$B,[2]PROGRAMA!C:C,0))</f>
        <v>29</v>
      </c>
      <c r="C24" s="103" cm="1">
        <f t="array" ref="C24">IF(RIGHT($A24,2)="10",_xlfn.XLOOKUP("IND"&amp;$A24,[1]PROGRAMA!$A:$A&amp;[1]PROGRAMA!$B:$B,[1]PROGRAMA!D:D,0),_xlfn.XLOOKUP("IND"&amp;$A24,[2]PROGRAMA!$A:$A&amp;[2]PROGRAMA!$B:$B,[2]PROGRAMA!D:D,0))</f>
        <v>6</v>
      </c>
      <c r="D24" s="68">
        <f>IFERROR(C24/$B24,0)</f>
        <v>0.20689655172413793</v>
      </c>
      <c r="E24" s="103" cm="1">
        <f t="array" ref="E24">IF(RIGHT($A24,2)="10",_xlfn.XLOOKUP("IND"&amp;$A24,[1]PROGRAMA!$A:$A&amp;[1]PROGRAMA!$B:$B,[1]PROGRAMA!E:E,0),_xlfn.XLOOKUP("IND"&amp;$A24,[2]PROGRAMA!$A:$A&amp;[2]PROGRAMA!$B:$B,[2]PROGRAMA!E:E,0))</f>
        <v>0</v>
      </c>
      <c r="F24" s="68">
        <f>IFERROR(E24/$B24,0)</f>
        <v>0</v>
      </c>
      <c r="G24" s="104">
        <f>B24-C24</f>
        <v>23</v>
      </c>
      <c r="H24" s="68">
        <f>IFERROR(G24/$B24,0)</f>
        <v>0.7931034482758621</v>
      </c>
      <c r="I24" s="128"/>
      <c r="J24" s="128"/>
      <c r="K24" s="7"/>
      <c r="L24" s="7"/>
      <c r="M24" s="98">
        <v>202220</v>
      </c>
      <c r="N24" s="103" cm="1">
        <f t="array" ref="N24">IF(RIGHT($A24,2)="10",_xlfn.XLOOKUP("IND"&amp;$A24,'[1]PROGRAMA 123'!$A:$A&amp;'[1]PROGRAMA 123'!$B:$B,'[1]PROGRAMA 123'!C:C,0),_xlfn.XLOOKUP("IND"&amp;$A24,'[2]PROGRAMA 123'!$A:$A&amp;'[2]PROGRAMA 123'!$B:$B,'[2]PROGRAMA 123'!C:C,0))</f>
        <v>14</v>
      </c>
      <c r="O24" s="103" cm="1">
        <f t="array" ref="O24">IF(RIGHT($A24,2)="10",_xlfn.XLOOKUP("IND"&amp;$A24,'[1]PROGRAMA 123'!$A:$A&amp;'[1]PROGRAMA 123'!$B:$B,'[1]PROGRAMA 123'!D:D,0),_xlfn.XLOOKUP("IND"&amp;$A24,'[2]PROGRAMA 123'!$A:$A&amp;'[2]PROGRAMA 123'!$B:$B,'[2]PROGRAMA 123'!D:D,0))</f>
        <v>4</v>
      </c>
      <c r="P24" s="68">
        <f>IFERROR(O24/$N24,0)</f>
        <v>0.2857142857142857</v>
      </c>
      <c r="Q24" s="103" cm="1">
        <f t="array" ref="Q24">IF(RIGHT($A24,2)="10",_xlfn.XLOOKUP("IND"&amp;$A24,'[1]PROGRAMA 123'!$A:$A&amp;'[1]PROGRAMA 123'!$B:$B,'[1]PROGRAMA 123'!E:E,0),_xlfn.XLOOKUP("IND"&amp;$A24,'[2]PROGRAMA 123'!$A:$A&amp;'[2]PROGRAMA 123'!$B:$B,'[2]PROGRAMA 123'!E:E,0))</f>
        <v>0</v>
      </c>
      <c r="R24" s="68">
        <f>IFERROR(Q24/$N24,0)</f>
        <v>0</v>
      </c>
      <c r="S24" s="104">
        <f>N24-O24</f>
        <v>10</v>
      </c>
      <c r="T24" s="68">
        <f>IFERROR(S24/$N24,0)</f>
        <v>0.7142857142857143</v>
      </c>
    </row>
    <row r="25" spans="1:23" s="18" customFormat="1" ht="13.5" customHeight="1">
      <c r="A25" s="98" t="s">
        <v>239</v>
      </c>
      <c r="B25" s="103">
        <v>31</v>
      </c>
      <c r="C25" s="103">
        <v>4</v>
      </c>
      <c r="D25" s="68">
        <f>IFERROR(C25/$B25,0)</f>
        <v>0.12903225806451613</v>
      </c>
      <c r="E25" s="103">
        <v>0</v>
      </c>
      <c r="F25" s="68">
        <v>0</v>
      </c>
      <c r="G25" s="104">
        <v>27</v>
      </c>
      <c r="H25" s="68">
        <f>IFERROR(G25/$B25,0)</f>
        <v>0.87096774193548387</v>
      </c>
      <c r="I25" s="128"/>
      <c r="J25" s="128"/>
      <c r="K25" s="7"/>
      <c r="L25" s="7"/>
      <c r="M25" s="98" t="s">
        <v>239</v>
      </c>
      <c r="N25" s="103">
        <v>21</v>
      </c>
      <c r="O25" s="103">
        <v>2</v>
      </c>
      <c r="P25" s="68">
        <f>IFERROR(O25/$N25,0)</f>
        <v>9.5238095238095233E-2</v>
      </c>
      <c r="Q25" s="103">
        <v>0</v>
      </c>
      <c r="R25" s="68">
        <v>0</v>
      </c>
      <c r="S25" s="104">
        <v>19</v>
      </c>
      <c r="T25" s="68">
        <f>IFERROR(S25/$N25,0)</f>
        <v>0.90476190476190477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122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0.38983050847457629</v>
      </c>
      <c r="B29" s="37">
        <f>+((B6*D6)+(B7*D7))/(B6+B7)</f>
        <v>0.33060869565217388</v>
      </c>
      <c r="C29" s="32">
        <f>((B8*D8)+(B9*D9))/(B8+B9)</f>
        <v>0.28723204419889503</v>
      </c>
      <c r="D29" s="32">
        <f>+((B10*D10)+(B11*D11))/(B10+B11)</f>
        <v>0.22527472527472528</v>
      </c>
      <c r="E29" s="32">
        <f>((B12*D12)+(B13*D13))/(B12+B13)</f>
        <v>0.17482517482517482</v>
      </c>
      <c r="F29" s="32">
        <f>((B14*D14)+(B15*D15))/(B14+B15)</f>
        <v>0.19565217391304349</v>
      </c>
      <c r="G29" s="32">
        <f>((B16*D16)+(B17*D17))/(B16+B17)</f>
        <v>0.17241379310344829</v>
      </c>
      <c r="H29" s="32">
        <f>((B18*D18)+(B19*D19))/(B18+B19)</f>
        <v>7.1428571428571425E-2</v>
      </c>
      <c r="I29" s="32">
        <f>((B20*D20)+(B21*D21))/(B20+B21)</f>
        <v>0.11363636363636363</v>
      </c>
      <c r="J29" s="32">
        <f>(C22+C23)/(B22+B23)</f>
        <v>0.14583333333333334</v>
      </c>
      <c r="K29" s="32">
        <f>D24</f>
        <v>0.20689655172413793</v>
      </c>
      <c r="L29" s="6"/>
      <c r="M29" s="37">
        <f>P5</f>
        <v>0.36585365853658536</v>
      </c>
      <c r="N29" s="37">
        <f>+((N6*P6)+(N7*P7))/(N6+N7)</f>
        <v>0.32432432432432434</v>
      </c>
      <c r="O29" s="32">
        <f>((N8*P8)+(N9*P9))/(N8+N9)</f>
        <v>0.27052631578947373</v>
      </c>
      <c r="P29" s="32">
        <f>+((N10*P10)+(N11*P11))/(N10+N11)</f>
        <v>0.22695035460992907</v>
      </c>
      <c r="Q29" s="32">
        <f>((N12*P12)+(N13*P13))/(N12+N13)</f>
        <v>0.12359550561797752</v>
      </c>
      <c r="R29" s="32">
        <f>((N14*P14)+(N15*P15))/(N14+N15)</f>
        <v>0.11764705882352941</v>
      </c>
      <c r="S29" s="32">
        <f>((N16*P16)+(N17*P17))/(N16+N17)</f>
        <v>0.17073170731707316</v>
      </c>
      <c r="T29" s="32">
        <f>((N18*P18)+(N19*P19))/(N18+N19)</f>
        <v>3.7037037037037035E-2</v>
      </c>
      <c r="U29" s="32">
        <f>((N20*P20)+(N21*P21))/(N20+N21)</f>
        <v>0.16666666666666666</v>
      </c>
      <c r="V29" s="32">
        <f>(O22+O23)/(N22+N23)</f>
        <v>0.14285714285714285</v>
      </c>
      <c r="W29" s="32">
        <f>P24</f>
        <v>0.2857142857142857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0:J30"/>
    <mergeCell ref="A31:K31"/>
    <mergeCell ref="M30:V30"/>
    <mergeCell ref="M31:W31"/>
    <mergeCell ref="A27:K27"/>
    <mergeCell ref="M27:W27"/>
    <mergeCell ref="A1:H1"/>
    <mergeCell ref="M1:T1"/>
    <mergeCell ref="A2:H2"/>
    <mergeCell ref="A3:H3"/>
    <mergeCell ref="M2:T2"/>
    <mergeCell ref="M3:T3"/>
  </mergeCells>
  <pageMargins left="0.7" right="0.7" top="0.75" bottom="0.75" header="0.3" footer="0.3"/>
  <pageSetup orientation="portrait" r:id="rId1"/>
  <ignoredErrors>
    <ignoredError sqref="M24:O24 M23:O23 Q23 Q24 S23 S24 E23:K23 E24:K24" formula="1"/>
    <ignoredError sqref="A25 M2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W41"/>
  <sheetViews>
    <sheetView showGridLines="0" tabSelected="1" topLeftCell="A12" zoomScale="105" workbookViewId="0">
      <selection activeCell="D26" sqref="D26"/>
    </sheetView>
  </sheetViews>
  <sheetFormatPr baseColWidth="10" defaultColWidth="11.44140625" defaultRowHeight="10.199999999999999"/>
  <cols>
    <col min="1" max="1" width="11.88671875" style="5" customWidth="1"/>
    <col min="2" max="8" width="10.44140625" style="7" customWidth="1"/>
    <col min="9" max="9" width="18.6640625" style="7" bestFit="1" customWidth="1"/>
    <col min="10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 ht="14.4">
      <c r="A3" s="228" t="s">
        <v>155</v>
      </c>
      <c r="B3" s="229"/>
      <c r="C3" s="229"/>
      <c r="D3" s="229"/>
      <c r="E3" s="229"/>
      <c r="F3" s="229"/>
      <c r="G3" s="229"/>
      <c r="H3" s="230"/>
      <c r="I3"/>
      <c r="J3"/>
      <c r="M3" s="231" t="s">
        <v>154</v>
      </c>
      <c r="N3" s="232"/>
      <c r="O3" s="232"/>
      <c r="P3" s="232"/>
      <c r="Q3" s="232"/>
      <c r="R3" s="232"/>
      <c r="S3" s="232"/>
      <c r="T3" s="233"/>
    </row>
    <row r="4" spans="1:20" ht="30.6">
      <c r="A4" s="60" t="s">
        <v>0</v>
      </c>
      <c r="B4" s="60" t="s">
        <v>1</v>
      </c>
      <c r="C4" s="60" t="s">
        <v>131</v>
      </c>
      <c r="D4" s="60" t="s">
        <v>245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242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16</v>
      </c>
      <c r="C5" s="57">
        <v>1</v>
      </c>
      <c r="D5" s="58">
        <v>6.25E-2</v>
      </c>
      <c r="E5" s="57">
        <v>0</v>
      </c>
      <c r="F5" s="58">
        <v>0</v>
      </c>
      <c r="G5" s="57">
        <v>15</v>
      </c>
      <c r="H5" s="58">
        <v>0.9375</v>
      </c>
      <c r="I5" s="125"/>
      <c r="J5" s="125"/>
      <c r="M5" s="55">
        <v>201310</v>
      </c>
      <c r="N5" s="57">
        <v>15</v>
      </c>
      <c r="O5" s="78">
        <v>1</v>
      </c>
      <c r="P5" s="69">
        <v>6.6666666666666666E-2</v>
      </c>
      <c r="Q5" s="57">
        <v>0</v>
      </c>
      <c r="R5" s="58">
        <v>0</v>
      </c>
      <c r="S5" s="57">
        <v>14</v>
      </c>
      <c r="T5" s="58">
        <v>0.93333333333333335</v>
      </c>
    </row>
    <row r="6" spans="1:20" ht="13.5" customHeight="1">
      <c r="A6" s="59">
        <v>201320</v>
      </c>
      <c r="B6" s="57">
        <v>20</v>
      </c>
      <c r="C6" s="57">
        <v>6</v>
      </c>
      <c r="D6" s="76">
        <v>0.3</v>
      </c>
      <c r="E6" s="57">
        <v>0</v>
      </c>
      <c r="F6" s="76">
        <v>0</v>
      </c>
      <c r="G6" s="59">
        <v>14</v>
      </c>
      <c r="H6" s="76">
        <v>0.7</v>
      </c>
      <c r="I6" s="127"/>
      <c r="J6" s="127"/>
      <c r="M6" s="55">
        <v>201320</v>
      </c>
      <c r="N6" s="53">
        <v>9</v>
      </c>
      <c r="O6" s="53">
        <v>4</v>
      </c>
      <c r="P6" s="54">
        <v>0.44444444444444442</v>
      </c>
      <c r="Q6" s="53">
        <v>0</v>
      </c>
      <c r="R6" s="54">
        <v>0</v>
      </c>
      <c r="S6" s="55">
        <v>5</v>
      </c>
      <c r="T6" s="54">
        <v>0.55555555555555558</v>
      </c>
    </row>
    <row r="7" spans="1:20" ht="13.5" customHeight="1">
      <c r="A7" s="59">
        <v>201410</v>
      </c>
      <c r="B7" s="57">
        <v>19</v>
      </c>
      <c r="C7" s="57">
        <v>8</v>
      </c>
      <c r="D7" s="58">
        <v>0.42099999999999999</v>
      </c>
      <c r="E7" s="57">
        <v>0</v>
      </c>
      <c r="F7" s="58">
        <v>0</v>
      </c>
      <c r="G7" s="57">
        <v>11</v>
      </c>
      <c r="H7" s="58">
        <v>0.57899999999999996</v>
      </c>
      <c r="I7" s="125"/>
      <c r="J7" s="125"/>
      <c r="M7" s="55">
        <v>201410</v>
      </c>
      <c r="N7" s="53">
        <v>14</v>
      </c>
      <c r="O7" s="53">
        <v>5</v>
      </c>
      <c r="P7" s="54">
        <v>0.35699999999999998</v>
      </c>
      <c r="Q7" s="53">
        <v>0</v>
      </c>
      <c r="R7" s="54">
        <v>0</v>
      </c>
      <c r="S7" s="55">
        <v>9</v>
      </c>
      <c r="T7" s="54">
        <v>0.64300000000000002</v>
      </c>
    </row>
    <row r="8" spans="1:20" ht="13.5" customHeight="1">
      <c r="A8" s="59">
        <v>201420</v>
      </c>
      <c r="B8" s="53">
        <v>24</v>
      </c>
      <c r="C8" s="53">
        <v>10</v>
      </c>
      <c r="D8" s="54">
        <v>0.41699999999999998</v>
      </c>
      <c r="E8" s="53">
        <v>0</v>
      </c>
      <c r="F8" s="54">
        <v>0</v>
      </c>
      <c r="G8" s="55">
        <v>14</v>
      </c>
      <c r="H8" s="54">
        <v>0.58299999999999996</v>
      </c>
      <c r="I8" s="23"/>
      <c r="J8" s="23"/>
      <c r="M8" s="55">
        <v>201420</v>
      </c>
      <c r="N8" s="53">
        <v>17</v>
      </c>
      <c r="O8" s="53">
        <v>6</v>
      </c>
      <c r="P8" s="54">
        <v>0.35299999999999998</v>
      </c>
      <c r="Q8" s="53">
        <v>0</v>
      </c>
      <c r="R8" s="54">
        <v>0</v>
      </c>
      <c r="S8" s="55">
        <v>11</v>
      </c>
      <c r="T8" s="54">
        <v>0.64700000000000002</v>
      </c>
    </row>
    <row r="9" spans="1:20" ht="13.5" customHeight="1">
      <c r="A9" s="59">
        <v>201510</v>
      </c>
      <c r="B9" s="53">
        <v>40</v>
      </c>
      <c r="C9" s="53">
        <v>17</v>
      </c>
      <c r="D9" s="54">
        <v>0.42499999999999999</v>
      </c>
      <c r="E9" s="53">
        <v>0</v>
      </c>
      <c r="F9" s="54">
        <v>0</v>
      </c>
      <c r="G9" s="55">
        <v>23</v>
      </c>
      <c r="H9" s="54">
        <v>0.57499999999999996</v>
      </c>
      <c r="I9" s="23"/>
      <c r="J9" s="23"/>
      <c r="M9" s="55">
        <v>201510</v>
      </c>
      <c r="N9" s="53">
        <v>35</v>
      </c>
      <c r="O9" s="53">
        <v>15</v>
      </c>
      <c r="P9" s="54">
        <v>0.42899999999999999</v>
      </c>
      <c r="Q9" s="53">
        <v>0</v>
      </c>
      <c r="R9" s="54">
        <v>0</v>
      </c>
      <c r="S9" s="55">
        <v>20</v>
      </c>
      <c r="T9" s="54">
        <v>0.57099999999999995</v>
      </c>
    </row>
    <row r="10" spans="1:20" ht="13.5" customHeight="1">
      <c r="A10" s="59">
        <v>201520</v>
      </c>
      <c r="B10" s="53">
        <v>26</v>
      </c>
      <c r="C10" s="53">
        <v>7</v>
      </c>
      <c r="D10" s="54">
        <v>0.26923076923076922</v>
      </c>
      <c r="E10" s="53">
        <v>0</v>
      </c>
      <c r="F10" s="54">
        <v>0</v>
      </c>
      <c r="G10" s="55">
        <v>19</v>
      </c>
      <c r="H10" s="54">
        <v>0.73076923076923073</v>
      </c>
      <c r="I10" s="23"/>
      <c r="J10" s="23"/>
      <c r="M10" s="55">
        <v>201520</v>
      </c>
      <c r="N10" s="53">
        <v>13</v>
      </c>
      <c r="O10" s="53">
        <v>2</v>
      </c>
      <c r="P10" s="54">
        <v>0.15384615384615385</v>
      </c>
      <c r="Q10" s="53">
        <v>0</v>
      </c>
      <c r="R10" s="54">
        <v>0</v>
      </c>
      <c r="S10" s="55">
        <v>11</v>
      </c>
      <c r="T10" s="54">
        <v>0.84615384615384615</v>
      </c>
    </row>
    <row r="11" spans="1:20" ht="13.5" customHeight="1">
      <c r="A11" s="59">
        <v>201610</v>
      </c>
      <c r="B11" s="53">
        <v>61</v>
      </c>
      <c r="C11" s="53">
        <v>21</v>
      </c>
      <c r="D11" s="54">
        <v>0.34426229508196721</v>
      </c>
      <c r="E11" s="53">
        <v>0</v>
      </c>
      <c r="F11" s="54">
        <v>0</v>
      </c>
      <c r="G11" s="55">
        <v>40</v>
      </c>
      <c r="H11" s="54">
        <v>0.65573770491803274</v>
      </c>
      <c r="I11" s="23"/>
      <c r="J11" s="23"/>
      <c r="M11" s="55">
        <v>201610</v>
      </c>
      <c r="N11" s="53">
        <v>54</v>
      </c>
      <c r="O11" s="53">
        <v>19</v>
      </c>
      <c r="P11" s="54">
        <v>0.35185185185185186</v>
      </c>
      <c r="Q11" s="53">
        <v>0</v>
      </c>
      <c r="R11" s="54">
        <v>0</v>
      </c>
      <c r="S11" s="55">
        <v>35</v>
      </c>
      <c r="T11" s="54">
        <v>0.64814814814814814</v>
      </c>
    </row>
    <row r="12" spans="1:20" ht="13.5" customHeight="1">
      <c r="A12" s="59">
        <v>201620</v>
      </c>
      <c r="B12" s="57">
        <v>55</v>
      </c>
      <c r="C12" s="57">
        <v>13</v>
      </c>
      <c r="D12" s="58">
        <v>0.23636363636363636</v>
      </c>
      <c r="E12" s="57">
        <v>0</v>
      </c>
      <c r="F12" s="58">
        <v>0</v>
      </c>
      <c r="G12" s="57">
        <v>42</v>
      </c>
      <c r="H12" s="58">
        <v>0.76363636363636367</v>
      </c>
      <c r="I12" s="125"/>
      <c r="J12" s="125"/>
      <c r="M12" s="55">
        <v>201620</v>
      </c>
      <c r="N12" s="57">
        <v>34</v>
      </c>
      <c r="O12" s="57">
        <v>8</v>
      </c>
      <c r="P12" s="58">
        <v>0.23529411764705882</v>
      </c>
      <c r="Q12" s="57">
        <v>0</v>
      </c>
      <c r="R12" s="58">
        <v>0</v>
      </c>
      <c r="S12" s="57">
        <v>26</v>
      </c>
      <c r="T12" s="58">
        <v>0.76470588235294112</v>
      </c>
    </row>
    <row r="13" spans="1:20" ht="13.5" customHeight="1">
      <c r="A13" s="59">
        <v>201710</v>
      </c>
      <c r="B13" s="53">
        <v>76</v>
      </c>
      <c r="C13" s="53">
        <v>15</v>
      </c>
      <c r="D13" s="54">
        <v>0.19736842105263158</v>
      </c>
      <c r="E13" s="53">
        <v>0</v>
      </c>
      <c r="F13" s="54">
        <v>0</v>
      </c>
      <c r="G13" s="55">
        <v>61</v>
      </c>
      <c r="H13" s="54">
        <v>0.80263157894736847</v>
      </c>
      <c r="I13" s="23"/>
      <c r="J13" s="23"/>
      <c r="M13" s="55">
        <v>201710</v>
      </c>
      <c r="N13" s="53">
        <v>66</v>
      </c>
      <c r="O13" s="53">
        <v>12</v>
      </c>
      <c r="P13" s="54">
        <v>0.18181818181818182</v>
      </c>
      <c r="Q13" s="53">
        <v>0</v>
      </c>
      <c r="R13" s="54">
        <v>0</v>
      </c>
      <c r="S13" s="55">
        <v>54</v>
      </c>
      <c r="T13" s="54">
        <v>0.81818181818181823</v>
      </c>
    </row>
    <row r="14" spans="1:20" ht="13.5" customHeight="1">
      <c r="A14" s="59">
        <v>201720</v>
      </c>
      <c r="B14" s="53">
        <v>23</v>
      </c>
      <c r="C14" s="53">
        <v>5</v>
      </c>
      <c r="D14" s="54">
        <v>0.21739130434782608</v>
      </c>
      <c r="E14" s="53">
        <v>0</v>
      </c>
      <c r="F14" s="54">
        <v>0</v>
      </c>
      <c r="G14" s="55">
        <v>18</v>
      </c>
      <c r="H14" s="54">
        <v>0.78260869565217395</v>
      </c>
      <c r="I14" s="23"/>
      <c r="J14" s="23"/>
      <c r="M14" s="55">
        <v>201720</v>
      </c>
      <c r="N14" s="53">
        <v>12</v>
      </c>
      <c r="O14" s="53">
        <v>2</v>
      </c>
      <c r="P14" s="54">
        <v>0.16666666666666666</v>
      </c>
      <c r="Q14" s="53">
        <v>0</v>
      </c>
      <c r="R14" s="54">
        <v>0</v>
      </c>
      <c r="S14" s="55">
        <v>10</v>
      </c>
      <c r="T14" s="54">
        <v>0.83333333333333337</v>
      </c>
    </row>
    <row r="15" spans="1:20" ht="13.5" customHeight="1">
      <c r="A15" s="59">
        <v>201810</v>
      </c>
      <c r="B15" s="53">
        <v>38</v>
      </c>
      <c r="C15" s="53">
        <v>13</v>
      </c>
      <c r="D15" s="54">
        <v>0.34210526315789475</v>
      </c>
      <c r="E15" s="53">
        <v>0</v>
      </c>
      <c r="F15" s="54">
        <v>0</v>
      </c>
      <c r="G15" s="55">
        <v>25</v>
      </c>
      <c r="H15" s="54">
        <v>0.65789473684210531</v>
      </c>
      <c r="I15" s="23"/>
      <c r="J15" s="23"/>
      <c r="M15" s="55">
        <v>201810</v>
      </c>
      <c r="N15" s="53">
        <v>33</v>
      </c>
      <c r="O15" s="53">
        <v>10</v>
      </c>
      <c r="P15" s="54">
        <v>0.30303030303030304</v>
      </c>
      <c r="Q15" s="53">
        <v>0</v>
      </c>
      <c r="R15" s="54">
        <v>0</v>
      </c>
      <c r="S15" s="55">
        <v>23</v>
      </c>
      <c r="T15" s="54">
        <v>0.69696969696969702</v>
      </c>
    </row>
    <row r="16" spans="1:20" ht="13.5" customHeight="1">
      <c r="A16" s="59">
        <v>201820</v>
      </c>
      <c r="B16" s="53">
        <v>34</v>
      </c>
      <c r="C16" s="53">
        <v>6</v>
      </c>
      <c r="D16" s="54">
        <v>0.17647058823529413</v>
      </c>
      <c r="E16" s="53">
        <v>0</v>
      </c>
      <c r="F16" s="54">
        <v>0</v>
      </c>
      <c r="G16" s="55">
        <v>28</v>
      </c>
      <c r="H16" s="54">
        <v>0.82352941176470584</v>
      </c>
      <c r="I16" s="23"/>
      <c r="J16" s="23"/>
      <c r="M16" s="59">
        <v>201820</v>
      </c>
      <c r="N16" s="53">
        <v>19</v>
      </c>
      <c r="O16" s="53">
        <v>5</v>
      </c>
      <c r="P16" s="54">
        <v>0.26315789473684209</v>
      </c>
      <c r="Q16" s="53">
        <v>0</v>
      </c>
      <c r="R16" s="54">
        <v>0</v>
      </c>
      <c r="S16" s="55">
        <v>14</v>
      </c>
      <c r="T16" s="54">
        <v>0.73684210526315785</v>
      </c>
    </row>
    <row r="17" spans="1:23" s="18" customFormat="1" ht="13.5" customHeight="1">
      <c r="A17" s="59">
        <v>201910</v>
      </c>
      <c r="B17" s="53">
        <v>26</v>
      </c>
      <c r="C17" s="53">
        <v>6</v>
      </c>
      <c r="D17" s="54">
        <v>0.23076923076923081</v>
      </c>
      <c r="E17" s="53">
        <v>0</v>
      </c>
      <c r="F17" s="54">
        <v>0</v>
      </c>
      <c r="G17" s="55">
        <v>20</v>
      </c>
      <c r="H17" s="54">
        <v>0.76923076923076927</v>
      </c>
      <c r="I17" s="23"/>
      <c r="J17" s="23"/>
      <c r="M17" s="59">
        <v>201910</v>
      </c>
      <c r="N17" s="53">
        <v>21</v>
      </c>
      <c r="O17" s="53">
        <v>4</v>
      </c>
      <c r="P17" s="54">
        <v>0.19047619047619049</v>
      </c>
      <c r="Q17" s="53">
        <v>0</v>
      </c>
      <c r="R17" s="54">
        <v>0</v>
      </c>
      <c r="S17" s="55">
        <v>17</v>
      </c>
      <c r="T17" s="54">
        <v>0.80952380952380953</v>
      </c>
    </row>
    <row r="18" spans="1:23" s="18" customFormat="1" ht="13.5" customHeight="1">
      <c r="A18" s="59">
        <v>201920</v>
      </c>
      <c r="B18" s="53">
        <v>33</v>
      </c>
      <c r="C18" s="53">
        <v>7</v>
      </c>
      <c r="D18" s="54">
        <v>0.2121212121212121</v>
      </c>
      <c r="E18" s="53">
        <v>0</v>
      </c>
      <c r="F18" s="54">
        <v>0</v>
      </c>
      <c r="G18" s="55">
        <v>26</v>
      </c>
      <c r="H18" s="54">
        <v>0.78787878787878785</v>
      </c>
      <c r="I18" s="23"/>
      <c r="J18" s="23"/>
      <c r="M18" s="59">
        <v>201920</v>
      </c>
      <c r="N18" s="53">
        <v>19</v>
      </c>
      <c r="O18" s="53">
        <v>5</v>
      </c>
      <c r="P18" s="54">
        <v>0.26315789473684209</v>
      </c>
      <c r="Q18" s="53">
        <v>0</v>
      </c>
      <c r="R18" s="54">
        <v>0</v>
      </c>
      <c r="S18" s="55">
        <v>14</v>
      </c>
      <c r="T18" s="54">
        <v>0.73684210526315785</v>
      </c>
    </row>
    <row r="19" spans="1:23" s="18" customFormat="1" ht="13.5" customHeight="1">
      <c r="A19" s="59">
        <v>202010</v>
      </c>
      <c r="B19" s="53">
        <v>47</v>
      </c>
      <c r="C19" s="53">
        <v>6</v>
      </c>
      <c r="D19" s="54">
        <v>0.1276595744680851</v>
      </c>
      <c r="E19" s="53">
        <v>0</v>
      </c>
      <c r="F19" s="54">
        <v>0</v>
      </c>
      <c r="G19" s="55">
        <v>41</v>
      </c>
      <c r="H19" s="54">
        <v>0.87234042553191493</v>
      </c>
      <c r="I19" s="23"/>
      <c r="J19" s="23"/>
      <c r="M19" s="59">
        <v>202010</v>
      </c>
      <c r="N19" s="53">
        <v>40</v>
      </c>
      <c r="O19" s="53">
        <v>4</v>
      </c>
      <c r="P19" s="54">
        <v>0.1</v>
      </c>
      <c r="Q19" s="53">
        <v>0</v>
      </c>
      <c r="R19" s="54">
        <v>0</v>
      </c>
      <c r="S19" s="55">
        <v>36</v>
      </c>
      <c r="T19" s="54">
        <v>0.9</v>
      </c>
    </row>
    <row r="20" spans="1:23" s="18" customFormat="1" ht="13.5" customHeight="1">
      <c r="A20" s="59">
        <v>202020</v>
      </c>
      <c r="B20" s="53">
        <v>38</v>
      </c>
      <c r="C20" s="53">
        <v>7</v>
      </c>
      <c r="D20" s="54">
        <v>0.18421052631578946</v>
      </c>
      <c r="E20" s="53">
        <v>0</v>
      </c>
      <c r="F20" s="54">
        <v>0</v>
      </c>
      <c r="G20" s="55">
        <v>31</v>
      </c>
      <c r="H20" s="54">
        <v>0.81578947368421051</v>
      </c>
      <c r="I20" s="23"/>
      <c r="J20" s="23"/>
      <c r="M20" s="59">
        <v>202020</v>
      </c>
      <c r="N20" s="53">
        <v>15</v>
      </c>
      <c r="O20" s="53">
        <v>2</v>
      </c>
      <c r="P20" s="54">
        <v>0.13333333333333333</v>
      </c>
      <c r="Q20" s="53">
        <v>0</v>
      </c>
      <c r="R20" s="54">
        <v>0</v>
      </c>
      <c r="S20" s="55">
        <v>13</v>
      </c>
      <c r="T20" s="54">
        <v>0.8666666666666667</v>
      </c>
    </row>
    <row r="21" spans="1:23" s="18" customFormat="1" ht="13.5" customHeight="1">
      <c r="A21" s="59">
        <v>202110</v>
      </c>
      <c r="B21" s="53">
        <v>38</v>
      </c>
      <c r="C21" s="53">
        <v>4</v>
      </c>
      <c r="D21" s="54">
        <v>0.10526315789473679</v>
      </c>
      <c r="E21" s="53">
        <v>0</v>
      </c>
      <c r="F21" s="54">
        <v>0</v>
      </c>
      <c r="G21" s="55">
        <v>34</v>
      </c>
      <c r="H21" s="54">
        <v>0.89473684210526305</v>
      </c>
      <c r="I21" s="23"/>
      <c r="J21" s="23"/>
      <c r="M21" s="59">
        <v>202110</v>
      </c>
      <c r="N21" s="53">
        <v>26</v>
      </c>
      <c r="O21" s="53">
        <v>2</v>
      </c>
      <c r="P21" s="54">
        <v>7.6923076923076927E-2</v>
      </c>
      <c r="Q21" s="53">
        <v>0</v>
      </c>
      <c r="R21" s="54">
        <v>0</v>
      </c>
      <c r="S21" s="55">
        <v>24</v>
      </c>
      <c r="T21" s="54">
        <v>0.92307692307692313</v>
      </c>
    </row>
    <row r="22" spans="1:23" s="18" customFormat="1" ht="13.5" customHeight="1">
      <c r="A22" s="59">
        <v>202120</v>
      </c>
      <c r="B22" s="53">
        <v>49</v>
      </c>
      <c r="C22" s="53">
        <v>12</v>
      </c>
      <c r="D22" s="54">
        <v>0.24489795918367349</v>
      </c>
      <c r="E22" s="53">
        <v>0</v>
      </c>
      <c r="F22" s="54">
        <v>0</v>
      </c>
      <c r="G22" s="55">
        <v>37</v>
      </c>
      <c r="H22" s="54">
        <v>0.75510204081632648</v>
      </c>
      <c r="I22" s="23"/>
      <c r="J22" s="23"/>
      <c r="M22" s="59">
        <v>202120</v>
      </c>
      <c r="N22" s="53">
        <v>25</v>
      </c>
      <c r="O22" s="53">
        <v>4</v>
      </c>
      <c r="P22" s="54">
        <v>0.16</v>
      </c>
      <c r="Q22" s="53">
        <v>0</v>
      </c>
      <c r="R22" s="54">
        <v>0</v>
      </c>
      <c r="S22" s="55">
        <v>21</v>
      </c>
      <c r="T22" s="54">
        <v>0.84</v>
      </c>
    </row>
    <row r="23" spans="1:23" s="18" customFormat="1" ht="13.5" customHeight="1">
      <c r="A23" s="98">
        <v>202210</v>
      </c>
      <c r="B23" s="103" cm="1">
        <f t="array" ref="B23">IF(RIGHT($A23,2)="10",_xlfn.XLOOKUP("SIS"&amp;$A23,[1]PROGRAMA!$A:$A&amp;[1]PROGRAMA!$B:$B,[1]PROGRAMA!C:C,0),_xlfn.XLOOKUP("SIS"&amp;$A23,[2]PROGRAMA!$A:$A&amp;[2]PROGRAMA!$B:$B,[2]PROGRAMA!C:C,0))</f>
        <v>73</v>
      </c>
      <c r="C23" s="103" cm="1">
        <f t="array" ref="C23">IF(RIGHT($A23,2)="10",_xlfn.XLOOKUP("SIS"&amp;$A23,[1]PROGRAMA!$A:$A&amp;[1]PROGRAMA!$B:$B,[1]PROGRAMA!D:D,0),_xlfn.XLOOKUP("SIS"&amp;$A23,[2]PROGRAMA!$A:$A&amp;[2]PROGRAMA!$B:$B,[2]PROGRAMA!D:D,0))</f>
        <v>11</v>
      </c>
      <c r="D23" s="68">
        <f>IFERROR(C23/$B23,0)</f>
        <v>0.15068493150684931</v>
      </c>
      <c r="E23" s="103" cm="1">
        <f t="array" ref="E23">IF(RIGHT($A23,2)="10",_xlfn.XLOOKUP("SIS"&amp;$A23,[1]PROGRAMA!$A:$A&amp;[1]PROGRAMA!$B:$B,[1]PROGRAMA!E:E,0),_xlfn.XLOOKUP("SIS"&amp;$A23,[2]PROGRAMA!$A:$A&amp;[2]PROGRAMA!$B:$B,[2]PROGRAMA!E:E,0))</f>
        <v>0</v>
      </c>
      <c r="F23" s="68">
        <f>IFERROR(E23/$B23,0)</f>
        <v>0</v>
      </c>
      <c r="G23" s="104">
        <f>B23-C23</f>
        <v>62</v>
      </c>
      <c r="H23" s="68">
        <f>IFERROR(G23/$B23,0)</f>
        <v>0.84931506849315064</v>
      </c>
      <c r="I23" s="128"/>
      <c r="J23" s="128"/>
      <c r="K23" s="7"/>
      <c r="L23" s="7"/>
      <c r="M23" s="98">
        <v>202210</v>
      </c>
      <c r="N23" s="103" cm="1">
        <f t="array" ref="N23">IF(RIGHT($A23,2)="10",_xlfn.XLOOKUP("SIS"&amp;$A23,'[1]PROGRAMA 123'!$A:$A&amp;'[1]PROGRAMA 123'!$B:$B,'[1]PROGRAMA 123'!C:C,0),_xlfn.XLOOKUP("SIS"&amp;$A23,'[2]PROGRAMA 123'!$A:$A&amp;'[2]PROGRAMA 123'!$B:$B,'[2]PROGRAMA 123'!C:C,0))</f>
        <v>58</v>
      </c>
      <c r="O23" s="103" cm="1">
        <f t="array" ref="O23">IF(RIGHT($A23,2)="10",_xlfn.XLOOKUP("SIS"&amp;$A23,'[1]PROGRAMA 123'!$A:$A&amp;'[1]PROGRAMA 123'!$B:$B,'[1]PROGRAMA 123'!D:D,0),_xlfn.XLOOKUP("SIS"&amp;$A23,'[2]PROGRAMA 123'!$A:$A&amp;'[2]PROGRAMA 123'!$B:$B,'[2]PROGRAMA 123'!D:D,0))</f>
        <v>6</v>
      </c>
      <c r="P23" s="68">
        <f>IFERROR(O23/$N23,0)</f>
        <v>0.10344827586206896</v>
      </c>
      <c r="Q23" s="103" cm="1">
        <f t="array" ref="Q23">IF(RIGHT($A23,2)="10",_xlfn.XLOOKUP("SIS"&amp;$A23,'[1]PROGRAMA 123'!$A:$A&amp;'[1]PROGRAMA 123'!$B:$B,'[1]PROGRAMA 123'!E:E,0),_xlfn.XLOOKUP("SIS"&amp;$A23,'[2]PROGRAMA 123'!$A:$A&amp;'[2]PROGRAMA 123'!$B:$B,'[2]PROGRAMA 123'!E:E,0))</f>
        <v>0</v>
      </c>
      <c r="R23" s="68">
        <f t="shared" ref="R23:R24" si="0">IFERROR(Q23/$N23,0)</f>
        <v>0</v>
      </c>
      <c r="S23" s="104">
        <f>N23-O23</f>
        <v>52</v>
      </c>
      <c r="T23" s="68">
        <f>IFERROR(S23/$N23,0)</f>
        <v>0.89655172413793105</v>
      </c>
    </row>
    <row r="24" spans="1:23" s="18" customFormat="1" ht="13.5" customHeight="1">
      <c r="A24" s="98">
        <v>202220</v>
      </c>
      <c r="B24" s="103" cm="1">
        <f t="array" ref="B24">IF(RIGHT($A24,2)="10",_xlfn.XLOOKUP("SIS"&amp;$A24,[1]PROGRAMA!$A:$A&amp;[1]PROGRAMA!$B:$B,[1]PROGRAMA!C:C,0),_xlfn.XLOOKUP("SIS"&amp;$A24,[2]PROGRAMA!$A:$A&amp;[2]PROGRAMA!$B:$B,[2]PROGRAMA!C:C,0))</f>
        <v>77</v>
      </c>
      <c r="C24" s="103" cm="1">
        <f t="array" ref="C24">IF(RIGHT($A24,2)="10",_xlfn.XLOOKUP("SIS"&amp;$A24,[1]PROGRAMA!$A:$A&amp;[1]PROGRAMA!$B:$B,[1]PROGRAMA!D:D,0),_xlfn.XLOOKUP("SIS"&amp;$A24,[2]PROGRAMA!$A:$A&amp;[2]PROGRAMA!$B:$B,[2]PROGRAMA!D:D,0))</f>
        <v>12</v>
      </c>
      <c r="D24" s="68">
        <f>IFERROR(C24/$B24,0)</f>
        <v>0.15584415584415584</v>
      </c>
      <c r="E24" s="103" cm="1">
        <f t="array" ref="E24">IF(RIGHT($A24,2)="10",_xlfn.XLOOKUP("SIS"&amp;$A24,[1]PROGRAMA!$A:$A&amp;[1]PROGRAMA!$B:$B,[1]PROGRAMA!E:E,0),_xlfn.XLOOKUP("SIS"&amp;$A24,[2]PROGRAMA!$A:$A&amp;[2]PROGRAMA!$B:$B,[2]PROGRAMA!E:E,0))</f>
        <v>0</v>
      </c>
      <c r="F24" s="68">
        <f>IFERROR(E24/$B24,0)</f>
        <v>0</v>
      </c>
      <c r="G24" s="104">
        <f>B24-C24</f>
        <v>65</v>
      </c>
      <c r="H24" s="68">
        <f>IFERROR(G24/$B24,0)</f>
        <v>0.8441558441558441</v>
      </c>
      <c r="I24" s="128"/>
      <c r="J24" s="128"/>
      <c r="K24" s="7"/>
      <c r="L24" s="7"/>
      <c r="M24" s="98">
        <v>202220</v>
      </c>
      <c r="N24" s="103" cm="1">
        <f t="array" ref="N24">IF(RIGHT($A24,2)="10",_xlfn.XLOOKUP("SIS"&amp;$A24,'[1]PROGRAMA 123'!$A:$A&amp;'[1]PROGRAMA 123'!$B:$B,'[1]PROGRAMA 123'!C:C,0),_xlfn.XLOOKUP("SIS"&amp;$A24,'[2]PROGRAMA 123'!$A:$A&amp;'[2]PROGRAMA 123'!$B:$B,'[2]PROGRAMA 123'!C:C,0))</f>
        <v>46</v>
      </c>
      <c r="O24" s="103" cm="1">
        <f t="array" ref="O24">IF(RIGHT($A24,2)="10",_xlfn.XLOOKUP("SIS"&amp;$A24,'[1]PROGRAMA 123'!$A:$A&amp;'[1]PROGRAMA 123'!$B:$B,'[1]PROGRAMA 123'!D:D,0),_xlfn.XLOOKUP("SIS"&amp;$A24,'[2]PROGRAMA 123'!$A:$A&amp;'[2]PROGRAMA 123'!$B:$B,'[2]PROGRAMA 123'!D:D,0))</f>
        <v>4</v>
      </c>
      <c r="P24" s="68">
        <f t="shared" ref="P24" si="1">IFERROR(O24/$N24,0)</f>
        <v>8.6956521739130432E-2</v>
      </c>
      <c r="Q24" s="103" cm="1">
        <f t="array" ref="Q24">IF(RIGHT($A24,2)="10",_xlfn.XLOOKUP("SIS"&amp;$A24,'[1]PROGRAMA 123'!$A:$A&amp;'[1]PROGRAMA 123'!$B:$B,'[1]PROGRAMA 123'!E:E,0),_xlfn.XLOOKUP("SIS"&amp;$A24,'[2]PROGRAMA 123'!$A:$A&amp;'[2]PROGRAMA 123'!$B:$B,'[2]PROGRAMA 123'!E:E,0))</f>
        <v>0</v>
      </c>
      <c r="R24" s="68">
        <f t="shared" si="0"/>
        <v>0</v>
      </c>
      <c r="S24" s="104">
        <f>N24-O24</f>
        <v>42</v>
      </c>
      <c r="T24" s="68">
        <f>IFERROR(S24/$N24,0)</f>
        <v>0.91304347826086951</v>
      </c>
    </row>
    <row r="25" spans="1:23" s="18" customFormat="1" ht="13.5" customHeight="1">
      <c r="A25" s="98" t="s">
        <v>239</v>
      </c>
      <c r="B25" s="103">
        <v>75</v>
      </c>
      <c r="C25" s="103">
        <v>18</v>
      </c>
      <c r="D25" s="68">
        <v>0.24</v>
      </c>
      <c r="E25" s="103">
        <v>0</v>
      </c>
      <c r="F25" s="68">
        <v>0</v>
      </c>
      <c r="G25" s="104">
        <v>57</v>
      </c>
      <c r="H25" s="68">
        <v>0.76</v>
      </c>
      <c r="I25" s="128"/>
      <c r="J25" s="128"/>
      <c r="K25" s="7"/>
      <c r="L25" s="7"/>
      <c r="M25" s="98" t="s">
        <v>239</v>
      </c>
      <c r="N25" s="103">
        <v>60</v>
      </c>
      <c r="O25" s="103">
        <v>15</v>
      </c>
      <c r="P25" s="68">
        <v>0.25</v>
      </c>
      <c r="Q25" s="103">
        <v>0</v>
      </c>
      <c r="R25" s="68">
        <v>0</v>
      </c>
      <c r="S25" s="104">
        <v>45</v>
      </c>
      <c r="T25" s="68">
        <v>0.75</v>
      </c>
    </row>
    <row r="26" spans="1:23">
      <c r="B26" s="47">
        <f>SUM(B5:B25)</f>
        <v>888</v>
      </c>
      <c r="C26" s="47">
        <f>SUM(C5:C25)</f>
        <v>205</v>
      </c>
      <c r="D26" s="157">
        <f>C26/B26</f>
        <v>0.23085585585585586</v>
      </c>
      <c r="I26" s="250">
        <f>D26/'1d. Retiro temprano.'!E27-1</f>
        <v>0.31929389282330445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6.25E-2</v>
      </c>
      <c r="B29" s="37">
        <f>+((B6*D6)+(B7*D7))/(B6+B7)</f>
        <v>0.35894871794871791</v>
      </c>
      <c r="C29" s="32">
        <f>((B8*D8)+(B9*D9))/(B8+B9)</f>
        <v>0.42199999999999999</v>
      </c>
      <c r="D29" s="32">
        <f>+((B10*D10)+(B11*D11))/(B10+B11)</f>
        <v>0.32183908045977011</v>
      </c>
      <c r="E29" s="32">
        <f>((B12*D12)+(B13*D13))/(B12+B13)</f>
        <v>0.21374045801526717</v>
      </c>
      <c r="F29" s="32">
        <f>((B14*D14)+(B15*D15))/(B14+B15)</f>
        <v>0.29508196721311475</v>
      </c>
      <c r="G29" s="32">
        <f>((B16*D16)+(B17*D17))/(B16+B17)</f>
        <v>0.2</v>
      </c>
      <c r="H29" s="32">
        <f>((B18*D18)+(B19*D19))/(B18+B19)</f>
        <v>0.16249999999999998</v>
      </c>
      <c r="I29" s="32">
        <f>((B20*D20)+(B21*D21))/(B20+B21)</f>
        <v>0.14473684210526314</v>
      </c>
      <c r="J29" s="32">
        <f>(C22+C23)/(B22+B23)</f>
        <v>0.18852459016393441</v>
      </c>
      <c r="K29" s="32">
        <f>D24</f>
        <v>0.15584415584415584</v>
      </c>
      <c r="L29" s="6"/>
      <c r="M29" s="37">
        <f>P5</f>
        <v>6.6666666666666666E-2</v>
      </c>
      <c r="N29" s="37">
        <f>+((N6*P6)+(N7*P7))/(N6+N7)</f>
        <v>0.39121739130434779</v>
      </c>
      <c r="O29" s="32">
        <f>((N8*P8)+(N9*P9))/(N8+N9)</f>
        <v>0.40415384615384614</v>
      </c>
      <c r="P29" s="32">
        <f>+((N10*P10)+(N11*P11))/(N10+N11)</f>
        <v>0.31343283582089554</v>
      </c>
      <c r="Q29" s="32">
        <f>((N12*P12)+(N13*P13))/(N12+N13)</f>
        <v>0.2</v>
      </c>
      <c r="R29" s="32">
        <f>((N14*P14)+(N15*P15))/(N14+N15)</f>
        <v>0.26666666666666666</v>
      </c>
      <c r="S29" s="32">
        <f>((N16*P16)+(N17*P17))/(N16+N17)</f>
        <v>0.22500000000000001</v>
      </c>
      <c r="T29" s="32">
        <f>((N18*P18)+(N19*P19))/(N18+N19)</f>
        <v>0.15254237288135594</v>
      </c>
      <c r="U29" s="32">
        <f>((N20*P20)+(N21*P21))/(N20+N21)</f>
        <v>9.7560975609756101E-2</v>
      </c>
      <c r="V29" s="32">
        <f>(O22+O23)/(N22+N23)</f>
        <v>0.12048192771084337</v>
      </c>
      <c r="W29" s="32">
        <f>P24</f>
        <v>8.6956521739130432E-2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  <row r="33" spans="10:13">
      <c r="J33" s="7" t="s">
        <v>243</v>
      </c>
    </row>
    <row r="34" spans="10:13" ht="10.199999999999999" customHeight="1">
      <c r="J34" s="215" t="s">
        <v>244</v>
      </c>
      <c r="K34" s="215"/>
      <c r="L34" s="215"/>
      <c r="M34" s="215"/>
    </row>
    <row r="35" spans="10:13">
      <c r="J35" s="215"/>
      <c r="K35" s="215"/>
      <c r="L35" s="215"/>
      <c r="M35" s="215"/>
    </row>
    <row r="36" spans="10:13">
      <c r="J36" s="215"/>
      <c r="K36" s="215"/>
      <c r="L36" s="215"/>
      <c r="M36" s="215"/>
    </row>
    <row r="37" spans="10:13">
      <c r="J37" s="215"/>
      <c r="K37" s="215"/>
      <c r="L37" s="215"/>
      <c r="M37" s="215"/>
    </row>
    <row r="38" spans="10:13">
      <c r="J38" s="215"/>
      <c r="K38" s="215"/>
      <c r="L38" s="215"/>
      <c r="M38" s="215"/>
    </row>
    <row r="39" spans="10:13">
      <c r="J39" s="215"/>
      <c r="K39" s="215"/>
      <c r="L39" s="215"/>
      <c r="M39" s="215"/>
    </row>
    <row r="40" spans="10:13">
      <c r="J40" s="215"/>
      <c r="K40" s="215"/>
      <c r="L40" s="215"/>
      <c r="M40" s="215"/>
    </row>
    <row r="41" spans="10:13">
      <c r="J41" s="215"/>
      <c r="K41" s="215"/>
      <c r="L41" s="215"/>
      <c r="M41" s="215"/>
    </row>
  </sheetData>
  <mergeCells count="13">
    <mergeCell ref="J34:M41"/>
    <mergeCell ref="A31:K31"/>
    <mergeCell ref="M30:V30"/>
    <mergeCell ref="M31:W31"/>
    <mergeCell ref="A1:H1"/>
    <mergeCell ref="M1:T1"/>
    <mergeCell ref="A3:H3"/>
    <mergeCell ref="A2:H2"/>
    <mergeCell ref="M3:T3"/>
    <mergeCell ref="M2:T2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M23:T24 E23:K24" formula="1"/>
    <ignoredError sqref="M25 A25" numberStoredAsText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W41"/>
  <sheetViews>
    <sheetView showGridLines="0" workbookViewId="0">
      <selection activeCell="D5" sqref="D5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28" t="s">
        <v>156</v>
      </c>
      <c r="B3" s="229"/>
      <c r="C3" s="229"/>
      <c r="D3" s="229"/>
      <c r="E3" s="229"/>
      <c r="F3" s="229"/>
      <c r="G3" s="229"/>
      <c r="H3" s="230"/>
      <c r="I3" s="122"/>
      <c r="J3" s="122"/>
      <c r="M3" s="228" t="s">
        <v>241</v>
      </c>
      <c r="N3" s="229"/>
      <c r="O3" s="229"/>
      <c r="P3" s="229"/>
      <c r="Q3" s="229"/>
      <c r="R3" s="229"/>
      <c r="S3" s="229"/>
      <c r="T3" s="230"/>
    </row>
    <row r="4" spans="1:20" ht="30.6">
      <c r="A4" s="60" t="s">
        <v>0</v>
      </c>
      <c r="B4" s="60" t="s">
        <v>1</v>
      </c>
      <c r="C4" s="60" t="s">
        <v>131</v>
      </c>
      <c r="D4" s="60" t="s">
        <v>246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14</v>
      </c>
      <c r="C5" s="57">
        <v>8</v>
      </c>
      <c r="D5" s="58">
        <v>0.5714285714285714</v>
      </c>
      <c r="E5" s="57">
        <v>0</v>
      </c>
      <c r="F5" s="58">
        <v>0</v>
      </c>
      <c r="G5" s="57">
        <v>6</v>
      </c>
      <c r="H5" s="58">
        <v>0.42857142857142855</v>
      </c>
      <c r="I5" s="125"/>
      <c r="J5" s="125"/>
      <c r="M5" s="55">
        <v>201310</v>
      </c>
      <c r="N5" s="57">
        <v>10</v>
      </c>
      <c r="O5" s="57">
        <v>5</v>
      </c>
      <c r="P5" s="58">
        <v>0.5</v>
      </c>
      <c r="Q5" s="57">
        <v>0</v>
      </c>
      <c r="R5" s="58">
        <v>0</v>
      </c>
      <c r="S5" s="57">
        <v>5</v>
      </c>
      <c r="T5" s="58">
        <v>0.5</v>
      </c>
    </row>
    <row r="6" spans="1:20" ht="13.5" customHeight="1">
      <c r="A6" s="59">
        <v>201320</v>
      </c>
      <c r="B6" s="57">
        <v>13</v>
      </c>
      <c r="C6" s="57">
        <v>3</v>
      </c>
      <c r="D6" s="76">
        <v>0.23076923076923078</v>
      </c>
      <c r="E6" s="57">
        <v>0</v>
      </c>
      <c r="F6" s="76">
        <v>0</v>
      </c>
      <c r="G6" s="59">
        <v>10</v>
      </c>
      <c r="H6" s="76">
        <v>0.76923076923076927</v>
      </c>
      <c r="I6" s="127"/>
      <c r="J6" s="127"/>
      <c r="M6" s="55">
        <v>201320</v>
      </c>
      <c r="N6" s="53">
        <v>8</v>
      </c>
      <c r="O6" s="53">
        <v>2</v>
      </c>
      <c r="P6" s="54">
        <v>0.25</v>
      </c>
      <c r="Q6" s="53">
        <v>0</v>
      </c>
      <c r="R6" s="54">
        <v>0</v>
      </c>
      <c r="S6" s="55">
        <v>6</v>
      </c>
      <c r="T6" s="54">
        <v>0.75</v>
      </c>
    </row>
    <row r="7" spans="1:20" ht="13.5" customHeight="1">
      <c r="A7" s="59">
        <v>201410</v>
      </c>
      <c r="B7" s="57">
        <v>11</v>
      </c>
      <c r="C7" s="57">
        <v>4</v>
      </c>
      <c r="D7" s="58">
        <v>0.36399999999999999</v>
      </c>
      <c r="E7" s="57">
        <v>0</v>
      </c>
      <c r="F7" s="58">
        <v>0</v>
      </c>
      <c r="G7" s="57">
        <v>7</v>
      </c>
      <c r="H7" s="58">
        <v>0.63600000000000001</v>
      </c>
      <c r="I7" s="125"/>
      <c r="J7" s="125"/>
      <c r="M7" s="55">
        <v>201410</v>
      </c>
      <c r="N7" s="53">
        <v>9</v>
      </c>
      <c r="O7" s="53">
        <v>2</v>
      </c>
      <c r="P7" s="54">
        <v>0.222</v>
      </c>
      <c r="Q7" s="53">
        <v>0</v>
      </c>
      <c r="R7" s="54">
        <v>0</v>
      </c>
      <c r="S7" s="55">
        <v>7</v>
      </c>
      <c r="T7" s="54">
        <v>0.77800000000000002</v>
      </c>
    </row>
    <row r="8" spans="1:20" ht="13.5" customHeight="1">
      <c r="A8" s="59">
        <v>201420</v>
      </c>
      <c r="B8" s="53">
        <v>15</v>
      </c>
      <c r="C8" s="53">
        <v>4</v>
      </c>
      <c r="D8" s="54">
        <v>0.26700000000000002</v>
      </c>
      <c r="E8" s="53">
        <v>0</v>
      </c>
      <c r="F8" s="54">
        <v>0</v>
      </c>
      <c r="G8" s="55">
        <v>11</v>
      </c>
      <c r="H8" s="54">
        <v>0.73299999999999998</v>
      </c>
      <c r="I8" s="23"/>
      <c r="J8" s="23"/>
      <c r="M8" s="55">
        <v>201420</v>
      </c>
      <c r="N8" s="53">
        <v>11</v>
      </c>
      <c r="O8" s="53">
        <v>4</v>
      </c>
      <c r="P8" s="54">
        <v>0.36399999999999999</v>
      </c>
      <c r="Q8" s="53">
        <v>0</v>
      </c>
      <c r="R8" s="54">
        <v>0</v>
      </c>
      <c r="S8" s="55">
        <v>7</v>
      </c>
      <c r="T8" s="54">
        <v>0.63600000000000001</v>
      </c>
    </row>
    <row r="9" spans="1:20" ht="13.5" customHeight="1">
      <c r="A9" s="59">
        <v>201510</v>
      </c>
      <c r="B9" s="53">
        <v>18</v>
      </c>
      <c r="C9" s="53">
        <v>9</v>
      </c>
      <c r="D9" s="54">
        <v>0.5</v>
      </c>
      <c r="E9" s="53">
        <v>0</v>
      </c>
      <c r="F9" s="54">
        <v>0</v>
      </c>
      <c r="G9" s="55">
        <v>9</v>
      </c>
      <c r="H9" s="54">
        <v>0.5</v>
      </c>
      <c r="I9" s="23"/>
      <c r="J9" s="23"/>
      <c r="M9" s="55">
        <v>201510</v>
      </c>
      <c r="N9" s="53">
        <v>14</v>
      </c>
      <c r="O9" s="53">
        <v>6</v>
      </c>
      <c r="P9" s="54">
        <v>0.42899999999999999</v>
      </c>
      <c r="Q9" s="53">
        <v>0</v>
      </c>
      <c r="R9" s="54">
        <v>0</v>
      </c>
      <c r="S9" s="55">
        <v>8</v>
      </c>
      <c r="T9" s="54">
        <v>0.57099999999999995</v>
      </c>
    </row>
    <row r="10" spans="1:20" ht="13.5" customHeight="1">
      <c r="A10" s="59">
        <v>201520</v>
      </c>
      <c r="B10" s="53">
        <v>10</v>
      </c>
      <c r="C10" s="53">
        <v>1</v>
      </c>
      <c r="D10" s="54">
        <v>0.1</v>
      </c>
      <c r="E10" s="53">
        <v>0</v>
      </c>
      <c r="F10" s="54">
        <v>0</v>
      </c>
      <c r="G10" s="55">
        <v>9</v>
      </c>
      <c r="H10" s="54">
        <v>0.9</v>
      </c>
      <c r="I10" s="23"/>
      <c r="J10" s="23"/>
      <c r="M10" s="55">
        <v>201520</v>
      </c>
      <c r="N10" s="53">
        <v>7</v>
      </c>
      <c r="O10" s="53">
        <v>0</v>
      </c>
      <c r="P10" s="54">
        <v>0</v>
      </c>
      <c r="Q10" s="53">
        <v>0</v>
      </c>
      <c r="R10" s="54">
        <v>0</v>
      </c>
      <c r="S10" s="55">
        <v>7</v>
      </c>
      <c r="T10" s="54">
        <v>1</v>
      </c>
    </row>
    <row r="11" spans="1:20" ht="13.5" customHeight="1">
      <c r="A11" s="59">
        <v>201610</v>
      </c>
      <c r="B11" s="53">
        <v>22</v>
      </c>
      <c r="C11" s="53">
        <v>8</v>
      </c>
      <c r="D11" s="54">
        <v>0.36363636363636365</v>
      </c>
      <c r="E11" s="53">
        <v>0</v>
      </c>
      <c r="F11" s="54">
        <v>0</v>
      </c>
      <c r="G11" s="55">
        <v>14</v>
      </c>
      <c r="H11" s="54">
        <v>0.63636363636363635</v>
      </c>
      <c r="I11" s="23"/>
      <c r="J11" s="23"/>
      <c r="M11" s="55">
        <v>201610</v>
      </c>
      <c r="N11" s="53">
        <v>21</v>
      </c>
      <c r="O11" s="53">
        <v>8</v>
      </c>
      <c r="P11" s="54">
        <v>0.38095238095238093</v>
      </c>
      <c r="Q11" s="53">
        <v>0</v>
      </c>
      <c r="R11" s="54">
        <v>0</v>
      </c>
      <c r="S11" s="55">
        <v>13</v>
      </c>
      <c r="T11" s="54">
        <v>0.61904761904761907</v>
      </c>
    </row>
    <row r="12" spans="1:20" ht="13.5" customHeight="1">
      <c r="A12" s="59">
        <v>201620</v>
      </c>
      <c r="B12" s="57">
        <v>10</v>
      </c>
      <c r="C12" s="57">
        <v>2</v>
      </c>
      <c r="D12" s="58">
        <v>0.2</v>
      </c>
      <c r="E12" s="57">
        <v>0</v>
      </c>
      <c r="F12" s="58">
        <v>0</v>
      </c>
      <c r="G12" s="57">
        <v>8</v>
      </c>
      <c r="H12" s="58">
        <v>0.8</v>
      </c>
      <c r="I12" s="125"/>
      <c r="J12" s="125"/>
      <c r="M12" s="55">
        <v>201620</v>
      </c>
      <c r="N12" s="57">
        <v>5</v>
      </c>
      <c r="O12" s="57">
        <v>0</v>
      </c>
      <c r="P12" s="58">
        <v>0</v>
      </c>
      <c r="Q12" s="57">
        <v>0</v>
      </c>
      <c r="R12" s="58">
        <v>0</v>
      </c>
      <c r="S12" s="57">
        <v>5</v>
      </c>
      <c r="T12" s="58">
        <v>1</v>
      </c>
    </row>
    <row r="13" spans="1:20" ht="13.5" customHeight="1">
      <c r="A13" s="59">
        <v>201710</v>
      </c>
      <c r="B13" s="53">
        <v>25</v>
      </c>
      <c r="C13" s="53">
        <v>9</v>
      </c>
      <c r="D13" s="54">
        <v>0.36</v>
      </c>
      <c r="E13" s="53">
        <v>0</v>
      </c>
      <c r="F13" s="54">
        <v>0</v>
      </c>
      <c r="G13" s="55">
        <v>16</v>
      </c>
      <c r="H13" s="54">
        <v>0.64</v>
      </c>
      <c r="I13" s="23"/>
      <c r="J13" s="23"/>
      <c r="M13" s="55">
        <v>201710</v>
      </c>
      <c r="N13" s="53">
        <v>25</v>
      </c>
      <c r="O13" s="53">
        <v>9</v>
      </c>
      <c r="P13" s="54">
        <v>0.36</v>
      </c>
      <c r="Q13" s="53">
        <v>0</v>
      </c>
      <c r="R13" s="54">
        <v>0</v>
      </c>
      <c r="S13" s="55">
        <v>16</v>
      </c>
      <c r="T13" s="54">
        <v>0.64</v>
      </c>
    </row>
    <row r="14" spans="1:20" ht="13.5" customHeight="1">
      <c r="A14" s="59">
        <v>201720</v>
      </c>
      <c r="B14" s="53">
        <v>11</v>
      </c>
      <c r="C14" s="53">
        <v>5</v>
      </c>
      <c r="D14" s="54">
        <v>0.45454545454545453</v>
      </c>
      <c r="E14" s="53">
        <v>0</v>
      </c>
      <c r="F14" s="54">
        <v>0</v>
      </c>
      <c r="G14" s="55">
        <v>6</v>
      </c>
      <c r="H14" s="54">
        <v>0.54545454545454541</v>
      </c>
      <c r="I14" s="23"/>
      <c r="J14" s="23"/>
      <c r="M14" s="55">
        <v>201720</v>
      </c>
      <c r="N14" s="53">
        <v>4</v>
      </c>
      <c r="O14" s="53">
        <v>2</v>
      </c>
      <c r="P14" s="54">
        <v>0.5</v>
      </c>
      <c r="Q14" s="53">
        <v>0</v>
      </c>
      <c r="R14" s="54">
        <v>0</v>
      </c>
      <c r="S14" s="55">
        <v>2</v>
      </c>
      <c r="T14" s="54">
        <v>0.5</v>
      </c>
    </row>
    <row r="15" spans="1:20" ht="13.5" customHeight="1">
      <c r="A15" s="59">
        <v>201810</v>
      </c>
      <c r="B15" s="53">
        <v>12</v>
      </c>
      <c r="C15" s="53">
        <v>5</v>
      </c>
      <c r="D15" s="54">
        <v>0.41666666666666669</v>
      </c>
      <c r="E15" s="53">
        <v>0</v>
      </c>
      <c r="F15" s="54">
        <v>0</v>
      </c>
      <c r="G15" s="55">
        <v>7</v>
      </c>
      <c r="H15" s="54">
        <v>0.58333333333333337</v>
      </c>
      <c r="I15" s="23"/>
      <c r="J15" s="23"/>
      <c r="M15" s="55">
        <v>201810</v>
      </c>
      <c r="N15" s="53">
        <v>8</v>
      </c>
      <c r="O15" s="53">
        <v>3</v>
      </c>
      <c r="P15" s="54">
        <v>0.375</v>
      </c>
      <c r="Q15" s="53">
        <v>0</v>
      </c>
      <c r="R15" s="54">
        <v>0</v>
      </c>
      <c r="S15" s="55">
        <v>5</v>
      </c>
      <c r="T15" s="54">
        <v>0.625</v>
      </c>
    </row>
    <row r="16" spans="1:20" ht="13.5" customHeight="1">
      <c r="A16" s="59">
        <v>201820</v>
      </c>
      <c r="B16" s="53">
        <v>16</v>
      </c>
      <c r="C16" s="53">
        <v>5</v>
      </c>
      <c r="D16" s="54">
        <v>0.3125</v>
      </c>
      <c r="E16" s="53">
        <v>0</v>
      </c>
      <c r="F16" s="54">
        <v>0</v>
      </c>
      <c r="G16" s="55">
        <v>11</v>
      </c>
      <c r="H16" s="54">
        <v>0.6875</v>
      </c>
      <c r="I16" s="23"/>
      <c r="J16" s="23"/>
      <c r="M16" s="59">
        <v>201820</v>
      </c>
      <c r="N16" s="53">
        <v>8</v>
      </c>
      <c r="O16" s="53">
        <v>3</v>
      </c>
      <c r="P16" s="54">
        <v>0.375</v>
      </c>
      <c r="Q16" s="53">
        <v>0</v>
      </c>
      <c r="R16" s="54">
        <v>0</v>
      </c>
      <c r="S16" s="55">
        <v>5</v>
      </c>
      <c r="T16" s="54">
        <v>0.625</v>
      </c>
    </row>
    <row r="17" spans="1:23" s="18" customFormat="1" ht="13.5" customHeight="1">
      <c r="A17" s="59">
        <v>201910</v>
      </c>
      <c r="B17" s="53">
        <v>11</v>
      </c>
      <c r="C17" s="53">
        <v>3</v>
      </c>
      <c r="D17" s="54">
        <v>0.27272727272727271</v>
      </c>
      <c r="E17" s="53">
        <v>0</v>
      </c>
      <c r="F17" s="54">
        <v>0</v>
      </c>
      <c r="G17" s="55">
        <v>8</v>
      </c>
      <c r="H17" s="54">
        <v>0.72727272727272729</v>
      </c>
      <c r="I17" s="23"/>
      <c r="J17" s="23"/>
      <c r="M17" s="59">
        <v>201910</v>
      </c>
      <c r="N17" s="53">
        <v>10</v>
      </c>
      <c r="O17" s="53">
        <v>3</v>
      </c>
      <c r="P17" s="54">
        <v>0.3</v>
      </c>
      <c r="Q17" s="53">
        <v>0</v>
      </c>
      <c r="R17" s="54">
        <v>0</v>
      </c>
      <c r="S17" s="55">
        <v>7</v>
      </c>
      <c r="T17" s="54">
        <v>0.7</v>
      </c>
    </row>
    <row r="18" spans="1:23" s="18" customFormat="1" ht="13.5" customHeight="1">
      <c r="A18" s="59">
        <v>201920</v>
      </c>
      <c r="B18" s="53">
        <v>14</v>
      </c>
      <c r="C18" s="53">
        <v>2</v>
      </c>
      <c r="D18" s="54">
        <v>0.14285714285714279</v>
      </c>
      <c r="E18" s="53">
        <v>0</v>
      </c>
      <c r="F18" s="54">
        <v>0</v>
      </c>
      <c r="G18" s="55">
        <v>12</v>
      </c>
      <c r="H18" s="54">
        <v>0.8571428571428571</v>
      </c>
      <c r="I18" s="23"/>
      <c r="J18" s="23"/>
      <c r="M18" s="59">
        <v>201920</v>
      </c>
      <c r="N18" s="53">
        <v>6</v>
      </c>
      <c r="O18" s="53">
        <v>0</v>
      </c>
      <c r="P18" s="54">
        <v>0</v>
      </c>
      <c r="Q18" s="53">
        <v>0</v>
      </c>
      <c r="R18" s="54">
        <v>0</v>
      </c>
      <c r="S18" s="55">
        <v>6</v>
      </c>
      <c r="T18" s="54">
        <v>1</v>
      </c>
    </row>
    <row r="19" spans="1:23" s="18" customFormat="1" ht="13.5" customHeight="1">
      <c r="A19" s="59">
        <v>202010</v>
      </c>
      <c r="B19" s="53">
        <v>21</v>
      </c>
      <c r="C19" s="53">
        <v>2</v>
      </c>
      <c r="D19" s="54">
        <v>9.5238095238095233E-2</v>
      </c>
      <c r="E19" s="53">
        <v>0</v>
      </c>
      <c r="F19" s="54">
        <v>0</v>
      </c>
      <c r="G19" s="55">
        <v>19</v>
      </c>
      <c r="H19" s="54">
        <v>0.90476190476190477</v>
      </c>
      <c r="I19" s="23"/>
      <c r="J19" s="23"/>
      <c r="M19" s="59">
        <v>202010</v>
      </c>
      <c r="N19" s="53">
        <v>17</v>
      </c>
      <c r="O19" s="53">
        <v>2</v>
      </c>
      <c r="P19" s="54">
        <v>0.1176470588235294</v>
      </c>
      <c r="Q19" s="53">
        <v>0</v>
      </c>
      <c r="R19" s="54">
        <v>0</v>
      </c>
      <c r="S19" s="55">
        <v>15</v>
      </c>
      <c r="T19" s="54">
        <v>0.88235294117647056</v>
      </c>
    </row>
    <row r="20" spans="1:23" s="18" customFormat="1" ht="13.5" customHeight="1">
      <c r="A20" s="59">
        <v>202020</v>
      </c>
      <c r="B20" s="53">
        <v>9</v>
      </c>
      <c r="C20" s="53">
        <v>2</v>
      </c>
      <c r="D20" s="54">
        <v>0.22222222222222221</v>
      </c>
      <c r="E20" s="53">
        <v>0</v>
      </c>
      <c r="F20" s="54">
        <v>0</v>
      </c>
      <c r="G20" s="55">
        <v>7</v>
      </c>
      <c r="H20" s="54">
        <v>0.77777777777777779</v>
      </c>
      <c r="I20" s="23"/>
      <c r="J20" s="23"/>
      <c r="M20" s="59">
        <v>202020</v>
      </c>
      <c r="N20" s="53">
        <v>4</v>
      </c>
      <c r="O20" s="53">
        <v>1</v>
      </c>
      <c r="P20" s="54">
        <v>0.25</v>
      </c>
      <c r="Q20" s="53">
        <v>0</v>
      </c>
      <c r="R20" s="54">
        <v>0</v>
      </c>
      <c r="S20" s="55">
        <v>3</v>
      </c>
      <c r="T20" s="54">
        <v>0.75</v>
      </c>
    </row>
    <row r="21" spans="1:23" s="18" customFormat="1" ht="13.5" customHeight="1">
      <c r="A21" s="59">
        <v>202110</v>
      </c>
      <c r="B21" s="53">
        <v>6</v>
      </c>
      <c r="C21" s="53">
        <v>0</v>
      </c>
      <c r="D21" s="54">
        <v>0</v>
      </c>
      <c r="E21" s="53">
        <v>0</v>
      </c>
      <c r="F21" s="54">
        <v>0</v>
      </c>
      <c r="G21" s="55">
        <v>6</v>
      </c>
      <c r="H21" s="54">
        <v>1</v>
      </c>
      <c r="I21" s="23"/>
      <c r="J21" s="23"/>
      <c r="M21" s="59">
        <v>202110</v>
      </c>
      <c r="N21" s="53">
        <v>5</v>
      </c>
      <c r="O21" s="53">
        <v>0</v>
      </c>
      <c r="P21" s="54">
        <v>0</v>
      </c>
      <c r="Q21" s="53">
        <v>0</v>
      </c>
      <c r="R21" s="54">
        <v>0</v>
      </c>
      <c r="S21" s="55">
        <v>5</v>
      </c>
      <c r="T21" s="54">
        <v>1</v>
      </c>
    </row>
    <row r="22" spans="1:23" s="18" customFormat="1" ht="13.5" customHeight="1">
      <c r="A22" s="59">
        <v>202120</v>
      </c>
      <c r="B22" s="53">
        <v>5</v>
      </c>
      <c r="C22" s="53">
        <v>0</v>
      </c>
      <c r="D22" s="54">
        <v>0</v>
      </c>
      <c r="E22" s="53">
        <v>0</v>
      </c>
      <c r="F22" s="54">
        <v>0</v>
      </c>
      <c r="G22" s="55">
        <v>5</v>
      </c>
      <c r="H22" s="54">
        <v>1</v>
      </c>
      <c r="I22" s="23"/>
      <c r="J22" s="23"/>
      <c r="M22" s="59">
        <v>202120</v>
      </c>
      <c r="N22" s="53">
        <v>3</v>
      </c>
      <c r="O22" s="53">
        <v>0</v>
      </c>
      <c r="P22" s="54">
        <v>0</v>
      </c>
      <c r="Q22" s="53">
        <v>0</v>
      </c>
      <c r="R22" s="54">
        <v>0</v>
      </c>
      <c r="S22" s="55">
        <v>3</v>
      </c>
      <c r="T22" s="54">
        <v>1</v>
      </c>
    </row>
    <row r="23" spans="1:23" s="18" customFormat="1" ht="13.5" customHeight="1">
      <c r="A23" s="98">
        <v>202210</v>
      </c>
      <c r="B23" s="103" cm="1">
        <f t="array" ref="B23">IF(RIGHT($A23,2)="10",_xlfn.XLOOKUP("TEL"&amp;$A23,[1]PROGRAMA!$A:$A&amp;[1]PROGRAMA!$B:$B,[1]PROGRAMA!C:C,0),_xlfn.XLOOKUP("TEL"&amp;$A23,[2]PROGRAMA!$A:$A&amp;[2]PROGRAMA!$B:$B,[2]PROGRAMA!C:C,0))</f>
        <v>18</v>
      </c>
      <c r="C23" s="103" cm="1">
        <f t="array" ref="C23">IF(RIGHT($A23,2)="10",_xlfn.XLOOKUP("TEL"&amp;$A23,[1]PROGRAMA!$A:$A&amp;[1]PROGRAMA!$B:$B,[1]PROGRAMA!D:D,0),_xlfn.XLOOKUP("TEL"&amp;$A23,[2]PROGRAMA!$A:$A&amp;[2]PROGRAMA!$B:$B,[2]PROGRAMA!D:D,0))</f>
        <v>4</v>
      </c>
      <c r="D23" s="68">
        <f>IFERROR(C23/$B23,0)</f>
        <v>0.22222222222222221</v>
      </c>
      <c r="E23" s="103" cm="1">
        <f t="array" ref="E23">IF(RIGHT($A23,2)="10",_xlfn.XLOOKUP("TEL"&amp;$A23,[1]PROGRAMA!$A:$A&amp;[1]PROGRAMA!$B:$B,[1]PROGRAMA!E:E,0),_xlfn.XLOOKUP("TEL"&amp;$A23,[2]PROGRAMA!$A:$A&amp;[2]PROGRAMA!$B:$B,[2]PROGRAMA!E:E,0))</f>
        <v>0</v>
      </c>
      <c r="F23" s="68">
        <f>IFERROR(E23/$B23,0)</f>
        <v>0</v>
      </c>
      <c r="G23" s="104">
        <f>B23-C23</f>
        <v>14</v>
      </c>
      <c r="H23" s="68">
        <f>IFERROR(G23/$B23,0)</f>
        <v>0.77777777777777779</v>
      </c>
      <c r="I23" s="128"/>
      <c r="J23" s="128"/>
      <c r="K23" s="7"/>
      <c r="L23" s="7"/>
      <c r="M23" s="98">
        <v>202210</v>
      </c>
      <c r="N23" s="103" cm="1">
        <f t="array" ref="N23">IF(RIGHT($A23,2)="10",_xlfn.XLOOKUP("TEL"&amp;$A23,'[1]PROGRAMA 123'!$A:$A&amp;'[1]PROGRAMA 123'!$B:$B,'[1]PROGRAMA 123'!C:C,0),_xlfn.XLOOKUP("TEL"&amp;$A23,'[2]PROGRAMA 123'!$A:$A&amp;'[2]PROGRAMA 123'!$B:$B,'[2]PROGRAMA 123'!C:C,0))</f>
        <v>11</v>
      </c>
      <c r="O23" s="103" cm="1">
        <f t="array" ref="O23">IF(RIGHT($A23,2)="10",_xlfn.XLOOKUP("TEL"&amp;$A23,'[1]PROGRAMA 123'!$A:$A&amp;'[1]PROGRAMA 123'!$B:$B,'[1]PROGRAMA 123'!D:D,0),_xlfn.XLOOKUP("TEL"&amp;$A23,'[2]PROGRAMA 123'!$A:$A&amp;'[2]PROGRAMA 123'!$B:$B,'[2]PROGRAMA 123'!D:D,0))</f>
        <v>2</v>
      </c>
      <c r="P23" s="68">
        <f>IFERROR(O23/$N23,0)</f>
        <v>0.18181818181818182</v>
      </c>
      <c r="Q23" s="103" cm="1">
        <f t="array" ref="Q23">IF(RIGHT($A23,2)="10",_xlfn.XLOOKUP("TEL"&amp;$A23,'[1]PROGRAMA 123'!$A:$A&amp;'[1]PROGRAMA 123'!$B:$B,'[1]PROGRAMA 123'!E:E,0),_xlfn.XLOOKUP("TEL"&amp;$A23,'[2]PROGRAMA 123'!$A:$A&amp;'[2]PROGRAMA 123'!$B:$B,'[2]PROGRAMA 123'!E:E,0))</f>
        <v>0</v>
      </c>
      <c r="R23" s="68">
        <f>IFERROR(Q23/$N23,0)</f>
        <v>0</v>
      </c>
      <c r="S23" s="104">
        <f>N23-O23</f>
        <v>9</v>
      </c>
      <c r="T23" s="68">
        <f>IFERROR(S23/$N23,0)</f>
        <v>0.81818181818181823</v>
      </c>
    </row>
    <row r="24" spans="1:23" s="18" customFormat="1" ht="13.5" customHeight="1">
      <c r="A24" s="98">
        <v>202220</v>
      </c>
      <c r="B24" s="103" cm="1">
        <f t="array" ref="B24">IF(RIGHT($A24,2)="10",_xlfn.XLOOKUP("TEL"&amp;$A24,[1]PROGRAMA!$A:$A&amp;[1]PROGRAMA!$B:$B,[1]PROGRAMA!C:C,0),_xlfn.XLOOKUP("TEL"&amp;$A24,[2]PROGRAMA!$A:$A&amp;[2]PROGRAMA!$B:$B,[2]PROGRAMA!C:C,0))</f>
        <v>11</v>
      </c>
      <c r="C24" s="103" cm="1">
        <f t="array" ref="C24">IF(RIGHT($A24,2)="10",_xlfn.XLOOKUP("TEL"&amp;$A24,[1]PROGRAMA!$A:$A&amp;[1]PROGRAMA!$B:$B,[1]PROGRAMA!D:D,0),_xlfn.XLOOKUP("TEL"&amp;$A24,[2]PROGRAMA!$A:$A&amp;[2]PROGRAMA!$B:$B,[2]PROGRAMA!D:D,0))</f>
        <v>3</v>
      </c>
      <c r="D24" s="68">
        <f>IFERROR(C24/$B24,0)</f>
        <v>0.27272727272727271</v>
      </c>
      <c r="E24" s="103" cm="1">
        <f t="array" ref="E24">IF(RIGHT($A24,2)="10",_xlfn.XLOOKUP("TEL"&amp;$A24,[1]PROGRAMA!$A:$A&amp;[1]PROGRAMA!$B:$B,[1]PROGRAMA!E:E,0),_xlfn.XLOOKUP("TEL"&amp;$A24,[2]PROGRAMA!$A:$A&amp;[2]PROGRAMA!$B:$B,[2]PROGRAMA!E:E,0))</f>
        <v>0</v>
      </c>
      <c r="F24" s="68">
        <f>IFERROR(E24/$B24,0)</f>
        <v>0</v>
      </c>
      <c r="G24" s="104">
        <f>B24-C24</f>
        <v>8</v>
      </c>
      <c r="H24" s="68">
        <f>IFERROR(G24/$B24,0)</f>
        <v>0.72727272727272729</v>
      </c>
      <c r="I24" s="128"/>
      <c r="J24" s="128"/>
      <c r="K24" s="7"/>
      <c r="L24" s="7"/>
      <c r="M24" s="98">
        <v>202220</v>
      </c>
      <c r="N24" s="103" cm="1">
        <f t="array" ref="N24">IF(RIGHT($A24,2)="10",_xlfn.XLOOKUP("TEL"&amp;$A24,'[1]PROGRAMA 123'!$A:$A&amp;'[1]PROGRAMA 123'!$B:$B,'[1]PROGRAMA 123'!C:C,0),_xlfn.XLOOKUP("TEL"&amp;$A24,'[2]PROGRAMA 123'!$A:$A&amp;'[2]PROGRAMA 123'!$B:$B,'[2]PROGRAMA 123'!C:C,0))</f>
        <v>7</v>
      </c>
      <c r="O24" s="103" cm="1">
        <f t="array" ref="O24">IF(RIGHT($A24,2)="10",_xlfn.XLOOKUP("TEL"&amp;$A24,'[1]PROGRAMA 123'!$A:$A&amp;'[1]PROGRAMA 123'!$B:$B,'[1]PROGRAMA 123'!D:D,0),_xlfn.XLOOKUP("TEL"&amp;$A24,'[2]PROGRAMA 123'!$A:$A&amp;'[2]PROGRAMA 123'!$B:$B,'[2]PROGRAMA 123'!D:D,0))</f>
        <v>3</v>
      </c>
      <c r="P24" s="68">
        <f>IFERROR(O24/$N24,0)</f>
        <v>0.42857142857142855</v>
      </c>
      <c r="Q24" s="103" cm="1">
        <f t="array" ref="Q24">IF(RIGHT($A24,2)="10",_xlfn.XLOOKUP("TEL"&amp;$A24,'[1]PROGRAMA 123'!$A:$A&amp;'[1]PROGRAMA 123'!$B:$B,'[1]PROGRAMA 123'!E:E,0),_xlfn.XLOOKUP("TEL"&amp;$A24,'[2]PROGRAMA 123'!$A:$A&amp;'[2]PROGRAMA 123'!$B:$B,'[2]PROGRAMA 123'!E:E,0))</f>
        <v>0</v>
      </c>
      <c r="R24" s="68">
        <f>IFERROR(Q24/$N24,0)</f>
        <v>0</v>
      </c>
      <c r="S24" s="104">
        <f>N24-O24</f>
        <v>4</v>
      </c>
      <c r="T24" s="68">
        <f>IFERROR(S24/$N24,0)</f>
        <v>0.5714285714285714</v>
      </c>
    </row>
    <row r="25" spans="1:23" s="18" customFormat="1" ht="13.5" customHeight="1">
      <c r="A25" s="98" t="s">
        <v>239</v>
      </c>
      <c r="B25" s="103">
        <v>20</v>
      </c>
      <c r="C25" s="103">
        <v>4</v>
      </c>
      <c r="D25" s="68">
        <v>0.2</v>
      </c>
      <c r="E25" s="103">
        <v>0</v>
      </c>
      <c r="F25" s="68">
        <v>0</v>
      </c>
      <c r="G25" s="104">
        <v>16</v>
      </c>
      <c r="H25" s="68">
        <v>0.8</v>
      </c>
      <c r="I25" s="128"/>
      <c r="J25" s="128"/>
      <c r="K25" s="7"/>
      <c r="L25" s="7"/>
      <c r="M25" s="98" t="s">
        <v>239</v>
      </c>
      <c r="N25" s="103">
        <v>17</v>
      </c>
      <c r="O25" s="103">
        <v>2</v>
      </c>
      <c r="P25" s="68">
        <v>0.1176470588235294</v>
      </c>
      <c r="Q25" s="103">
        <v>0</v>
      </c>
      <c r="R25" s="68">
        <v>0</v>
      </c>
      <c r="S25" s="104">
        <v>15</v>
      </c>
      <c r="T25" s="68">
        <v>0.88235294117647056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0.5714285714285714</v>
      </c>
      <c r="B29" s="37">
        <f>+((B6*D6)+(B7*D7))/(B6+B7)</f>
        <v>0.29183333333333333</v>
      </c>
      <c r="C29" s="32">
        <f>((B8*D8)+(B9*D9))/(B8+B9)</f>
        <v>0.39409090909090905</v>
      </c>
      <c r="D29" s="32">
        <f>+((B10*D10)+(B11*D11))/(B10+B11)</f>
        <v>0.28125</v>
      </c>
      <c r="E29" s="32">
        <f>((B12*D12)+(B13*D13))/(B12+B13)</f>
        <v>0.31428571428571428</v>
      </c>
      <c r="F29" s="32">
        <f>((B14*D14)+(B15*D15))/(B14+B15)</f>
        <v>0.43478260869565216</v>
      </c>
      <c r="G29" s="32">
        <f>((B16*D16)+(B17*D17))/(B16+B17)</f>
        <v>0.29629629629629628</v>
      </c>
      <c r="H29" s="32">
        <f>((B18*D18)+(B19*D19))/(B18+B19)</f>
        <v>0.11428571428571425</v>
      </c>
      <c r="I29" s="32">
        <f>((B20*D20)+(B21*D21))/(B20+B21)</f>
        <v>0.13333333333333333</v>
      </c>
      <c r="J29" s="32">
        <f>(C22+C23)/(B22+B23)</f>
        <v>0.17391304347826086</v>
      </c>
      <c r="K29" s="32">
        <f>D24</f>
        <v>0.27272727272727271</v>
      </c>
      <c r="L29" s="6"/>
      <c r="M29" s="37">
        <f>P5</f>
        <v>0.5</v>
      </c>
      <c r="N29" s="37">
        <f>+((N6*P6)+(N7*P7))/(N6+N7)</f>
        <v>0.23517647058823532</v>
      </c>
      <c r="O29" s="32">
        <f>((N8*P8)+(N9*P9))/(N8+N9)</f>
        <v>0.40039999999999998</v>
      </c>
      <c r="P29" s="32">
        <f>+((N10*P10)+(N11*P11))/(N10+N11)</f>
        <v>0.2857142857142857</v>
      </c>
      <c r="Q29" s="32">
        <f>((N12*P12)+(N13*P13))/(N12+N13)</f>
        <v>0.3</v>
      </c>
      <c r="R29" s="32">
        <f>((N14*P14)+(N15*P15))/(N14+N15)</f>
        <v>0.41666666666666669</v>
      </c>
      <c r="S29" s="32">
        <f>((N16*P16)+(N17*P17))/(N16+N17)</f>
        <v>0.33333333333333331</v>
      </c>
      <c r="T29" s="32">
        <f>((N18*P18)+(N19*P19))/(N18+N19)</f>
        <v>8.6956521739130418E-2</v>
      </c>
      <c r="U29" s="32">
        <f>((N20*P20)+(N21*P21))/(N20+N21)</f>
        <v>0.1111111111111111</v>
      </c>
      <c r="V29" s="32">
        <f>(O22+O23)/(N22+N23)</f>
        <v>0.14285714285714285</v>
      </c>
      <c r="W29" s="32">
        <f>P24</f>
        <v>0.42857142857142855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  <row r="33" spans="9:12">
      <c r="I33" s="7" t="s">
        <v>243</v>
      </c>
      <c r="L33" s="6"/>
    </row>
    <row r="34" spans="9:12">
      <c r="I34" s="215" t="s">
        <v>244</v>
      </c>
      <c r="J34" s="215"/>
      <c r="K34" s="215"/>
      <c r="L34" s="215"/>
    </row>
    <row r="35" spans="9:12">
      <c r="I35" s="215"/>
      <c r="J35" s="215"/>
      <c r="K35" s="215"/>
      <c r="L35" s="215"/>
    </row>
    <row r="36" spans="9:12">
      <c r="I36" s="215"/>
      <c r="J36" s="215"/>
      <c r="K36" s="215"/>
      <c r="L36" s="215"/>
    </row>
    <row r="37" spans="9:12">
      <c r="I37" s="215"/>
      <c r="J37" s="215"/>
      <c r="K37" s="215"/>
      <c r="L37" s="215"/>
    </row>
    <row r="38" spans="9:12">
      <c r="I38" s="215"/>
      <c r="J38" s="215"/>
      <c r="K38" s="215"/>
      <c r="L38" s="215"/>
    </row>
    <row r="39" spans="9:12">
      <c r="I39" s="215"/>
      <c r="J39" s="215"/>
      <c r="K39" s="215"/>
      <c r="L39" s="215"/>
    </row>
    <row r="40" spans="9:12">
      <c r="I40" s="215"/>
      <c r="J40" s="215"/>
      <c r="K40" s="215"/>
      <c r="L40" s="215"/>
    </row>
    <row r="41" spans="9:12">
      <c r="I41" s="215"/>
      <c r="J41" s="215"/>
      <c r="K41" s="215"/>
      <c r="L41" s="215"/>
    </row>
  </sheetData>
  <mergeCells count="13">
    <mergeCell ref="I34:L41"/>
    <mergeCell ref="A31:K31"/>
    <mergeCell ref="M30:V30"/>
    <mergeCell ref="M31:W31"/>
    <mergeCell ref="A1:H1"/>
    <mergeCell ref="M1:T1"/>
    <mergeCell ref="A3:H3"/>
    <mergeCell ref="M3:T3"/>
    <mergeCell ref="A2:H2"/>
    <mergeCell ref="M2:T2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M23:O24 Q23:Q24 S23:S24 E23:K24" formula="1"/>
    <ignoredError sqref="A25 M25" numberStoredAsText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5" thickBot="1">
      <c r="A2" s="215"/>
      <c r="B2" s="215"/>
      <c r="C2" s="215"/>
      <c r="D2" s="215"/>
      <c r="E2" s="215"/>
      <c r="F2" s="215"/>
      <c r="G2" s="215"/>
      <c r="H2" s="215"/>
      <c r="I2"/>
      <c r="J2"/>
      <c r="M2" s="215"/>
      <c r="N2" s="215"/>
      <c r="O2" s="215"/>
      <c r="P2" s="215"/>
      <c r="Q2" s="215"/>
      <c r="R2" s="215"/>
      <c r="S2" s="215"/>
      <c r="T2" s="215"/>
    </row>
    <row r="3" spans="1:20" ht="14.4">
      <c r="A3" s="208" t="s">
        <v>157</v>
      </c>
      <c r="B3" s="208"/>
      <c r="C3" s="208"/>
      <c r="D3" s="208"/>
      <c r="E3" s="208"/>
      <c r="F3" s="208"/>
      <c r="G3" s="208"/>
      <c r="H3" s="208"/>
      <c r="I3"/>
      <c r="J3"/>
      <c r="M3" s="224" t="s">
        <v>158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17</v>
      </c>
      <c r="C5" s="57">
        <v>1</v>
      </c>
      <c r="D5" s="58">
        <v>5.8823529411764705E-2</v>
      </c>
      <c r="E5" s="57">
        <v>0</v>
      </c>
      <c r="F5" s="58">
        <v>0</v>
      </c>
      <c r="G5" s="57">
        <v>16</v>
      </c>
      <c r="H5" s="58">
        <v>0.94117647058823528</v>
      </c>
      <c r="I5" s="125"/>
      <c r="J5" s="125"/>
      <c r="M5" s="55">
        <v>201310</v>
      </c>
      <c r="N5" s="57">
        <v>11</v>
      </c>
      <c r="O5" s="57">
        <v>1</v>
      </c>
      <c r="P5" s="58">
        <v>9.0909090909090912E-2</v>
      </c>
      <c r="Q5" s="57">
        <v>0</v>
      </c>
      <c r="R5" s="58">
        <v>0</v>
      </c>
      <c r="S5" s="57">
        <v>10</v>
      </c>
      <c r="T5" s="58">
        <v>0.90909090909090906</v>
      </c>
    </row>
    <row r="6" spans="1:20" ht="13.5" customHeight="1">
      <c r="A6" s="59">
        <v>201320</v>
      </c>
      <c r="B6" s="57">
        <v>30</v>
      </c>
      <c r="C6" s="57">
        <v>4</v>
      </c>
      <c r="D6" s="76">
        <v>0.13333333333333333</v>
      </c>
      <c r="E6" s="57">
        <v>0</v>
      </c>
      <c r="F6" s="76">
        <v>0</v>
      </c>
      <c r="G6" s="59">
        <v>26</v>
      </c>
      <c r="H6" s="76">
        <v>0.8666666666666667</v>
      </c>
      <c r="I6" s="127"/>
      <c r="J6" s="127"/>
      <c r="M6" s="55">
        <v>201320</v>
      </c>
      <c r="N6" s="53">
        <v>16</v>
      </c>
      <c r="O6" s="53">
        <v>2</v>
      </c>
      <c r="P6" s="54">
        <v>0.125</v>
      </c>
      <c r="Q6" s="53">
        <v>0</v>
      </c>
      <c r="R6" s="54">
        <v>0</v>
      </c>
      <c r="S6" s="55">
        <v>14</v>
      </c>
      <c r="T6" s="54">
        <v>0.875</v>
      </c>
    </row>
    <row r="7" spans="1:20" ht="13.5" customHeight="1">
      <c r="A7" s="59">
        <v>201410</v>
      </c>
      <c r="B7" s="57">
        <v>18</v>
      </c>
      <c r="C7" s="57">
        <v>7</v>
      </c>
      <c r="D7" s="58">
        <v>0.38900000000000001</v>
      </c>
      <c r="E7" s="57">
        <v>0</v>
      </c>
      <c r="F7" s="58">
        <v>0</v>
      </c>
      <c r="G7" s="57">
        <v>11</v>
      </c>
      <c r="H7" s="58">
        <v>0.61099999999999999</v>
      </c>
      <c r="I7" s="125"/>
      <c r="J7" s="125"/>
      <c r="M7" s="55">
        <v>201410</v>
      </c>
      <c r="N7" s="53">
        <v>11</v>
      </c>
      <c r="O7" s="53">
        <v>3</v>
      </c>
      <c r="P7" s="54">
        <v>0.27300000000000002</v>
      </c>
      <c r="Q7" s="53">
        <v>0</v>
      </c>
      <c r="R7" s="54">
        <v>0</v>
      </c>
      <c r="S7" s="55">
        <v>8</v>
      </c>
      <c r="T7" s="54">
        <v>0.72699999999999998</v>
      </c>
    </row>
    <row r="8" spans="1:20" ht="13.5" customHeight="1">
      <c r="A8" s="59">
        <v>201420</v>
      </c>
      <c r="B8" s="53">
        <v>26</v>
      </c>
      <c r="C8" s="53">
        <v>6</v>
      </c>
      <c r="D8" s="54">
        <v>0.23100000000000001</v>
      </c>
      <c r="E8" s="53">
        <v>0</v>
      </c>
      <c r="F8" s="54">
        <v>0</v>
      </c>
      <c r="G8" s="55">
        <v>20</v>
      </c>
      <c r="H8" s="54">
        <v>0.76900000000000002</v>
      </c>
      <c r="I8" s="23"/>
      <c r="J8" s="23"/>
      <c r="M8" s="55">
        <v>201420</v>
      </c>
      <c r="N8" s="53">
        <v>18</v>
      </c>
      <c r="O8" s="53">
        <v>4</v>
      </c>
      <c r="P8" s="54">
        <v>0.222</v>
      </c>
      <c r="Q8" s="53">
        <v>0</v>
      </c>
      <c r="R8" s="54">
        <v>0</v>
      </c>
      <c r="S8" s="55">
        <v>14</v>
      </c>
      <c r="T8" s="54">
        <v>0.77800000000000002</v>
      </c>
    </row>
    <row r="9" spans="1:20" ht="13.5" customHeight="1">
      <c r="A9" s="59">
        <v>201510</v>
      </c>
      <c r="B9" s="53">
        <v>31</v>
      </c>
      <c r="C9" s="53">
        <v>7</v>
      </c>
      <c r="D9" s="54">
        <v>0.22600000000000001</v>
      </c>
      <c r="E9" s="53">
        <v>0</v>
      </c>
      <c r="F9" s="54">
        <v>0</v>
      </c>
      <c r="G9" s="55">
        <v>24</v>
      </c>
      <c r="H9" s="54">
        <v>0.77400000000000002</v>
      </c>
      <c r="I9" s="23"/>
      <c r="J9" s="23"/>
      <c r="M9" s="55">
        <v>201510</v>
      </c>
      <c r="N9" s="53">
        <v>25</v>
      </c>
      <c r="O9" s="53">
        <v>5</v>
      </c>
      <c r="P9" s="54">
        <v>0.2</v>
      </c>
      <c r="Q9" s="53">
        <v>0</v>
      </c>
      <c r="R9" s="54">
        <v>0</v>
      </c>
      <c r="S9" s="55">
        <v>20</v>
      </c>
      <c r="T9" s="54">
        <v>0.8</v>
      </c>
    </row>
    <row r="10" spans="1:20" ht="13.5" customHeight="1">
      <c r="A10" s="59">
        <v>201520</v>
      </c>
      <c r="B10" s="53">
        <v>31</v>
      </c>
      <c r="C10" s="53">
        <v>6</v>
      </c>
      <c r="D10" s="54">
        <v>0.19354838709677419</v>
      </c>
      <c r="E10" s="53">
        <v>0</v>
      </c>
      <c r="F10" s="54">
        <v>0</v>
      </c>
      <c r="G10" s="55">
        <v>25</v>
      </c>
      <c r="H10" s="54">
        <v>0.80645161290322576</v>
      </c>
      <c r="I10" s="23"/>
      <c r="J10" s="23"/>
      <c r="M10" s="55">
        <v>201520</v>
      </c>
      <c r="N10" s="53">
        <v>17</v>
      </c>
      <c r="O10" s="53">
        <v>3</v>
      </c>
      <c r="P10" s="54">
        <v>0.17647058823529413</v>
      </c>
      <c r="Q10" s="53">
        <v>0</v>
      </c>
      <c r="R10" s="54">
        <v>0</v>
      </c>
      <c r="S10" s="55">
        <v>14</v>
      </c>
      <c r="T10" s="54">
        <v>0.82352941176470584</v>
      </c>
    </row>
    <row r="11" spans="1:20" ht="13.5" customHeight="1">
      <c r="A11" s="59">
        <v>201610</v>
      </c>
      <c r="B11" s="53">
        <v>34</v>
      </c>
      <c r="C11" s="53">
        <v>16</v>
      </c>
      <c r="D11" s="54">
        <v>0.47058823529411764</v>
      </c>
      <c r="E11" s="53">
        <v>0</v>
      </c>
      <c r="F11" s="54">
        <v>0</v>
      </c>
      <c r="G11" s="55">
        <v>18</v>
      </c>
      <c r="H11" s="54">
        <v>0.52941176470588236</v>
      </c>
      <c r="I11" s="23"/>
      <c r="J11" s="23"/>
      <c r="M11" s="55">
        <v>201610</v>
      </c>
      <c r="N11" s="53">
        <v>29</v>
      </c>
      <c r="O11" s="53">
        <v>11</v>
      </c>
      <c r="P11" s="54">
        <v>0.37931034482758619</v>
      </c>
      <c r="Q11" s="53">
        <v>0</v>
      </c>
      <c r="R11" s="54">
        <v>0</v>
      </c>
      <c r="S11" s="55">
        <v>18</v>
      </c>
      <c r="T11" s="54">
        <v>0.62068965517241381</v>
      </c>
    </row>
    <row r="12" spans="1:20" ht="13.5" customHeight="1">
      <c r="A12" s="59">
        <v>201620</v>
      </c>
      <c r="B12" s="57">
        <v>37</v>
      </c>
      <c r="C12" s="57">
        <v>11</v>
      </c>
      <c r="D12" s="58">
        <v>0.29729729729729731</v>
      </c>
      <c r="E12" s="57">
        <v>0</v>
      </c>
      <c r="F12" s="58">
        <v>0</v>
      </c>
      <c r="G12" s="57">
        <v>26</v>
      </c>
      <c r="H12" s="58">
        <v>0.70270270270270274</v>
      </c>
      <c r="I12" s="125"/>
      <c r="J12" s="125"/>
      <c r="M12" s="55">
        <v>201620</v>
      </c>
      <c r="N12" s="57">
        <v>15</v>
      </c>
      <c r="O12" s="57">
        <v>4</v>
      </c>
      <c r="P12" s="58">
        <v>0.26666666666666666</v>
      </c>
      <c r="Q12" s="57">
        <v>0</v>
      </c>
      <c r="R12" s="58">
        <v>0</v>
      </c>
      <c r="S12" s="57">
        <v>11</v>
      </c>
      <c r="T12" s="58">
        <v>0.73333333333333328</v>
      </c>
    </row>
    <row r="13" spans="1:20" ht="13.5" customHeight="1">
      <c r="A13" s="59">
        <v>201710</v>
      </c>
      <c r="B13" s="53">
        <v>26</v>
      </c>
      <c r="C13" s="53">
        <v>9</v>
      </c>
      <c r="D13" s="54">
        <v>0.34615384615384615</v>
      </c>
      <c r="E13" s="53">
        <v>0</v>
      </c>
      <c r="F13" s="54">
        <v>0</v>
      </c>
      <c r="G13" s="55">
        <v>17</v>
      </c>
      <c r="H13" s="54">
        <v>0.65384615384615385</v>
      </c>
      <c r="I13" s="23"/>
      <c r="J13" s="23"/>
      <c r="M13" s="55">
        <v>201710</v>
      </c>
      <c r="N13" s="53">
        <v>19</v>
      </c>
      <c r="O13" s="53">
        <v>6</v>
      </c>
      <c r="P13" s="54">
        <v>0.31578947368421051</v>
      </c>
      <c r="Q13" s="53">
        <v>0</v>
      </c>
      <c r="R13" s="54">
        <v>0</v>
      </c>
      <c r="S13" s="55">
        <v>13</v>
      </c>
      <c r="T13" s="54">
        <v>0.68421052631578949</v>
      </c>
    </row>
    <row r="14" spans="1:20" ht="13.5" customHeight="1">
      <c r="A14" s="59">
        <v>201720</v>
      </c>
      <c r="B14" s="53">
        <v>27</v>
      </c>
      <c r="C14" s="53">
        <v>6</v>
      </c>
      <c r="D14" s="54">
        <v>0.22222222222222221</v>
      </c>
      <c r="E14" s="53">
        <v>0</v>
      </c>
      <c r="F14" s="54">
        <v>0</v>
      </c>
      <c r="G14" s="55">
        <v>21</v>
      </c>
      <c r="H14" s="54">
        <v>0.77777777777777779</v>
      </c>
      <c r="I14" s="23"/>
      <c r="J14" s="23"/>
      <c r="M14" s="55">
        <v>201720</v>
      </c>
      <c r="N14" s="53">
        <v>12</v>
      </c>
      <c r="O14" s="53">
        <v>0</v>
      </c>
      <c r="P14" s="54">
        <v>0</v>
      </c>
      <c r="Q14" s="53">
        <v>0</v>
      </c>
      <c r="R14" s="54">
        <v>0</v>
      </c>
      <c r="S14" s="55">
        <v>12</v>
      </c>
      <c r="T14" s="54">
        <v>1</v>
      </c>
    </row>
    <row r="15" spans="1:20" ht="13.5" customHeight="1">
      <c r="A15" s="59">
        <v>201810</v>
      </c>
      <c r="B15" s="53">
        <v>35</v>
      </c>
      <c r="C15" s="53">
        <v>7</v>
      </c>
      <c r="D15" s="54">
        <v>0.2</v>
      </c>
      <c r="E15" s="53">
        <v>0</v>
      </c>
      <c r="F15" s="54">
        <v>0</v>
      </c>
      <c r="G15" s="55">
        <v>28</v>
      </c>
      <c r="H15" s="54">
        <v>0.8</v>
      </c>
      <c r="I15" s="23"/>
      <c r="J15" s="23"/>
      <c r="M15" s="55">
        <v>201810</v>
      </c>
      <c r="N15" s="53">
        <v>22</v>
      </c>
      <c r="O15" s="53">
        <v>7</v>
      </c>
      <c r="P15" s="54">
        <v>0.31818181818181818</v>
      </c>
      <c r="Q15" s="53">
        <v>0</v>
      </c>
      <c r="R15" s="54">
        <v>0</v>
      </c>
      <c r="S15" s="55">
        <v>15</v>
      </c>
      <c r="T15" s="54">
        <v>0.68181818181818177</v>
      </c>
    </row>
    <row r="16" spans="1:20" ht="13.5" customHeight="1">
      <c r="A16" s="59">
        <v>201820</v>
      </c>
      <c r="B16" s="53">
        <v>34</v>
      </c>
      <c r="C16" s="53">
        <v>6</v>
      </c>
      <c r="D16" s="54">
        <v>0.17647058823529413</v>
      </c>
      <c r="E16" s="53">
        <v>0</v>
      </c>
      <c r="F16" s="54">
        <v>0</v>
      </c>
      <c r="G16" s="55">
        <v>28</v>
      </c>
      <c r="H16" s="54">
        <v>0.82352941176470584</v>
      </c>
      <c r="I16" s="23"/>
      <c r="J16" s="23"/>
      <c r="M16" s="59">
        <v>201820</v>
      </c>
      <c r="N16" s="53">
        <v>17</v>
      </c>
      <c r="O16" s="53">
        <v>3</v>
      </c>
      <c r="P16" s="54">
        <v>0.17647058823529413</v>
      </c>
      <c r="Q16" s="53">
        <v>0</v>
      </c>
      <c r="R16" s="54">
        <v>0</v>
      </c>
      <c r="S16" s="55">
        <v>14</v>
      </c>
      <c r="T16" s="54">
        <v>0.82352941176470584</v>
      </c>
    </row>
    <row r="17" spans="1:23" s="18" customFormat="1" ht="13.5" customHeight="1">
      <c r="A17" s="59">
        <v>201910</v>
      </c>
      <c r="B17" s="53">
        <v>18</v>
      </c>
      <c r="C17" s="53">
        <v>5</v>
      </c>
      <c r="D17" s="54">
        <v>0.27777777777777779</v>
      </c>
      <c r="E17" s="53">
        <v>0</v>
      </c>
      <c r="F17" s="54">
        <v>0</v>
      </c>
      <c r="G17" s="55">
        <v>13</v>
      </c>
      <c r="H17" s="54">
        <v>0.72222222222222221</v>
      </c>
      <c r="I17" s="23"/>
      <c r="J17" s="23"/>
      <c r="M17" s="59">
        <v>201910</v>
      </c>
      <c r="N17" s="53">
        <v>13</v>
      </c>
      <c r="O17" s="53">
        <v>3</v>
      </c>
      <c r="P17" s="54">
        <v>0.23076923076923081</v>
      </c>
      <c r="Q17" s="53">
        <v>0</v>
      </c>
      <c r="R17" s="54">
        <v>0</v>
      </c>
      <c r="S17" s="55">
        <v>10</v>
      </c>
      <c r="T17" s="54">
        <v>0.76923076923076927</v>
      </c>
    </row>
    <row r="18" spans="1:23" s="18" customFormat="1" ht="13.5" customHeight="1">
      <c r="A18" s="59">
        <v>201920</v>
      </c>
      <c r="B18" s="53">
        <v>28</v>
      </c>
      <c r="C18" s="53">
        <v>10</v>
      </c>
      <c r="D18" s="54">
        <v>0.35714285714285721</v>
      </c>
      <c r="E18" s="53">
        <v>0</v>
      </c>
      <c r="F18" s="54">
        <v>0</v>
      </c>
      <c r="G18" s="55">
        <v>18</v>
      </c>
      <c r="H18" s="54">
        <v>0.6428571428571429</v>
      </c>
      <c r="I18" s="23"/>
      <c r="J18" s="23"/>
      <c r="M18" s="59">
        <v>201920</v>
      </c>
      <c r="N18" s="53">
        <v>13</v>
      </c>
      <c r="O18" s="53">
        <v>3</v>
      </c>
      <c r="P18" s="54">
        <v>0.23076923076923081</v>
      </c>
      <c r="Q18" s="53">
        <v>0</v>
      </c>
      <c r="R18" s="54">
        <v>0</v>
      </c>
      <c r="S18" s="55">
        <v>10</v>
      </c>
      <c r="T18" s="54">
        <v>0.76923076923076927</v>
      </c>
    </row>
    <row r="19" spans="1:23" s="18" customFormat="1" ht="13.5" customHeight="1">
      <c r="A19" s="59">
        <v>202010</v>
      </c>
      <c r="B19" s="53">
        <v>37</v>
      </c>
      <c r="C19" s="53">
        <v>6</v>
      </c>
      <c r="D19" s="54">
        <v>0.1621621621621622</v>
      </c>
      <c r="E19" s="53">
        <v>0</v>
      </c>
      <c r="F19" s="54">
        <v>0</v>
      </c>
      <c r="G19" s="55">
        <v>31</v>
      </c>
      <c r="H19" s="54">
        <v>0.83783783783783783</v>
      </c>
      <c r="I19" s="23"/>
      <c r="J19" s="23"/>
      <c r="M19" s="59">
        <v>202010</v>
      </c>
      <c r="N19" s="53">
        <v>22</v>
      </c>
      <c r="O19" s="53">
        <v>3</v>
      </c>
      <c r="P19" s="54">
        <v>0.13636363636363641</v>
      </c>
      <c r="Q19" s="53">
        <v>0</v>
      </c>
      <c r="R19" s="54">
        <v>0</v>
      </c>
      <c r="S19" s="55">
        <v>19</v>
      </c>
      <c r="T19" s="54">
        <v>0.86363636363636365</v>
      </c>
    </row>
    <row r="20" spans="1:23" s="18" customFormat="1" ht="13.5" customHeight="1">
      <c r="A20" s="59">
        <v>202020</v>
      </c>
      <c r="B20" s="53">
        <v>31</v>
      </c>
      <c r="C20" s="53">
        <v>3</v>
      </c>
      <c r="D20" s="54">
        <v>9.6774193548387094E-2</v>
      </c>
      <c r="E20" s="53">
        <v>0</v>
      </c>
      <c r="F20" s="54">
        <v>0</v>
      </c>
      <c r="G20" s="55">
        <v>28</v>
      </c>
      <c r="H20" s="54">
        <v>0.90322580645161288</v>
      </c>
      <c r="I20" s="23"/>
      <c r="J20" s="23"/>
      <c r="M20" s="59">
        <v>202020</v>
      </c>
      <c r="N20" s="53">
        <v>16</v>
      </c>
      <c r="O20" s="53">
        <v>1</v>
      </c>
      <c r="P20" s="54">
        <v>6.25E-2</v>
      </c>
      <c r="Q20" s="53">
        <v>0</v>
      </c>
      <c r="R20" s="54">
        <v>0</v>
      </c>
      <c r="S20" s="55">
        <v>15</v>
      </c>
      <c r="T20" s="54">
        <v>0.9375</v>
      </c>
    </row>
    <row r="21" spans="1:23" s="18" customFormat="1" ht="13.5" customHeight="1">
      <c r="A21" s="59">
        <v>202110</v>
      </c>
      <c r="B21" s="53">
        <v>29</v>
      </c>
      <c r="C21" s="53">
        <v>6</v>
      </c>
      <c r="D21" s="54">
        <v>0.2068965517241379</v>
      </c>
      <c r="E21" s="53">
        <v>0</v>
      </c>
      <c r="F21" s="54">
        <v>0</v>
      </c>
      <c r="G21" s="55">
        <v>23</v>
      </c>
      <c r="H21" s="54">
        <v>0.7931034482758621</v>
      </c>
      <c r="I21" s="23"/>
      <c r="J21" s="23"/>
      <c r="M21" s="59">
        <v>202110</v>
      </c>
      <c r="N21" s="53">
        <v>20</v>
      </c>
      <c r="O21" s="53">
        <v>3</v>
      </c>
      <c r="P21" s="54">
        <v>0.15</v>
      </c>
      <c r="Q21" s="53">
        <v>0</v>
      </c>
      <c r="R21" s="54">
        <v>0</v>
      </c>
      <c r="S21" s="55">
        <v>17</v>
      </c>
      <c r="T21" s="54">
        <v>0.85</v>
      </c>
    </row>
    <row r="22" spans="1:23" s="18" customFormat="1" ht="13.5" customHeight="1">
      <c r="A22" s="59">
        <v>202120</v>
      </c>
      <c r="B22" s="53">
        <v>34</v>
      </c>
      <c r="C22" s="53">
        <v>4</v>
      </c>
      <c r="D22" s="54">
        <v>0.1176470588235294</v>
      </c>
      <c r="E22" s="53">
        <v>0</v>
      </c>
      <c r="F22" s="54">
        <v>0</v>
      </c>
      <c r="G22" s="55">
        <v>30</v>
      </c>
      <c r="H22" s="54">
        <v>0.88235294117647056</v>
      </c>
      <c r="I22" s="23"/>
      <c r="J22" s="23"/>
      <c r="M22" s="59">
        <v>202120</v>
      </c>
      <c r="N22" s="53">
        <v>11</v>
      </c>
      <c r="O22" s="53">
        <v>1</v>
      </c>
      <c r="P22" s="54">
        <v>9.0909090909090912E-2</v>
      </c>
      <c r="Q22" s="53">
        <v>0</v>
      </c>
      <c r="R22" s="54">
        <v>0</v>
      </c>
      <c r="S22" s="55">
        <v>10</v>
      </c>
      <c r="T22" s="54">
        <v>0.90909090909090906</v>
      </c>
    </row>
    <row r="23" spans="1:23" s="18" customFormat="1" ht="13.5" customHeight="1">
      <c r="A23" s="98">
        <v>202210</v>
      </c>
      <c r="B23" s="103" cm="1">
        <f t="array" ref="B23">IF(RIGHT($A23,2)="10",_xlfn.XLOOKUP("DMI"&amp;$A23,[1]PROGRAMA!$A:$A&amp;[1]PROGRAMA!$B:$B,[1]PROGRAMA!C:C,0),_xlfn.XLOOKUP("DMI"&amp;$A23,[2]PROGRAMA!$A:$A&amp;[2]PROGRAMA!$B:$B,[2]PROGRAMA!C:C,0))</f>
        <v>46</v>
      </c>
      <c r="C23" s="103" cm="1">
        <f t="array" ref="C23">IF(RIGHT($A23,2)="10",_xlfn.XLOOKUP("DMI"&amp;$A23,[1]PROGRAMA!$A:$A&amp;[1]PROGRAMA!$B:$B,[1]PROGRAMA!D:D,0),_xlfn.XLOOKUP("DMI"&amp;$A23,[2]PROGRAMA!$A:$A&amp;[2]PROGRAMA!$B:$B,[2]PROGRAMA!D:D,0))</f>
        <v>8</v>
      </c>
      <c r="D23" s="68">
        <f>IFERROR(C23/$B23,0)</f>
        <v>0.17391304347826086</v>
      </c>
      <c r="E23" s="103" cm="1">
        <f t="array" ref="E23">IF(RIGHT($A23,2)="10",_xlfn.XLOOKUP("DMI"&amp;$A23,[1]PROGRAMA!$A:$A&amp;[1]PROGRAMA!$B:$B,[1]PROGRAMA!E:E,0),_xlfn.XLOOKUP("DMI"&amp;$A23,[2]PROGRAMA!$A:$A&amp;[2]PROGRAMA!$B:$B,[2]PROGRAMA!E:E,0))</f>
        <v>0</v>
      </c>
      <c r="F23" s="68">
        <f>IFERROR(E23/$B23,0)</f>
        <v>0</v>
      </c>
      <c r="G23" s="104">
        <f>B23-C23</f>
        <v>38</v>
      </c>
      <c r="H23" s="68">
        <f>IFERROR(G23/$B23,0)</f>
        <v>0.82608695652173914</v>
      </c>
      <c r="I23" s="128"/>
      <c r="J23" s="128"/>
      <c r="K23" s="7"/>
      <c r="L23" s="7"/>
      <c r="M23" s="98">
        <v>202210</v>
      </c>
      <c r="N23" s="103" cm="1">
        <f t="array" ref="N23">IF(RIGHT($A23,2)="10",_xlfn.XLOOKUP("DMI"&amp;$A23,'[1]PROGRAMA 123'!$A:$A&amp;'[1]PROGRAMA 123'!$B:$B,'[1]PROGRAMA 123'!C:C,0),_xlfn.XLOOKUP("DMI"&amp;$A23,'[2]PROGRAMA 123'!$A:$A&amp;'[2]PROGRAMA 123'!$B:$B,'[2]PROGRAMA 123'!C:C,0))</f>
        <v>25</v>
      </c>
      <c r="O23" s="103" cm="1">
        <f t="array" ref="O23">IF(RIGHT($A23,2)="10",_xlfn.XLOOKUP("DMI"&amp;$A23,'[1]PROGRAMA 123'!$A:$A&amp;'[1]PROGRAMA 123'!$B:$B,'[1]PROGRAMA 123'!D:D,0),_xlfn.XLOOKUP("DMI"&amp;$A23,'[2]PROGRAMA 123'!$A:$A&amp;'[2]PROGRAMA 123'!$B:$B,'[2]PROGRAMA 123'!D:D,0))</f>
        <v>2</v>
      </c>
      <c r="P23" s="68">
        <f>IFERROR(O23/$N23,0)</f>
        <v>0.08</v>
      </c>
      <c r="Q23" s="103" cm="1">
        <f t="array" ref="Q23">IF(RIGHT($A23,2)="10",_xlfn.XLOOKUP("DMI"&amp;$A23,'[1]PROGRAMA 123'!$A:$A&amp;'[1]PROGRAMA 123'!$B:$B,'[1]PROGRAMA 123'!E:E,0),_xlfn.XLOOKUP("DMI"&amp;$A23,'[2]PROGRAMA 123'!$A:$A&amp;'[2]PROGRAMA 123'!$B:$B,'[2]PROGRAMA 123'!E:E,0))</f>
        <v>0</v>
      </c>
      <c r="R23" s="68">
        <f>IFERROR(Q23/$N23,0)</f>
        <v>0</v>
      </c>
      <c r="S23" s="104">
        <f>N23-O23</f>
        <v>23</v>
      </c>
      <c r="T23" s="68">
        <f>IFERROR(S23/$N23,0)</f>
        <v>0.92</v>
      </c>
    </row>
    <row r="24" spans="1:23" s="18" customFormat="1" ht="13.5" customHeight="1">
      <c r="A24" s="98">
        <v>202220</v>
      </c>
      <c r="B24" s="103" cm="1">
        <f t="array" ref="B24">IF(RIGHT($A24,2)="10",_xlfn.XLOOKUP("DMI"&amp;$A24,[1]PROGRAMA!$A:$A&amp;[1]PROGRAMA!$B:$B,[1]PROGRAMA!C:C,0),_xlfn.XLOOKUP("DMI"&amp;$A24,[2]PROGRAMA!$A:$A&amp;[2]PROGRAMA!$B:$B,[2]PROGRAMA!C:C,0))</f>
        <v>39</v>
      </c>
      <c r="C24" s="103" cm="1">
        <f t="array" ref="C24">IF(RIGHT($A24,2)="10",_xlfn.XLOOKUP("DMI"&amp;$A24,[1]PROGRAMA!$A:$A&amp;[1]PROGRAMA!$B:$B,[1]PROGRAMA!D:D,0),_xlfn.XLOOKUP("DMI"&amp;$A24,[2]PROGRAMA!$A:$A&amp;[2]PROGRAMA!$B:$B,[2]PROGRAMA!D:D,0))</f>
        <v>12</v>
      </c>
      <c r="D24" s="68">
        <f>IFERROR(C24/$B24,0)</f>
        <v>0.30769230769230771</v>
      </c>
      <c r="E24" s="103" cm="1">
        <f t="array" ref="E24">IF(RIGHT($A24,2)="10",_xlfn.XLOOKUP("DMI"&amp;$A24,[1]PROGRAMA!$A:$A&amp;[1]PROGRAMA!$B:$B,[1]PROGRAMA!E:E,0),_xlfn.XLOOKUP("DMI"&amp;$A24,[2]PROGRAMA!$A:$A&amp;[2]PROGRAMA!$B:$B,[2]PROGRAMA!E:E,0))</f>
        <v>0</v>
      </c>
      <c r="F24" s="68">
        <f>IFERROR(E24/$B24,0)</f>
        <v>0</v>
      </c>
      <c r="G24" s="104">
        <f>B24-C24</f>
        <v>27</v>
      </c>
      <c r="H24" s="68">
        <f>IFERROR(G24/$B24,0)</f>
        <v>0.69230769230769229</v>
      </c>
      <c r="I24" s="128"/>
      <c r="J24" s="128"/>
      <c r="K24" s="7"/>
      <c r="L24" s="7"/>
      <c r="M24" s="98">
        <v>202220</v>
      </c>
      <c r="N24" s="103" cm="1">
        <f t="array" ref="N24">IF(RIGHT($A24,2)="10",_xlfn.XLOOKUP("DMI"&amp;$A24,'[1]PROGRAMA 123'!$A:$A&amp;'[1]PROGRAMA 123'!$B:$B,'[1]PROGRAMA 123'!C:C,0),_xlfn.XLOOKUP("DMI"&amp;$A24,'[2]PROGRAMA 123'!$A:$A&amp;'[2]PROGRAMA 123'!$B:$B,'[2]PROGRAMA 123'!C:C,0))</f>
        <v>21</v>
      </c>
      <c r="O24" s="103" cm="1">
        <f t="array" ref="O24">IF(RIGHT($A24,2)="10",_xlfn.XLOOKUP("DMI"&amp;$A24,'[1]PROGRAMA 123'!$A:$A&amp;'[1]PROGRAMA 123'!$B:$B,'[1]PROGRAMA 123'!D:D,0),_xlfn.XLOOKUP("DMI"&amp;$A24,'[2]PROGRAMA 123'!$A:$A&amp;'[2]PROGRAMA 123'!$B:$B,'[2]PROGRAMA 123'!D:D,0))</f>
        <v>6</v>
      </c>
      <c r="P24" s="68">
        <f>IFERROR(O24/$N24,0)</f>
        <v>0.2857142857142857</v>
      </c>
      <c r="Q24" s="103" cm="1">
        <f t="array" ref="Q24">IF(RIGHT($A24,2)="10",_xlfn.XLOOKUP("DMI"&amp;$A24,'[1]PROGRAMA 123'!$A:$A&amp;'[1]PROGRAMA 123'!$B:$B,'[1]PROGRAMA 123'!E:E,0),_xlfn.XLOOKUP("DMI"&amp;$A24,'[2]PROGRAMA 123'!$A:$A&amp;'[2]PROGRAMA 123'!$B:$B,'[2]PROGRAMA 123'!E:E,0))</f>
        <v>0</v>
      </c>
      <c r="R24" s="68">
        <f>IFERROR(Q24/$N24,0)</f>
        <v>0</v>
      </c>
      <c r="S24" s="104">
        <f>N24-O24</f>
        <v>15</v>
      </c>
      <c r="T24" s="68">
        <f>IFERROR(S24/$N24,0)</f>
        <v>0.7142857142857143</v>
      </c>
    </row>
    <row r="25" spans="1:23" s="18" customFormat="1" ht="13.5" customHeight="1">
      <c r="A25" s="98" t="s">
        <v>239</v>
      </c>
      <c r="B25" s="103">
        <v>25</v>
      </c>
      <c r="C25" s="103">
        <v>2</v>
      </c>
      <c r="D25" s="68">
        <v>0.08</v>
      </c>
      <c r="E25" s="103">
        <v>0</v>
      </c>
      <c r="F25" s="68">
        <v>0</v>
      </c>
      <c r="G25" s="104">
        <v>23</v>
      </c>
      <c r="H25" s="68">
        <v>0.92</v>
      </c>
      <c r="I25" s="128"/>
      <c r="J25" s="128"/>
      <c r="K25" s="7"/>
      <c r="L25" s="7"/>
      <c r="M25" s="98" t="s">
        <v>239</v>
      </c>
      <c r="N25" s="103">
        <v>13</v>
      </c>
      <c r="O25" s="103">
        <v>1</v>
      </c>
      <c r="P25" s="68">
        <v>7.6923076923076927E-2</v>
      </c>
      <c r="Q25" s="103">
        <v>0</v>
      </c>
      <c r="R25" s="68">
        <v>0</v>
      </c>
      <c r="S25" s="104">
        <v>12</v>
      </c>
      <c r="T25" s="68">
        <v>0.92307692307692313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5.8823529411764705E-2</v>
      </c>
      <c r="B29" s="37">
        <f>+((B6*D6)+(B7*D7))/(B6+B7)</f>
        <v>0.22920833333333335</v>
      </c>
      <c r="C29" s="32">
        <f>((B8*D8)+(B9*D9))/(B8+B9)</f>
        <v>0.22828070175438597</v>
      </c>
      <c r="D29" s="32">
        <f>+((B10*D10)+(B11*D11))/(B10+B11)</f>
        <v>0.33846153846153848</v>
      </c>
      <c r="E29" s="32">
        <f>((B12*D12)+(B13*D13))/(B12+B13)</f>
        <v>0.31746031746031744</v>
      </c>
      <c r="F29" s="32">
        <f>((B14*D14)+(B15*D15))/(B14+B15)</f>
        <v>0.20967741935483872</v>
      </c>
      <c r="G29" s="32">
        <f>((B16*D16)+(B17*D17))/(B16+B17)</f>
        <v>0.21153846153846154</v>
      </c>
      <c r="H29" s="32">
        <f>((B18*D18)+(B19*D19))/(B18+B19)</f>
        <v>0.2461538461538462</v>
      </c>
      <c r="I29" s="32">
        <f>((B20*D20)+(B21*D21))/(B20+B21)</f>
        <v>0.15</v>
      </c>
      <c r="J29" s="32">
        <f>(C22+C23)/(B22+B23)</f>
        <v>0.15</v>
      </c>
      <c r="K29" s="32">
        <f>D24</f>
        <v>0.30769230769230771</v>
      </c>
      <c r="L29" s="6"/>
      <c r="M29" s="37">
        <f>P5</f>
        <v>9.0909090909090912E-2</v>
      </c>
      <c r="N29" s="37">
        <f>+((N6*P6)+(N7*P7))/(N6+N7)</f>
        <v>0.18529629629629629</v>
      </c>
      <c r="O29" s="32">
        <f>((N8*P8)+(N9*P9))/(N8+N9)</f>
        <v>0.20920930232558141</v>
      </c>
      <c r="P29" s="32">
        <f>+((N10*P10)+(N11*P11))/(N10+N11)</f>
        <v>0.30434782608695654</v>
      </c>
      <c r="Q29" s="32">
        <f>((N12*P12)+(N13*P13))/(N12+N13)</f>
        <v>0.29411764705882354</v>
      </c>
      <c r="R29" s="32">
        <f>((N14*P14)+(N15*P15))/(N14+N15)</f>
        <v>0.20588235294117646</v>
      </c>
      <c r="S29" s="32">
        <f>((N16*P16)+(N17*P17))/(N16+N17)</f>
        <v>0.2</v>
      </c>
      <c r="T29" s="32">
        <f>((N18*P18)+(N19*P19))/(N18+N19)</f>
        <v>0.17142857142857149</v>
      </c>
      <c r="U29" s="32">
        <f>((N20*P20)+(N21*P21))/(N20+N21)</f>
        <v>0.1111111111111111</v>
      </c>
      <c r="V29" s="32">
        <f>(O22+O23)/(N22+N23)</f>
        <v>8.3333333333333329E-2</v>
      </c>
      <c r="W29" s="32">
        <f>P24</f>
        <v>0.2857142857142857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K31"/>
    <mergeCell ref="M30:V30"/>
    <mergeCell ref="M31:W31"/>
    <mergeCell ref="A1:H1"/>
    <mergeCell ref="M1:T1"/>
    <mergeCell ref="A3:H3"/>
    <mergeCell ref="A2:H2"/>
    <mergeCell ref="M3:T3"/>
    <mergeCell ref="M2:T2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M23:T24 E23:K24" formula="1"/>
    <ignoredError sqref="M25:T25 A2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159</v>
      </c>
      <c r="B3" s="225"/>
      <c r="C3" s="225"/>
      <c r="D3" s="225"/>
      <c r="E3" s="225"/>
      <c r="F3" s="225"/>
      <c r="G3" s="225"/>
      <c r="H3" s="226"/>
      <c r="I3" s="188"/>
      <c r="J3" s="188"/>
      <c r="M3" s="224" t="s">
        <v>160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17</v>
      </c>
      <c r="C5" s="57">
        <v>3</v>
      </c>
      <c r="D5" s="58">
        <v>0.17647058823529413</v>
      </c>
      <c r="E5" s="57">
        <v>0</v>
      </c>
      <c r="F5" s="58">
        <v>0</v>
      </c>
      <c r="G5" s="57">
        <v>14</v>
      </c>
      <c r="H5" s="58">
        <v>0.82352941176470584</v>
      </c>
      <c r="I5" s="125"/>
      <c r="J5" s="125"/>
      <c r="M5" s="55">
        <v>201310</v>
      </c>
      <c r="N5" s="57">
        <v>8</v>
      </c>
      <c r="O5" s="57">
        <v>1</v>
      </c>
      <c r="P5" s="58">
        <v>0.125</v>
      </c>
      <c r="Q5" s="57">
        <v>0</v>
      </c>
      <c r="R5" s="58">
        <v>0</v>
      </c>
      <c r="S5" s="57">
        <v>7</v>
      </c>
      <c r="T5" s="58">
        <v>0.875</v>
      </c>
    </row>
    <row r="6" spans="1:20" ht="13.5" customHeight="1">
      <c r="A6" s="59">
        <v>201320</v>
      </c>
      <c r="B6" s="57">
        <v>33</v>
      </c>
      <c r="C6" s="57">
        <v>10</v>
      </c>
      <c r="D6" s="76">
        <v>0.30303030303030304</v>
      </c>
      <c r="E6" s="57">
        <v>0</v>
      </c>
      <c r="F6" s="76">
        <v>0</v>
      </c>
      <c r="G6" s="59">
        <v>23</v>
      </c>
      <c r="H6" s="76">
        <v>0.69696969696969702</v>
      </c>
      <c r="I6" s="127"/>
      <c r="J6" s="127"/>
      <c r="M6" s="55">
        <v>201320</v>
      </c>
      <c r="N6" s="53">
        <v>13</v>
      </c>
      <c r="O6" s="53">
        <v>2</v>
      </c>
      <c r="P6" s="54">
        <v>0.15384615384615385</v>
      </c>
      <c r="Q6" s="53">
        <v>0</v>
      </c>
      <c r="R6" s="54">
        <v>0</v>
      </c>
      <c r="S6" s="55">
        <v>11</v>
      </c>
      <c r="T6" s="54">
        <v>0.84615384615384615</v>
      </c>
    </row>
    <row r="7" spans="1:20" ht="13.5" customHeight="1">
      <c r="A7" s="59">
        <v>201410</v>
      </c>
      <c r="B7" s="57">
        <v>18</v>
      </c>
      <c r="C7" s="57">
        <v>9</v>
      </c>
      <c r="D7" s="58">
        <v>0.5</v>
      </c>
      <c r="E7" s="57">
        <v>0</v>
      </c>
      <c r="F7" s="58">
        <v>0</v>
      </c>
      <c r="G7" s="57">
        <v>9</v>
      </c>
      <c r="H7" s="58">
        <v>0.5</v>
      </c>
      <c r="I7" s="125"/>
      <c r="J7" s="125"/>
      <c r="M7" s="55">
        <v>201410</v>
      </c>
      <c r="N7" s="53">
        <v>8</v>
      </c>
      <c r="O7" s="53">
        <v>4</v>
      </c>
      <c r="P7" s="54">
        <v>0.5</v>
      </c>
      <c r="Q7" s="53">
        <v>0</v>
      </c>
      <c r="R7" s="54">
        <v>0</v>
      </c>
      <c r="S7" s="55">
        <v>4</v>
      </c>
      <c r="T7" s="54">
        <v>0.5</v>
      </c>
    </row>
    <row r="8" spans="1:20" ht="13.5" customHeight="1">
      <c r="A8" s="59">
        <v>201420</v>
      </c>
      <c r="B8" s="53">
        <v>36</v>
      </c>
      <c r="C8" s="53">
        <v>6</v>
      </c>
      <c r="D8" s="54">
        <v>0.16700000000000001</v>
      </c>
      <c r="E8" s="53">
        <v>0</v>
      </c>
      <c r="F8" s="54">
        <v>0</v>
      </c>
      <c r="G8" s="55">
        <v>30</v>
      </c>
      <c r="H8" s="54">
        <v>0.83299999999999996</v>
      </c>
      <c r="I8" s="23"/>
      <c r="J8" s="23"/>
      <c r="M8" s="55">
        <v>201420</v>
      </c>
      <c r="N8" s="53">
        <v>13</v>
      </c>
      <c r="O8" s="53">
        <v>3</v>
      </c>
      <c r="P8" s="54">
        <v>0.23100000000000001</v>
      </c>
      <c r="Q8" s="53">
        <v>0</v>
      </c>
      <c r="R8" s="54">
        <v>0</v>
      </c>
      <c r="S8" s="55">
        <v>10</v>
      </c>
      <c r="T8" s="54">
        <v>0.76900000000000002</v>
      </c>
    </row>
    <row r="9" spans="1:20" ht="13.5" customHeight="1">
      <c r="A9" s="59">
        <v>201510</v>
      </c>
      <c r="B9" s="53">
        <v>16</v>
      </c>
      <c r="C9" s="53">
        <v>4</v>
      </c>
      <c r="D9" s="54">
        <v>0.25</v>
      </c>
      <c r="E9" s="53">
        <v>0</v>
      </c>
      <c r="F9" s="54">
        <v>0</v>
      </c>
      <c r="G9" s="55">
        <v>12</v>
      </c>
      <c r="H9" s="54">
        <v>0.75</v>
      </c>
      <c r="I9" s="23"/>
      <c r="J9" s="23"/>
      <c r="M9" s="55">
        <v>201510</v>
      </c>
      <c r="N9" s="53">
        <v>11</v>
      </c>
      <c r="O9" s="53">
        <v>3</v>
      </c>
      <c r="P9" s="54">
        <v>0.27300000000000002</v>
      </c>
      <c r="Q9" s="53">
        <v>0</v>
      </c>
      <c r="R9" s="54">
        <v>0</v>
      </c>
      <c r="S9" s="55">
        <v>8</v>
      </c>
      <c r="T9" s="54">
        <v>0.72699999999999998</v>
      </c>
    </row>
    <row r="10" spans="1:20" ht="13.5" customHeight="1">
      <c r="A10" s="59">
        <v>201520</v>
      </c>
      <c r="B10" s="53">
        <v>35</v>
      </c>
      <c r="C10" s="53">
        <v>11</v>
      </c>
      <c r="D10" s="54">
        <v>0.31428571428571428</v>
      </c>
      <c r="E10" s="53">
        <v>0</v>
      </c>
      <c r="F10" s="54">
        <v>0</v>
      </c>
      <c r="G10" s="55">
        <v>24</v>
      </c>
      <c r="H10" s="54">
        <v>0.68571428571428572</v>
      </c>
      <c r="I10" s="23"/>
      <c r="J10" s="23"/>
      <c r="M10" s="55">
        <v>201520</v>
      </c>
      <c r="N10" s="53">
        <v>12</v>
      </c>
      <c r="O10" s="53">
        <v>3</v>
      </c>
      <c r="P10" s="54">
        <v>0.25</v>
      </c>
      <c r="Q10" s="53">
        <v>0</v>
      </c>
      <c r="R10" s="54">
        <v>0</v>
      </c>
      <c r="S10" s="55">
        <v>9</v>
      </c>
      <c r="T10" s="54">
        <v>0.75</v>
      </c>
    </row>
    <row r="11" spans="1:20" ht="13.5" customHeight="1">
      <c r="A11" s="59">
        <v>201610</v>
      </c>
      <c r="B11" s="53">
        <v>15</v>
      </c>
      <c r="C11" s="53">
        <v>7</v>
      </c>
      <c r="D11" s="54">
        <v>0.46666666666666667</v>
      </c>
      <c r="E11" s="53">
        <v>0</v>
      </c>
      <c r="F11" s="54">
        <v>0</v>
      </c>
      <c r="G11" s="55">
        <v>8</v>
      </c>
      <c r="H11" s="54">
        <v>0.53333333333333333</v>
      </c>
      <c r="I11" s="23"/>
      <c r="J11" s="23"/>
      <c r="M11" s="55">
        <v>201610</v>
      </c>
      <c r="N11" s="53">
        <v>9</v>
      </c>
      <c r="O11" s="53">
        <v>3</v>
      </c>
      <c r="P11" s="54">
        <v>0.33333333333333331</v>
      </c>
      <c r="Q11" s="53">
        <v>0</v>
      </c>
      <c r="R11" s="54">
        <v>0</v>
      </c>
      <c r="S11" s="55">
        <v>6</v>
      </c>
      <c r="T11" s="54">
        <v>0.66666666666666663</v>
      </c>
    </row>
    <row r="12" spans="1:20" ht="13.5" customHeight="1">
      <c r="A12" s="59">
        <v>201620</v>
      </c>
      <c r="B12" s="57">
        <v>34</v>
      </c>
      <c r="C12" s="57">
        <v>7</v>
      </c>
      <c r="D12" s="58">
        <v>0.20588235294117646</v>
      </c>
      <c r="E12" s="57">
        <v>0</v>
      </c>
      <c r="F12" s="58">
        <v>0</v>
      </c>
      <c r="G12" s="57">
        <v>27</v>
      </c>
      <c r="H12" s="58">
        <v>0.79411764705882348</v>
      </c>
      <c r="I12" s="125"/>
      <c r="J12" s="125"/>
      <c r="M12" s="55">
        <v>201620</v>
      </c>
      <c r="N12" s="57">
        <v>6</v>
      </c>
      <c r="O12" s="57">
        <v>2</v>
      </c>
      <c r="P12" s="58">
        <v>0.33333333333333331</v>
      </c>
      <c r="Q12" s="57">
        <v>0</v>
      </c>
      <c r="R12" s="58">
        <v>0</v>
      </c>
      <c r="S12" s="57">
        <v>4</v>
      </c>
      <c r="T12" s="58">
        <v>0.66666666666666663</v>
      </c>
    </row>
    <row r="13" spans="1:20" ht="13.5" customHeight="1">
      <c r="A13" s="59">
        <v>201710</v>
      </c>
      <c r="B13" s="53">
        <v>18</v>
      </c>
      <c r="C13" s="53">
        <v>4</v>
      </c>
      <c r="D13" s="54">
        <v>0.22222222222222221</v>
      </c>
      <c r="E13" s="53">
        <v>0</v>
      </c>
      <c r="F13" s="54">
        <v>0</v>
      </c>
      <c r="G13" s="55">
        <v>14</v>
      </c>
      <c r="H13" s="54">
        <v>0.77777777777777779</v>
      </c>
      <c r="I13" s="23"/>
      <c r="J13" s="23"/>
      <c r="M13" s="55">
        <v>201710</v>
      </c>
      <c r="N13" s="53">
        <v>10</v>
      </c>
      <c r="O13" s="53">
        <v>2</v>
      </c>
      <c r="P13" s="54">
        <v>0.2</v>
      </c>
      <c r="Q13" s="53">
        <v>0</v>
      </c>
      <c r="R13" s="54">
        <v>0</v>
      </c>
      <c r="S13" s="55">
        <v>8</v>
      </c>
      <c r="T13" s="54">
        <v>0.8</v>
      </c>
    </row>
    <row r="14" spans="1:20" ht="13.5" customHeight="1">
      <c r="A14" s="59">
        <v>201720</v>
      </c>
      <c r="B14" s="53">
        <v>24</v>
      </c>
      <c r="C14" s="53">
        <v>3</v>
      </c>
      <c r="D14" s="54">
        <v>0.125</v>
      </c>
      <c r="E14" s="53">
        <v>0</v>
      </c>
      <c r="F14" s="54">
        <v>0</v>
      </c>
      <c r="G14" s="55">
        <v>21</v>
      </c>
      <c r="H14" s="54">
        <v>0.875</v>
      </c>
      <c r="I14" s="23"/>
      <c r="J14" s="23"/>
      <c r="M14" s="55">
        <v>201720</v>
      </c>
      <c r="N14" s="53">
        <v>8</v>
      </c>
      <c r="O14" s="53">
        <v>0</v>
      </c>
      <c r="P14" s="54">
        <v>0</v>
      </c>
      <c r="Q14" s="53">
        <v>0</v>
      </c>
      <c r="R14" s="54">
        <v>0</v>
      </c>
      <c r="S14" s="55">
        <v>8</v>
      </c>
      <c r="T14" s="54">
        <v>1</v>
      </c>
    </row>
    <row r="15" spans="1:20" ht="13.5" customHeight="1">
      <c r="A15" s="59">
        <v>201810</v>
      </c>
      <c r="B15" s="53">
        <v>15</v>
      </c>
      <c r="C15" s="53">
        <v>4</v>
      </c>
      <c r="D15" s="54">
        <v>0.26666666666666666</v>
      </c>
      <c r="E15" s="53">
        <v>0</v>
      </c>
      <c r="F15" s="54">
        <v>0</v>
      </c>
      <c r="G15" s="55">
        <v>11</v>
      </c>
      <c r="H15" s="54">
        <v>0.73333333333333328</v>
      </c>
      <c r="I15" s="23"/>
      <c r="J15" s="23"/>
      <c r="M15" s="55">
        <v>201810</v>
      </c>
      <c r="N15" s="53">
        <v>9</v>
      </c>
      <c r="O15" s="53">
        <v>1</v>
      </c>
      <c r="P15" s="54">
        <v>0.1111111111111111</v>
      </c>
      <c r="Q15" s="53">
        <v>0</v>
      </c>
      <c r="R15" s="54">
        <v>0</v>
      </c>
      <c r="S15" s="55">
        <v>8</v>
      </c>
      <c r="T15" s="54">
        <v>0.88888888888888884</v>
      </c>
    </row>
    <row r="16" spans="1:20" ht="13.5" customHeight="1">
      <c r="A16" s="59">
        <v>201820</v>
      </c>
      <c r="B16" s="53">
        <v>18</v>
      </c>
      <c r="C16" s="53">
        <v>3</v>
      </c>
      <c r="D16" s="54">
        <v>0.16666666666666666</v>
      </c>
      <c r="E16" s="53">
        <v>0</v>
      </c>
      <c r="F16" s="54">
        <v>0</v>
      </c>
      <c r="G16" s="55">
        <v>15</v>
      </c>
      <c r="H16" s="54">
        <v>0.83333333333333337</v>
      </c>
      <c r="I16" s="23"/>
      <c r="J16" s="23"/>
      <c r="M16" s="55">
        <v>201820</v>
      </c>
      <c r="N16" s="53">
        <v>4</v>
      </c>
      <c r="O16" s="53">
        <v>0</v>
      </c>
      <c r="P16" s="54">
        <v>0</v>
      </c>
      <c r="Q16" s="53">
        <v>0</v>
      </c>
      <c r="R16" s="54">
        <v>0</v>
      </c>
      <c r="S16" s="55">
        <v>4</v>
      </c>
      <c r="T16" s="54">
        <v>1</v>
      </c>
    </row>
    <row r="17" spans="1:23" ht="13.5" customHeight="1">
      <c r="A17" s="59">
        <v>201910</v>
      </c>
      <c r="B17" s="53">
        <v>15</v>
      </c>
      <c r="C17" s="53">
        <v>2</v>
      </c>
      <c r="D17" s="54">
        <v>0.1333333333333333</v>
      </c>
      <c r="E17" s="53">
        <v>0</v>
      </c>
      <c r="F17" s="54">
        <v>0</v>
      </c>
      <c r="G17" s="55">
        <v>13</v>
      </c>
      <c r="H17" s="54">
        <v>0.86666666666666681</v>
      </c>
      <c r="I17" s="23"/>
      <c r="J17" s="23"/>
      <c r="M17" s="59">
        <v>201910</v>
      </c>
      <c r="N17" s="53">
        <v>6</v>
      </c>
      <c r="O17" s="53">
        <v>1</v>
      </c>
      <c r="P17" s="54">
        <v>0.16666666666666671</v>
      </c>
      <c r="Q17" s="53">
        <v>0</v>
      </c>
      <c r="R17" s="54">
        <v>0</v>
      </c>
      <c r="S17" s="55">
        <v>5</v>
      </c>
      <c r="T17" s="54">
        <v>0.83333333333333337</v>
      </c>
    </row>
    <row r="18" spans="1:23" ht="13.5" customHeight="1">
      <c r="A18" s="59">
        <v>201920</v>
      </c>
      <c r="B18" s="53">
        <v>18</v>
      </c>
      <c r="C18" s="53">
        <v>3</v>
      </c>
      <c r="D18" s="54">
        <v>0.16666666666666671</v>
      </c>
      <c r="E18" s="53">
        <v>0</v>
      </c>
      <c r="F18" s="54">
        <v>0</v>
      </c>
      <c r="G18" s="55">
        <v>15</v>
      </c>
      <c r="H18" s="54">
        <v>0.83333333333333337</v>
      </c>
      <c r="I18" s="23"/>
      <c r="J18" s="23"/>
      <c r="M18" s="59">
        <v>201920</v>
      </c>
      <c r="N18" s="53">
        <v>4</v>
      </c>
      <c r="O18" s="53">
        <v>0</v>
      </c>
      <c r="P18" s="54">
        <v>0</v>
      </c>
      <c r="Q18" s="53">
        <v>0</v>
      </c>
      <c r="R18" s="54">
        <v>0</v>
      </c>
      <c r="S18" s="55">
        <v>4</v>
      </c>
      <c r="T18" s="54">
        <v>1</v>
      </c>
    </row>
    <row r="19" spans="1:23" ht="13.5" customHeight="1">
      <c r="A19" s="59">
        <v>202010</v>
      </c>
      <c r="B19" s="53">
        <v>13</v>
      </c>
      <c r="C19" s="53">
        <v>4</v>
      </c>
      <c r="D19" s="54">
        <v>0.30769230769230771</v>
      </c>
      <c r="E19" s="53">
        <v>0</v>
      </c>
      <c r="F19" s="54">
        <v>0</v>
      </c>
      <c r="G19" s="55">
        <v>9</v>
      </c>
      <c r="H19" s="54">
        <v>0.69230769230769229</v>
      </c>
      <c r="I19" s="23"/>
      <c r="J19" s="23"/>
      <c r="M19" s="59">
        <v>202010</v>
      </c>
      <c r="N19" s="53">
        <v>8</v>
      </c>
      <c r="O19" s="53">
        <v>1</v>
      </c>
      <c r="P19" s="54">
        <v>0.125</v>
      </c>
      <c r="Q19" s="53">
        <v>0</v>
      </c>
      <c r="R19" s="54">
        <v>0</v>
      </c>
      <c r="S19" s="55">
        <v>7</v>
      </c>
      <c r="T19" s="54">
        <v>0.875</v>
      </c>
    </row>
    <row r="20" spans="1:23" ht="13.5" customHeight="1">
      <c r="A20" s="59">
        <v>202020</v>
      </c>
      <c r="B20" s="53">
        <v>23</v>
      </c>
      <c r="C20" s="53">
        <v>6</v>
      </c>
      <c r="D20" s="54">
        <v>0.2608695652173913</v>
      </c>
      <c r="E20" s="71">
        <v>0</v>
      </c>
      <c r="F20" s="54">
        <v>0</v>
      </c>
      <c r="G20" s="55">
        <v>17</v>
      </c>
      <c r="H20" s="54">
        <v>0.73913043478260865</v>
      </c>
      <c r="I20" s="23"/>
      <c r="J20" s="23"/>
      <c r="M20" s="59">
        <v>202020</v>
      </c>
      <c r="N20" s="53">
        <v>1</v>
      </c>
      <c r="O20" s="53">
        <v>1</v>
      </c>
      <c r="P20" s="54">
        <v>1</v>
      </c>
      <c r="Q20" s="53">
        <v>0</v>
      </c>
      <c r="R20" s="54">
        <v>0</v>
      </c>
      <c r="S20" s="55">
        <v>0</v>
      </c>
      <c r="T20" s="54">
        <v>0</v>
      </c>
    </row>
    <row r="21" spans="1:23" ht="13.5" customHeight="1">
      <c r="A21" s="59">
        <v>202110</v>
      </c>
      <c r="B21" s="53">
        <v>15</v>
      </c>
      <c r="C21" s="53">
        <v>2</v>
      </c>
      <c r="D21" s="54">
        <v>0.1333333333333333</v>
      </c>
      <c r="E21" s="71">
        <v>0</v>
      </c>
      <c r="F21" s="54">
        <v>0</v>
      </c>
      <c r="G21" s="55">
        <v>13</v>
      </c>
      <c r="H21" s="54">
        <v>0.86666666666666681</v>
      </c>
      <c r="I21" s="23"/>
      <c r="J21" s="23"/>
      <c r="M21" s="59">
        <v>202110</v>
      </c>
      <c r="N21" s="53">
        <v>4</v>
      </c>
      <c r="O21" s="53">
        <v>0</v>
      </c>
      <c r="P21" s="54">
        <v>0</v>
      </c>
      <c r="Q21" s="53">
        <v>0</v>
      </c>
      <c r="R21" s="54">
        <v>0</v>
      </c>
      <c r="S21" s="55">
        <v>4</v>
      </c>
      <c r="T21" s="54">
        <v>1</v>
      </c>
    </row>
    <row r="22" spans="1:23" ht="13.5" customHeight="1">
      <c r="A22" s="59">
        <v>202120</v>
      </c>
      <c r="B22" s="53">
        <v>12</v>
      </c>
      <c r="C22" s="53">
        <v>4</v>
      </c>
      <c r="D22" s="54">
        <v>0.33333333333333331</v>
      </c>
      <c r="E22" s="71">
        <v>0</v>
      </c>
      <c r="F22" s="54">
        <v>0</v>
      </c>
      <c r="G22" s="55">
        <v>8</v>
      </c>
      <c r="H22" s="54">
        <v>0.66666666666666663</v>
      </c>
      <c r="I22" s="23"/>
      <c r="J22" s="23"/>
      <c r="M22" s="59">
        <v>202120</v>
      </c>
      <c r="N22" s="53">
        <v>2</v>
      </c>
      <c r="O22" s="53">
        <v>0</v>
      </c>
      <c r="P22" s="54">
        <v>0</v>
      </c>
      <c r="Q22" s="53">
        <v>0</v>
      </c>
      <c r="R22" s="54">
        <v>0</v>
      </c>
      <c r="S22" s="55">
        <v>2</v>
      </c>
      <c r="T22" s="54">
        <v>1</v>
      </c>
    </row>
    <row r="23" spans="1:23" ht="13.5" customHeight="1">
      <c r="A23" s="98">
        <v>202210</v>
      </c>
      <c r="B23" s="103" cm="1">
        <f t="array" ref="B23">IF(RIGHT($A23,2)="10",_xlfn.XLOOKUP("DIS"&amp;$A23,[1]PROGRAMA!$A:$A&amp;[1]PROGRAMA!$B:$B,[1]PROGRAMA!C:C,0),_xlfn.XLOOKUP("DIS"&amp;$A23,[2]PROGRAMA!$A:$A&amp;[2]PROGRAMA!$B:$B,[2]PROGRAMA!C:C,0))</f>
        <v>10</v>
      </c>
      <c r="C23" s="103" cm="1">
        <f t="array" ref="C23">IF(RIGHT($A23,2)="10",_xlfn.XLOOKUP("DIS"&amp;$A23,[1]PROGRAMA!$A:$A&amp;[1]PROGRAMA!$B:$B,[1]PROGRAMA!D:D,0),_xlfn.XLOOKUP("DIS"&amp;$A23,[2]PROGRAMA!$A:$A&amp;[2]PROGRAMA!$B:$B,[2]PROGRAMA!D:D,0))</f>
        <v>2</v>
      </c>
      <c r="D23" s="68">
        <f>IFERROR(C23/$B23,0)</f>
        <v>0.2</v>
      </c>
      <c r="E23" s="103" cm="1">
        <f t="array" ref="E23">IF(RIGHT($A23,2)="10",_xlfn.XLOOKUP("DIS"&amp;$A23,[1]PROGRAMA!$A:$A&amp;[1]PROGRAMA!$B:$B,[1]PROGRAMA!E:E,0),_xlfn.XLOOKUP("DIS"&amp;$A23,[2]PROGRAMA!$A:$A&amp;[2]PROGRAMA!$B:$B,[2]PROGRAMA!E:E,0))</f>
        <v>0</v>
      </c>
      <c r="F23" s="68">
        <f>IFERROR(E23/$B23,0)</f>
        <v>0</v>
      </c>
      <c r="G23" s="104">
        <f>B23-C23</f>
        <v>8</v>
      </c>
      <c r="H23" s="68">
        <f>IFERROR(G23/$B23,0)</f>
        <v>0.8</v>
      </c>
      <c r="I23" s="128"/>
      <c r="J23" s="128"/>
      <c r="M23" s="98">
        <v>202210</v>
      </c>
      <c r="N23" s="103" cm="1">
        <f t="array" ref="N23">IF(RIGHT($A23,2)="10",_xlfn.XLOOKUP("DIS"&amp;$A23,'[1]PROGRAMA 123'!$A:$A&amp;'[1]PROGRAMA 123'!$B:$B,'[1]PROGRAMA 123'!C:C,0),_xlfn.XLOOKUP("DIS"&amp;$A23,'[2]PROGRAMA 123'!$A:$A&amp;'[2]PROGRAMA 123'!$B:$B,'[2]PROGRAMA 123'!C:C,0))</f>
        <v>5</v>
      </c>
      <c r="O23" s="103" cm="1">
        <f t="array" ref="O23">IF(RIGHT($A23,2)="10",_xlfn.XLOOKUP("DIS"&amp;$A23,'[1]PROGRAMA 123'!$A:$A&amp;'[1]PROGRAMA 123'!$B:$B,'[1]PROGRAMA 123'!D:D,0),_xlfn.XLOOKUP("DIS"&amp;$A23,'[2]PROGRAMA 123'!$A:$A&amp;'[2]PROGRAMA 123'!$B:$B,'[2]PROGRAMA 123'!D:D,0))</f>
        <v>1</v>
      </c>
      <c r="P23" s="68">
        <f>IFERROR(O23/$N23,0)</f>
        <v>0.2</v>
      </c>
      <c r="Q23" s="103" cm="1">
        <f t="array" ref="Q23">IF(RIGHT($A23,2)="10",_xlfn.XLOOKUP("DIS"&amp;$A23,'[1]PROGRAMA 123'!$A:$A&amp;'[1]PROGRAMA 123'!$B:$B,'[1]PROGRAMA 123'!E:E,0),_xlfn.XLOOKUP("DIS"&amp;$A23,'[2]PROGRAMA 123'!$A:$A&amp;'[2]PROGRAMA 123'!$B:$B,'[2]PROGRAMA 123'!E:E,0))</f>
        <v>0</v>
      </c>
      <c r="R23" s="68">
        <f>IFERROR(Q23/$N23,0)</f>
        <v>0</v>
      </c>
      <c r="S23" s="104">
        <f>N23-O23</f>
        <v>4</v>
      </c>
      <c r="T23" s="68">
        <f>IFERROR(S23/$N23,0)</f>
        <v>0.8</v>
      </c>
    </row>
    <row r="24" spans="1:23" ht="13.5" customHeight="1">
      <c r="A24" s="98">
        <v>202220</v>
      </c>
      <c r="B24" s="103" cm="1">
        <f t="array" ref="B24">IF(RIGHT($A24,2)="10",_xlfn.XLOOKUP("DIS"&amp;$A24,[1]PROGRAMA!$A:$A&amp;[1]PROGRAMA!$B:$B,[1]PROGRAMA!C:C,0),_xlfn.XLOOKUP("DIS"&amp;$A24,[2]PROGRAMA!$A:$A&amp;[2]PROGRAMA!$B:$B,[2]PROGRAMA!C:C,0))</f>
        <v>13</v>
      </c>
      <c r="C24" s="103" cm="1">
        <f t="array" ref="C24">IF(RIGHT($A24,2)="10",_xlfn.XLOOKUP("DIS"&amp;$A24,[1]PROGRAMA!$A:$A&amp;[1]PROGRAMA!$B:$B,[1]PROGRAMA!D:D,0),_xlfn.XLOOKUP("DIS"&amp;$A24,[2]PROGRAMA!$A:$A&amp;[2]PROGRAMA!$B:$B,[2]PROGRAMA!D:D,0))</f>
        <v>3</v>
      </c>
      <c r="D24" s="68">
        <f>IFERROR(C24/$B24,0)</f>
        <v>0.23076923076923078</v>
      </c>
      <c r="E24" s="103" cm="1">
        <f t="array" ref="E24">IF(RIGHT($A24,2)="10",_xlfn.XLOOKUP("DIS"&amp;$A24,[1]PROGRAMA!$A:$A&amp;[1]PROGRAMA!$B:$B,[1]PROGRAMA!E:E,0),_xlfn.XLOOKUP("DIS"&amp;$A24,[2]PROGRAMA!$A:$A&amp;[2]PROGRAMA!$B:$B,[2]PROGRAMA!E:E,0))</f>
        <v>0</v>
      </c>
      <c r="F24" s="68">
        <f>IFERROR(E24/$B24,0)</f>
        <v>0</v>
      </c>
      <c r="G24" s="104">
        <f>B24-C24</f>
        <v>10</v>
      </c>
      <c r="H24" s="68">
        <f>IFERROR(G24/$B24,0)</f>
        <v>0.76923076923076927</v>
      </c>
      <c r="I24" s="128"/>
      <c r="J24" s="128"/>
      <c r="M24" s="98">
        <v>202220</v>
      </c>
      <c r="N24" s="103" cm="1">
        <f t="array" ref="N24">IF(RIGHT($A24,2)="10",_xlfn.XLOOKUP("DIS"&amp;$A24,'[1]PROGRAMA 123'!$A:$A&amp;'[1]PROGRAMA 123'!$B:$B,'[1]PROGRAMA 123'!C:C,0),_xlfn.XLOOKUP("DIS"&amp;$A24,'[2]PROGRAMA 123'!$A:$A&amp;'[2]PROGRAMA 123'!$B:$B,'[2]PROGRAMA 123'!C:C,0))</f>
        <v>3</v>
      </c>
      <c r="O24" s="103" cm="1">
        <f t="array" ref="O24">IF(RIGHT($A24,2)="10",_xlfn.XLOOKUP("DIS"&amp;$A24,'[1]PROGRAMA 123'!$A:$A&amp;'[1]PROGRAMA 123'!$B:$B,'[1]PROGRAMA 123'!D:D,0),_xlfn.XLOOKUP("DIS"&amp;$A24,'[2]PROGRAMA 123'!$A:$A&amp;'[2]PROGRAMA 123'!$B:$B,'[2]PROGRAMA 123'!D:D,0))</f>
        <v>1</v>
      </c>
      <c r="P24" s="68">
        <f>IFERROR(O24/$N24,0)</f>
        <v>0.33333333333333331</v>
      </c>
      <c r="Q24" s="103" cm="1">
        <f t="array" ref="Q24">IF(RIGHT($A24,2)="10",_xlfn.XLOOKUP("DIS"&amp;$A24,'[1]PROGRAMA 123'!$A:$A&amp;'[1]PROGRAMA 123'!$B:$B,'[1]PROGRAMA 123'!E:E,0),_xlfn.XLOOKUP("DIS"&amp;$A24,'[2]PROGRAMA 123'!$A:$A&amp;'[2]PROGRAMA 123'!$B:$B,'[2]PROGRAMA 123'!E:E,0))</f>
        <v>0</v>
      </c>
      <c r="R24" s="68">
        <f>IFERROR(Q24/$N24,0)</f>
        <v>0</v>
      </c>
      <c r="S24" s="104">
        <f>N24-O24</f>
        <v>2</v>
      </c>
      <c r="T24" s="68">
        <f>IFERROR(S24/$N24,0)</f>
        <v>0.66666666666666663</v>
      </c>
    </row>
    <row r="25" spans="1:23" ht="13.5" customHeight="1">
      <c r="A25" s="98" t="s">
        <v>239</v>
      </c>
      <c r="B25" s="103">
        <v>19</v>
      </c>
      <c r="C25" s="103">
        <v>8</v>
      </c>
      <c r="D25" s="68">
        <v>0.42105263157894729</v>
      </c>
      <c r="E25" s="103">
        <v>0</v>
      </c>
      <c r="F25" s="68">
        <v>0</v>
      </c>
      <c r="G25" s="104">
        <v>11</v>
      </c>
      <c r="H25" s="68">
        <v>0.57894736842105265</v>
      </c>
      <c r="I25" s="128"/>
      <c r="J25" s="128"/>
      <c r="M25" s="98" t="s">
        <v>239</v>
      </c>
      <c r="N25" s="103">
        <v>9</v>
      </c>
      <c r="O25" s="103">
        <v>4</v>
      </c>
      <c r="P25" s="68">
        <v>0.44444444444444442</v>
      </c>
      <c r="Q25" s="103">
        <v>0</v>
      </c>
      <c r="R25" s="68">
        <v>0</v>
      </c>
      <c r="S25" s="104">
        <v>5</v>
      </c>
      <c r="T25" s="68">
        <v>0.55555555555555558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122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117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122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0.17647058823529413</v>
      </c>
      <c r="B29" s="37">
        <f>+((B6*D6)+(B7*D7))/(B6+B7)</f>
        <v>0.37254901960784315</v>
      </c>
      <c r="C29" s="32">
        <f>((B8*D8)+(B9*D9))/(B8+B9)</f>
        <v>0.19253846153846155</v>
      </c>
      <c r="D29" s="32">
        <f>+((B10*D10)+(B11*D11))/(B10+B11)</f>
        <v>0.36</v>
      </c>
      <c r="E29" s="32">
        <f>((B12*D12)+(B13*D13))/(B12+B13)</f>
        <v>0.21153846153846154</v>
      </c>
      <c r="F29" s="32">
        <f>((B14*D14)+(B15*D15))/(B14+B15)</f>
        <v>0.17948717948717949</v>
      </c>
      <c r="G29" s="32">
        <f>((B16*D16)+(B17*D17))/(B16+B17)</f>
        <v>0.15151515151515152</v>
      </c>
      <c r="H29" s="32">
        <f>((B18*D18)+(B19*D19))/(B18+B19)</f>
        <v>0.22580645161290325</v>
      </c>
      <c r="I29" s="32">
        <f>((B20*D20)+(B21*D21))/(B20+B21)</f>
        <v>0.21052631578947367</v>
      </c>
      <c r="J29" s="32">
        <f>(C22+C23)/(B22+B23)</f>
        <v>0.27272727272727271</v>
      </c>
      <c r="K29" s="32">
        <f>D24</f>
        <v>0.23076923076923078</v>
      </c>
      <c r="L29" s="6"/>
      <c r="M29" s="37">
        <f>P5</f>
        <v>0.125</v>
      </c>
      <c r="N29" s="37">
        <f>+((N6*P6)+(N7*P7))/(N6+N7)</f>
        <v>0.2857142857142857</v>
      </c>
      <c r="O29" s="32">
        <f>((N8*P8)+(N9*P9))/(N8+N9)</f>
        <v>0.25025000000000003</v>
      </c>
      <c r="P29" s="32">
        <f>+((N10*P10)+(N11*P11))/(N10+N11)</f>
        <v>0.2857142857142857</v>
      </c>
      <c r="Q29" s="32">
        <f>((N12*P12)+(N13*P13))/(N12+N13)</f>
        <v>0.25</v>
      </c>
      <c r="R29" s="32">
        <f>((N14*P14)+(N15*P15))/(N14+N15)</f>
        <v>5.8823529411764705E-2</v>
      </c>
      <c r="S29" s="32">
        <f>((N16*P16)+(N17*P17))/(N16+N17)</f>
        <v>0.10000000000000002</v>
      </c>
      <c r="T29" s="32">
        <f>((N18*P18)+(N19*P19))/(N18+N19)</f>
        <v>8.3333333333333329E-2</v>
      </c>
      <c r="U29" s="32">
        <f>((N20*P20)+(N21*P21))/(N20+N21)</f>
        <v>0.2</v>
      </c>
      <c r="V29" s="32">
        <f>(O22+O23)/(N22+N23)</f>
        <v>0.14285714285714285</v>
      </c>
      <c r="W29" s="32">
        <f>P24</f>
        <v>0.33333333333333331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K31"/>
    <mergeCell ref="M30:V30"/>
    <mergeCell ref="M31:W31"/>
    <mergeCell ref="A1:H1"/>
    <mergeCell ref="M1:T1"/>
    <mergeCell ref="A3:H3"/>
    <mergeCell ref="A2:H2"/>
    <mergeCell ref="M3:T3"/>
    <mergeCell ref="M2:T2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M23:T24 E23:K24" formula="1"/>
    <ignoredError sqref="A25 M2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06"/>
      <c r="B2" s="206"/>
      <c r="C2" s="206"/>
      <c r="D2" s="206"/>
      <c r="E2" s="206"/>
      <c r="F2" s="206"/>
      <c r="M2" s="215"/>
      <c r="N2" s="215"/>
      <c r="O2" s="215"/>
      <c r="P2" s="215"/>
      <c r="Q2" s="215"/>
      <c r="R2" s="215"/>
      <c r="S2" s="215"/>
      <c r="T2" s="215"/>
    </row>
    <row r="3" spans="1:20" ht="14.4">
      <c r="A3" s="224" t="s">
        <v>161</v>
      </c>
      <c r="B3" s="225"/>
      <c r="C3" s="225"/>
      <c r="D3" s="225"/>
      <c r="E3" s="225"/>
      <c r="F3" s="225"/>
      <c r="G3" s="225"/>
      <c r="H3" s="226"/>
      <c r="I3"/>
      <c r="J3"/>
      <c r="M3" s="224" t="s">
        <v>162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3">
        <v>32</v>
      </c>
      <c r="C10" s="53">
        <v>8</v>
      </c>
      <c r="D10" s="54">
        <v>0.25</v>
      </c>
      <c r="E10" s="53">
        <v>0</v>
      </c>
      <c r="F10" s="54">
        <v>0</v>
      </c>
      <c r="G10" s="55">
        <v>24</v>
      </c>
      <c r="H10" s="54">
        <v>0.75</v>
      </c>
      <c r="I10" s="23"/>
      <c r="J10" s="23"/>
      <c r="M10" s="55">
        <v>201520</v>
      </c>
      <c r="N10" s="53">
        <v>19</v>
      </c>
      <c r="O10" s="53">
        <v>3</v>
      </c>
      <c r="P10" s="54">
        <v>0.15789473684210525</v>
      </c>
      <c r="Q10" s="53">
        <v>0</v>
      </c>
      <c r="R10" s="54">
        <v>0</v>
      </c>
      <c r="S10" s="55">
        <v>16</v>
      </c>
      <c r="T10" s="54">
        <v>0.84210526315789469</v>
      </c>
    </row>
    <row r="11" spans="1:20" ht="13.5" customHeight="1">
      <c r="A11" s="59">
        <v>201610</v>
      </c>
      <c r="B11" s="53">
        <v>65</v>
      </c>
      <c r="C11" s="53">
        <v>14</v>
      </c>
      <c r="D11" s="54">
        <v>0.2153846153846154</v>
      </c>
      <c r="E11" s="53">
        <v>0</v>
      </c>
      <c r="F11" s="54">
        <v>0</v>
      </c>
      <c r="G11" s="55">
        <v>51</v>
      </c>
      <c r="H11" s="54">
        <v>0.7846153846153846</v>
      </c>
      <c r="I11" s="23"/>
      <c r="J11" s="23"/>
      <c r="M11" s="55">
        <v>201610</v>
      </c>
      <c r="N11" s="53">
        <v>61</v>
      </c>
      <c r="O11" s="53">
        <v>11</v>
      </c>
      <c r="P11" s="54">
        <v>0.18032786885245902</v>
      </c>
      <c r="Q11" s="53">
        <v>0</v>
      </c>
      <c r="R11" s="54">
        <v>0</v>
      </c>
      <c r="S11" s="55">
        <v>50</v>
      </c>
      <c r="T11" s="54">
        <v>0.81967213114754101</v>
      </c>
    </row>
    <row r="12" spans="1:20" ht="13.5" customHeight="1">
      <c r="A12" s="59">
        <v>201620</v>
      </c>
      <c r="B12" s="57">
        <v>57</v>
      </c>
      <c r="C12" s="57">
        <v>16</v>
      </c>
      <c r="D12" s="58">
        <v>0.2807017543859649</v>
      </c>
      <c r="E12" s="57">
        <v>0</v>
      </c>
      <c r="F12" s="58">
        <v>0</v>
      </c>
      <c r="G12" s="57">
        <v>41</v>
      </c>
      <c r="H12" s="58">
        <v>0.7192982456140351</v>
      </c>
      <c r="I12" s="125"/>
      <c r="J12" s="125"/>
      <c r="M12" s="55">
        <v>201620</v>
      </c>
      <c r="N12" s="57">
        <v>27</v>
      </c>
      <c r="O12" s="57">
        <v>7</v>
      </c>
      <c r="P12" s="58">
        <v>0.25925925925925924</v>
      </c>
      <c r="Q12" s="57">
        <v>0</v>
      </c>
      <c r="R12" s="58">
        <v>0</v>
      </c>
      <c r="S12" s="57">
        <v>20</v>
      </c>
      <c r="T12" s="58">
        <v>0.7407407407407407</v>
      </c>
    </row>
    <row r="13" spans="1:20" ht="13.5" customHeight="1">
      <c r="A13" s="59">
        <v>201710</v>
      </c>
      <c r="B13" s="53">
        <v>66</v>
      </c>
      <c r="C13" s="53">
        <v>7</v>
      </c>
      <c r="D13" s="54">
        <v>0.10606060606060606</v>
      </c>
      <c r="E13" s="53">
        <v>0</v>
      </c>
      <c r="F13" s="54">
        <v>0</v>
      </c>
      <c r="G13" s="55">
        <v>59</v>
      </c>
      <c r="H13" s="54">
        <v>0.89393939393939392</v>
      </c>
      <c r="I13" s="23"/>
      <c r="J13" s="23"/>
      <c r="M13" s="55">
        <v>201710</v>
      </c>
      <c r="N13" s="53">
        <v>58</v>
      </c>
      <c r="O13" s="53">
        <v>6</v>
      </c>
      <c r="P13" s="54">
        <v>0.10344827586206896</v>
      </c>
      <c r="Q13" s="53">
        <v>0</v>
      </c>
      <c r="R13" s="54">
        <v>0</v>
      </c>
      <c r="S13" s="55">
        <v>52</v>
      </c>
      <c r="T13" s="54">
        <v>0.89655172413793105</v>
      </c>
    </row>
    <row r="14" spans="1:20" ht="13.5" customHeight="1">
      <c r="A14" s="59">
        <v>201720</v>
      </c>
      <c r="B14" s="53">
        <v>23</v>
      </c>
      <c r="C14" s="53">
        <v>5</v>
      </c>
      <c r="D14" s="54">
        <v>0.21739130434782608</v>
      </c>
      <c r="E14" s="53">
        <v>0</v>
      </c>
      <c r="F14" s="54">
        <v>0</v>
      </c>
      <c r="G14" s="55">
        <v>18</v>
      </c>
      <c r="H14" s="54">
        <v>0.78260869565217395</v>
      </c>
      <c r="I14" s="23"/>
      <c r="J14" s="23"/>
      <c r="M14" s="55">
        <v>201720</v>
      </c>
      <c r="N14" s="53">
        <v>5</v>
      </c>
      <c r="O14" s="53">
        <v>0</v>
      </c>
      <c r="P14" s="54">
        <v>0</v>
      </c>
      <c r="Q14" s="53">
        <v>0</v>
      </c>
      <c r="R14" s="54">
        <v>0</v>
      </c>
      <c r="S14" s="55">
        <v>5</v>
      </c>
      <c r="T14" s="54">
        <v>1</v>
      </c>
    </row>
    <row r="15" spans="1:20" ht="13.5" customHeight="1">
      <c r="A15" s="59">
        <v>201810</v>
      </c>
      <c r="B15" s="53">
        <v>49</v>
      </c>
      <c r="C15" s="53">
        <v>13</v>
      </c>
      <c r="D15" s="54">
        <v>0.26530612244897961</v>
      </c>
      <c r="E15" s="53">
        <v>0</v>
      </c>
      <c r="F15" s="54">
        <v>0</v>
      </c>
      <c r="G15" s="55">
        <v>36</v>
      </c>
      <c r="H15" s="54">
        <v>0.73469387755102045</v>
      </c>
      <c r="I15" s="23"/>
      <c r="J15" s="23"/>
      <c r="M15" s="55">
        <v>201810</v>
      </c>
      <c r="N15" s="53">
        <v>43</v>
      </c>
      <c r="O15" s="53">
        <v>10</v>
      </c>
      <c r="P15" s="54">
        <v>0.23255813953488372</v>
      </c>
      <c r="Q15" s="53">
        <v>0</v>
      </c>
      <c r="R15" s="54">
        <v>0</v>
      </c>
      <c r="S15" s="55">
        <v>33</v>
      </c>
      <c r="T15" s="54">
        <v>0.76744186046511631</v>
      </c>
    </row>
    <row r="16" spans="1:20" ht="13.5" customHeight="1">
      <c r="A16" s="59">
        <v>201820</v>
      </c>
      <c r="B16" s="53">
        <v>24</v>
      </c>
      <c r="C16" s="53">
        <v>8</v>
      </c>
      <c r="D16" s="54">
        <v>0.33333333333333331</v>
      </c>
      <c r="E16" s="53">
        <v>0</v>
      </c>
      <c r="F16" s="54">
        <v>0</v>
      </c>
      <c r="G16" s="55">
        <v>16</v>
      </c>
      <c r="H16" s="54">
        <v>0.66666666666666663</v>
      </c>
      <c r="I16" s="23"/>
      <c r="J16" s="23"/>
      <c r="M16" s="59">
        <v>201820</v>
      </c>
      <c r="N16" s="53">
        <v>11</v>
      </c>
      <c r="O16" s="53">
        <v>5</v>
      </c>
      <c r="P16" s="54">
        <v>0.45454545454545453</v>
      </c>
      <c r="Q16" s="53">
        <v>0</v>
      </c>
      <c r="R16" s="54">
        <v>0</v>
      </c>
      <c r="S16" s="55">
        <v>6</v>
      </c>
      <c r="T16" s="54">
        <v>0.54545454545454541</v>
      </c>
    </row>
    <row r="17" spans="1:23" ht="13.5" customHeight="1">
      <c r="A17" s="59">
        <v>201910</v>
      </c>
      <c r="B17" s="53">
        <v>26</v>
      </c>
      <c r="C17" s="53">
        <v>5</v>
      </c>
      <c r="D17" s="54">
        <v>0.19230769230769229</v>
      </c>
      <c r="E17" s="53">
        <v>0</v>
      </c>
      <c r="F17" s="54">
        <v>0</v>
      </c>
      <c r="G17" s="55">
        <v>21</v>
      </c>
      <c r="H17" s="54">
        <v>0.80769230769230771</v>
      </c>
      <c r="I17" s="23"/>
      <c r="J17" s="23"/>
      <c r="M17" s="59">
        <v>201910</v>
      </c>
      <c r="N17" s="53">
        <v>23</v>
      </c>
      <c r="O17" s="53">
        <v>4</v>
      </c>
      <c r="P17" s="54">
        <v>0.17391304347826089</v>
      </c>
      <c r="Q17" s="53">
        <v>0</v>
      </c>
      <c r="R17" s="54">
        <v>0</v>
      </c>
      <c r="S17" s="55">
        <v>19</v>
      </c>
      <c r="T17" s="54">
        <v>0.82608695652173914</v>
      </c>
    </row>
    <row r="18" spans="1:23" ht="13.5" customHeight="1">
      <c r="A18" s="59">
        <v>201920</v>
      </c>
      <c r="B18" s="53">
        <v>24</v>
      </c>
      <c r="C18" s="53">
        <v>5</v>
      </c>
      <c r="D18" s="54">
        <v>0.20833333333333329</v>
      </c>
      <c r="E18" s="53">
        <v>0</v>
      </c>
      <c r="F18" s="54">
        <v>0</v>
      </c>
      <c r="G18" s="55">
        <v>19</v>
      </c>
      <c r="H18" s="54">
        <v>0.79166666666666663</v>
      </c>
      <c r="I18" s="23"/>
      <c r="J18" s="23"/>
      <c r="M18" s="59">
        <v>201920</v>
      </c>
      <c r="N18" s="53">
        <v>13</v>
      </c>
      <c r="O18" s="53">
        <v>3</v>
      </c>
      <c r="P18" s="54">
        <v>0.23076923076923081</v>
      </c>
      <c r="Q18" s="53">
        <v>0</v>
      </c>
      <c r="R18" s="54">
        <v>0</v>
      </c>
      <c r="S18" s="55">
        <v>10</v>
      </c>
      <c r="T18" s="54">
        <v>0.76923076923076927</v>
      </c>
    </row>
    <row r="19" spans="1:23" ht="13.5" customHeight="1">
      <c r="A19" s="59">
        <v>202010</v>
      </c>
      <c r="B19" s="53">
        <v>25</v>
      </c>
      <c r="C19" s="53">
        <v>2</v>
      </c>
      <c r="D19" s="54">
        <v>0.08</v>
      </c>
      <c r="E19" s="53">
        <v>0</v>
      </c>
      <c r="F19" s="54">
        <v>0</v>
      </c>
      <c r="G19" s="55">
        <v>23</v>
      </c>
      <c r="H19" s="54">
        <v>0.92</v>
      </c>
      <c r="I19" s="23"/>
      <c r="J19" s="23"/>
      <c r="M19" s="59">
        <v>202010</v>
      </c>
      <c r="N19" s="53">
        <v>20</v>
      </c>
      <c r="O19" s="53">
        <v>1</v>
      </c>
      <c r="P19" s="54">
        <v>0.05</v>
      </c>
      <c r="Q19" s="53">
        <v>0</v>
      </c>
      <c r="R19" s="54">
        <v>0</v>
      </c>
      <c r="S19" s="55">
        <v>19</v>
      </c>
      <c r="T19" s="54">
        <v>0.95</v>
      </c>
    </row>
    <row r="20" spans="1:23" ht="13.5" customHeight="1">
      <c r="A20" s="59">
        <v>202020</v>
      </c>
      <c r="B20" s="53">
        <v>26</v>
      </c>
      <c r="C20" s="53">
        <v>4</v>
      </c>
      <c r="D20" s="54">
        <v>0.15384615384615385</v>
      </c>
      <c r="E20" s="53">
        <v>0</v>
      </c>
      <c r="F20" s="54">
        <v>0</v>
      </c>
      <c r="G20" s="55">
        <v>22</v>
      </c>
      <c r="H20" s="54">
        <v>0.84615384615384615</v>
      </c>
      <c r="I20" s="23"/>
      <c r="J20" s="23"/>
      <c r="M20" s="59">
        <v>202020</v>
      </c>
      <c r="N20" s="53">
        <v>10</v>
      </c>
      <c r="O20" s="53">
        <v>2</v>
      </c>
      <c r="P20" s="54">
        <v>0.2</v>
      </c>
      <c r="Q20" s="53">
        <v>0</v>
      </c>
      <c r="R20" s="54">
        <v>0</v>
      </c>
      <c r="S20" s="55">
        <v>8</v>
      </c>
      <c r="T20" s="54">
        <v>0.8</v>
      </c>
    </row>
    <row r="21" spans="1:23" ht="13.5" customHeight="1">
      <c r="A21" s="59">
        <v>202110</v>
      </c>
      <c r="B21" s="53">
        <v>17</v>
      </c>
      <c r="C21" s="53">
        <v>1</v>
      </c>
      <c r="D21" s="54">
        <v>5.8823529411764712E-2</v>
      </c>
      <c r="E21" s="53">
        <v>0</v>
      </c>
      <c r="F21" s="54">
        <v>0</v>
      </c>
      <c r="G21" s="55">
        <v>16</v>
      </c>
      <c r="H21" s="54">
        <v>0.94117647058823528</v>
      </c>
      <c r="I21" s="23"/>
      <c r="J21" s="23"/>
      <c r="M21" s="59">
        <v>202110</v>
      </c>
      <c r="N21" s="53">
        <v>11</v>
      </c>
      <c r="O21" s="53">
        <v>0</v>
      </c>
      <c r="P21" s="54">
        <v>0</v>
      </c>
      <c r="Q21" s="53">
        <v>0</v>
      </c>
      <c r="R21" s="54">
        <v>0</v>
      </c>
      <c r="S21" s="55">
        <v>11</v>
      </c>
      <c r="T21" s="54">
        <v>1</v>
      </c>
    </row>
    <row r="22" spans="1:23" ht="13.5" customHeight="1">
      <c r="A22" s="59">
        <v>202120</v>
      </c>
      <c r="B22" s="53">
        <v>17</v>
      </c>
      <c r="C22" s="53">
        <v>1</v>
      </c>
      <c r="D22" s="54">
        <v>5.8823529411764712E-2</v>
      </c>
      <c r="E22" s="53">
        <v>0</v>
      </c>
      <c r="F22" s="54">
        <v>0</v>
      </c>
      <c r="G22" s="55">
        <v>16</v>
      </c>
      <c r="H22" s="54">
        <v>0.94117647058823528</v>
      </c>
      <c r="I22" s="23"/>
      <c r="J22" s="23"/>
      <c r="M22" s="59">
        <v>202120</v>
      </c>
      <c r="N22" s="53">
        <v>8</v>
      </c>
      <c r="O22" s="53">
        <v>0</v>
      </c>
      <c r="P22" s="54">
        <v>0</v>
      </c>
      <c r="Q22" s="53">
        <v>0</v>
      </c>
      <c r="R22" s="54">
        <v>0</v>
      </c>
      <c r="S22" s="55">
        <v>8</v>
      </c>
      <c r="T22" s="54">
        <v>1</v>
      </c>
    </row>
    <row r="23" spans="1:23" ht="13.5" customHeight="1">
      <c r="A23" s="98">
        <v>202210</v>
      </c>
      <c r="B23" s="103" cm="1">
        <f t="array" ref="B23">IF(RIGHT($A23,2)="10",_xlfn.XLOOKUP("IBQ"&amp;$A23,[1]PROGRAMA!$A:$A&amp;[1]PROGRAMA!$B:$B,[1]PROGRAMA!C:C,0),_xlfn.XLOOKUP("IBQ"&amp;$A23,[2]PROGRAMA!$A:$A&amp;[2]PROGRAMA!$B:$B,[2]PROGRAMA!C:C,0))</f>
        <v>23</v>
      </c>
      <c r="C23" s="103" cm="1">
        <f t="array" ref="C23">IF(RIGHT($A23,2)="10",_xlfn.XLOOKUP("IBQ"&amp;$A23,[1]PROGRAMA!$A:$A&amp;[1]PROGRAMA!$B:$B,[1]PROGRAMA!D:D,0),_xlfn.XLOOKUP("IBQ"&amp;$A23,[2]PROGRAMA!$A:$A&amp;[2]PROGRAMA!$B:$B,[2]PROGRAMA!D:D,0))</f>
        <v>9</v>
      </c>
      <c r="D23" s="68">
        <f>IFERROR(C23/$B23,0)</f>
        <v>0.39130434782608697</v>
      </c>
      <c r="E23" s="103" cm="1">
        <f t="array" ref="E23">IF(RIGHT($A23,2)="10",_xlfn.XLOOKUP("IBQ"&amp;$A23,[1]PROGRAMA!$A:$A&amp;[1]PROGRAMA!$B:$B,[1]PROGRAMA!E:E,0),_xlfn.XLOOKUP("IBQ"&amp;$A23,[2]PROGRAMA!$A:$A&amp;[2]PROGRAMA!$B:$B,[2]PROGRAMA!E:E,0))</f>
        <v>0</v>
      </c>
      <c r="F23" s="68">
        <f>IFERROR(E23/$B23,0)</f>
        <v>0</v>
      </c>
      <c r="G23" s="104">
        <f>B23-C23</f>
        <v>14</v>
      </c>
      <c r="H23" s="68">
        <f>IFERROR(G23/$B23,0)</f>
        <v>0.60869565217391308</v>
      </c>
      <c r="I23" s="128"/>
      <c r="J23" s="128"/>
      <c r="M23" s="98">
        <v>202210</v>
      </c>
      <c r="N23" s="103" cm="1">
        <f t="array" ref="N23">IF(RIGHT($A23,2)="10",_xlfn.XLOOKUP("IBQ"&amp;$A23,'[1]PROGRAMA 123'!$A:$A&amp;'[1]PROGRAMA 123'!$B:$B,'[1]PROGRAMA 123'!C:C,0),_xlfn.XLOOKUP("IBQ"&amp;$A23,'[2]PROGRAMA 123'!$A:$A&amp;'[2]PROGRAMA 123'!$B:$B,'[2]PROGRAMA 123'!C:C,0))</f>
        <v>15</v>
      </c>
      <c r="O23" s="103" cm="1">
        <f t="array" ref="O23">IF(RIGHT($A23,2)="10",_xlfn.XLOOKUP("IBQ"&amp;$A23,'[1]PROGRAMA 123'!$A:$A&amp;'[1]PROGRAMA 123'!$B:$B,'[1]PROGRAMA 123'!D:D,0),_xlfn.XLOOKUP("IBQ"&amp;$A23,'[2]PROGRAMA 123'!$A:$A&amp;'[2]PROGRAMA 123'!$B:$B,'[2]PROGRAMA 123'!D:D,0))</f>
        <v>5</v>
      </c>
      <c r="P23" s="68">
        <f>IFERROR(O23/$N23,0)</f>
        <v>0.33333333333333331</v>
      </c>
      <c r="Q23" s="103" cm="1">
        <f t="array" ref="Q23">IF(RIGHT($A23,2)="10",_xlfn.XLOOKUP("IBQ"&amp;$A23,'[1]PROGRAMA 123'!$A:$A&amp;'[1]PROGRAMA 123'!$B:$B,'[1]PROGRAMA 123'!E:E,0),_xlfn.XLOOKUP("IBQ"&amp;$A23,'[2]PROGRAMA 123'!$A:$A&amp;'[2]PROGRAMA 123'!$B:$B,'[2]PROGRAMA 123'!E:E,0))</f>
        <v>0</v>
      </c>
      <c r="R23" s="68">
        <f>IFERROR(Q23/$N23,0)</f>
        <v>0</v>
      </c>
      <c r="S23" s="104">
        <f>N23-O23</f>
        <v>10</v>
      </c>
      <c r="T23" s="68">
        <f>IFERROR(S23/$N23,0)</f>
        <v>0.66666666666666663</v>
      </c>
    </row>
    <row r="24" spans="1:23" ht="13.5" customHeight="1">
      <c r="A24" s="98">
        <v>202220</v>
      </c>
      <c r="B24" s="103" cm="1">
        <f t="array" ref="B24">IF(RIGHT($A24,2)="10",_xlfn.XLOOKUP("IBQ"&amp;$A24,[1]PROGRAMA!$A:$A&amp;[1]PROGRAMA!$B:$B,[1]PROGRAMA!C:C,0),_xlfn.XLOOKUP("IBQ"&amp;$A24,[2]PROGRAMA!$A:$A&amp;[2]PROGRAMA!$B:$B,[2]PROGRAMA!C:C,0))</f>
        <v>27</v>
      </c>
      <c r="C24" s="103" cm="1">
        <f t="array" ref="C24">IF(RIGHT($A24,2)="10",_xlfn.XLOOKUP("IBQ"&amp;$A24,[1]PROGRAMA!$A:$A&amp;[1]PROGRAMA!$B:$B,[1]PROGRAMA!D:D,0),_xlfn.XLOOKUP("IBQ"&amp;$A24,[2]PROGRAMA!$A:$A&amp;[2]PROGRAMA!$B:$B,[2]PROGRAMA!D:D,0))</f>
        <v>8</v>
      </c>
      <c r="D24" s="68">
        <f>IFERROR(C24/$B24,0)</f>
        <v>0.29629629629629628</v>
      </c>
      <c r="E24" s="103" cm="1">
        <f t="array" ref="E24">IF(RIGHT($A24,2)="10",_xlfn.XLOOKUP("IBQ"&amp;$A24,[1]PROGRAMA!$A:$A&amp;[1]PROGRAMA!$B:$B,[1]PROGRAMA!E:E,0),_xlfn.XLOOKUP("IBQ"&amp;$A24,[2]PROGRAMA!$A:$A&amp;[2]PROGRAMA!$B:$B,[2]PROGRAMA!E:E,0))</f>
        <v>0</v>
      </c>
      <c r="F24" s="68">
        <f>IFERROR(E24/$B24,0)</f>
        <v>0</v>
      </c>
      <c r="G24" s="104">
        <f>B24-C24</f>
        <v>19</v>
      </c>
      <c r="H24" s="68">
        <f>IFERROR(G24/$B24,0)</f>
        <v>0.70370370370370372</v>
      </c>
      <c r="I24" s="128"/>
      <c r="J24" s="128"/>
      <c r="M24" s="98">
        <v>202220</v>
      </c>
      <c r="N24" s="103" cm="1">
        <f t="array" ref="N24">IF(RIGHT($A24,2)="10",_xlfn.XLOOKUP("IBQ"&amp;$A24,'[1]PROGRAMA 123'!$A:$A&amp;'[1]PROGRAMA 123'!$B:$B,'[1]PROGRAMA 123'!C:C,0),_xlfn.XLOOKUP("IBQ"&amp;$A24,'[2]PROGRAMA 123'!$A:$A&amp;'[2]PROGRAMA 123'!$B:$B,'[2]PROGRAMA 123'!C:C,0))</f>
        <v>13</v>
      </c>
      <c r="O24" s="103" cm="1">
        <f t="array" ref="O24">IF(RIGHT($A24,2)="10",_xlfn.XLOOKUP("IBQ"&amp;$A24,'[1]PROGRAMA 123'!$A:$A&amp;'[1]PROGRAMA 123'!$B:$B,'[1]PROGRAMA 123'!D:D,0),_xlfn.XLOOKUP("IBQ"&amp;$A24,'[2]PROGRAMA 123'!$A:$A&amp;'[2]PROGRAMA 123'!$B:$B,'[2]PROGRAMA 123'!D:D,0))</f>
        <v>5</v>
      </c>
      <c r="P24" s="68">
        <f>IFERROR(O24/$N24,0)</f>
        <v>0.38461538461538464</v>
      </c>
      <c r="Q24" s="103" cm="1">
        <f t="array" ref="Q24">IF(RIGHT($A24,2)="10",_xlfn.XLOOKUP("IBQ"&amp;$A24,'[1]PROGRAMA 123'!$A:$A&amp;'[1]PROGRAMA 123'!$B:$B,'[1]PROGRAMA 123'!E:E,0),_xlfn.XLOOKUP("IBQ"&amp;$A24,'[2]PROGRAMA 123'!$A:$A&amp;'[2]PROGRAMA 123'!$B:$B,'[2]PROGRAMA 123'!E:E,0))</f>
        <v>0</v>
      </c>
      <c r="R24" s="68">
        <f>IFERROR(Q24/$N24,0)</f>
        <v>0</v>
      </c>
      <c r="S24" s="104">
        <f>N24-O24</f>
        <v>8</v>
      </c>
      <c r="T24" s="68">
        <f>IFERROR(S24/$N24,0)</f>
        <v>0.61538461538461542</v>
      </c>
    </row>
    <row r="25" spans="1:23" ht="13.5" customHeight="1">
      <c r="A25" s="98" t="s">
        <v>239</v>
      </c>
      <c r="B25" s="103">
        <v>24</v>
      </c>
      <c r="C25" s="103">
        <v>7</v>
      </c>
      <c r="D25" s="68">
        <v>0.29166666666666669</v>
      </c>
      <c r="E25" s="103">
        <v>0</v>
      </c>
      <c r="F25" s="68">
        <v>0</v>
      </c>
      <c r="G25" s="104">
        <v>17</v>
      </c>
      <c r="H25" s="68">
        <v>0.70833333333333337</v>
      </c>
      <c r="I25" s="128"/>
      <c r="J25" s="128"/>
      <c r="M25" s="98" t="s">
        <v>239</v>
      </c>
      <c r="N25" s="103">
        <v>18</v>
      </c>
      <c r="O25" s="103">
        <v>5</v>
      </c>
      <c r="P25" s="68">
        <v>0.27777777777777779</v>
      </c>
      <c r="Q25" s="103">
        <v>0</v>
      </c>
      <c r="R25" s="68">
        <v>0</v>
      </c>
      <c r="S25" s="104">
        <v>13</v>
      </c>
      <c r="T25" s="68">
        <v>0.72222222222222221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57" t="str">
        <f>D5</f>
        <v>-</v>
      </c>
      <c r="B29" s="57" t="s">
        <v>124</v>
      </c>
      <c r="C29" s="57" t="s">
        <v>124</v>
      </c>
      <c r="D29" s="32">
        <f>+((B10*D10)+(B11*D11))/(B10+B11)</f>
        <v>0.22680412371134021</v>
      </c>
      <c r="E29" s="32">
        <f>((B12*D12)+(B13*D13))/(B12+B13)</f>
        <v>0.18699186991869918</v>
      </c>
      <c r="F29" s="32">
        <f>((B14*D14)+(B15*D15))/(B14+B15)</f>
        <v>0.25</v>
      </c>
      <c r="G29" s="32">
        <f>((B16*D16)+(B17*D17))/(B16+B17)</f>
        <v>0.26</v>
      </c>
      <c r="H29" s="32">
        <f>((B18*D18)+(B19*D19))/(B18+B19)</f>
        <v>0.14285714285714285</v>
      </c>
      <c r="I29" s="32">
        <f>((B20*D20)+(B21*D21))/(B20+B21)</f>
        <v>0.11627906976744186</v>
      </c>
      <c r="J29" s="32">
        <f>(C22+C23)/(B22+B23)</f>
        <v>0.25</v>
      </c>
      <c r="K29" s="32">
        <f>D24</f>
        <v>0.29629629629629628</v>
      </c>
      <c r="L29" s="6"/>
      <c r="M29" s="57" t="str">
        <f>P5</f>
        <v>-</v>
      </c>
      <c r="N29" s="57" t="s">
        <v>124</v>
      </c>
      <c r="O29" s="57" t="s">
        <v>124</v>
      </c>
      <c r="P29" s="105">
        <f>+((N10*P10)+(N11*P11))/(N10+N11)</f>
        <v>0.17499999999999999</v>
      </c>
      <c r="Q29" s="105">
        <f>((N12*P12)+(N13*P13))/(N12+N13)</f>
        <v>0.15294117647058825</v>
      </c>
      <c r="R29" s="105">
        <f>((N14*P14)+(N15*P15))/(N14+N15)</f>
        <v>0.20833333333333334</v>
      </c>
      <c r="S29" s="105">
        <f>((N16*P16)+(N17*P17))/(N16+N17)</f>
        <v>0.26470588235294118</v>
      </c>
      <c r="T29" s="105">
        <f>((N18*P18)+(N19*P19))/(N18+N19)</f>
        <v>0.12121212121212122</v>
      </c>
      <c r="U29" s="32">
        <f>((N20*P20)+(N21*P21))/(N20+N21)</f>
        <v>9.5238095238095233E-2</v>
      </c>
      <c r="V29" s="32">
        <f>(O22+O23)/(N22+N23)</f>
        <v>0.21739130434782608</v>
      </c>
      <c r="W29" s="32">
        <f>P24</f>
        <v>0.38461538461538464</v>
      </c>
    </row>
    <row r="30" spans="1:23" hidden="1">
      <c r="A30" s="206" t="s">
        <v>236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13"/>
      <c r="M30" s="206" t="s">
        <v>236</v>
      </c>
      <c r="N30" s="206"/>
      <c r="O30" s="206"/>
      <c r="P30" s="206"/>
      <c r="Q30" s="206"/>
      <c r="R30" s="206"/>
      <c r="S30" s="206"/>
      <c r="T30" s="206"/>
      <c r="U30" s="206"/>
      <c r="V30" s="206"/>
      <c r="W30" s="206"/>
    </row>
    <row r="31" spans="1:23">
      <c r="N31" s="7"/>
      <c r="O31" s="7"/>
      <c r="P31" s="7"/>
      <c r="Q31" s="7"/>
      <c r="R31" s="7"/>
      <c r="S31" s="7"/>
      <c r="T31" s="7"/>
    </row>
  </sheetData>
  <mergeCells count="10">
    <mergeCell ref="A30:K30"/>
    <mergeCell ref="M30:W30"/>
    <mergeCell ref="A1:H1"/>
    <mergeCell ref="M1:T1"/>
    <mergeCell ref="A2:F2"/>
    <mergeCell ref="M3:T3"/>
    <mergeCell ref="M2:T2"/>
    <mergeCell ref="A3:H3"/>
    <mergeCell ref="M27:W27"/>
    <mergeCell ref="A27:K27"/>
  </mergeCells>
  <pageMargins left="0.7" right="0.7" top="0.75" bottom="0.75" header="0.3" footer="0.3"/>
  <pageSetup orientation="portrait" r:id="rId1"/>
  <ignoredErrors>
    <ignoredError sqref="M23:T24 E23:K24" formula="1"/>
    <ignoredError sqref="A25 M2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W32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9"/>
      <c r="L2" s="19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191</v>
      </c>
      <c r="B3" s="225"/>
      <c r="C3" s="225"/>
      <c r="D3" s="225"/>
      <c r="E3" s="225"/>
      <c r="F3" s="225"/>
      <c r="G3" s="225"/>
      <c r="H3" s="226"/>
      <c r="I3" s="122"/>
      <c r="J3" s="122"/>
      <c r="M3" s="224" t="s">
        <v>192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13</v>
      </c>
      <c r="C5" s="57">
        <v>2</v>
      </c>
      <c r="D5" s="58">
        <v>0.15384615384615385</v>
      </c>
      <c r="E5" s="57">
        <v>0</v>
      </c>
      <c r="F5" s="58">
        <v>0</v>
      </c>
      <c r="G5" s="57">
        <v>11</v>
      </c>
      <c r="H5" s="58">
        <v>0.84615384615384615</v>
      </c>
      <c r="I5" s="125"/>
      <c r="J5" s="125"/>
      <c r="M5" s="55">
        <v>201310</v>
      </c>
      <c r="N5" s="57">
        <v>3</v>
      </c>
      <c r="O5" s="57">
        <v>0</v>
      </c>
      <c r="P5" s="58">
        <v>0</v>
      </c>
      <c r="Q5" s="57">
        <v>0</v>
      </c>
      <c r="R5" s="58">
        <v>0</v>
      </c>
      <c r="S5" s="57">
        <v>3</v>
      </c>
      <c r="T5" s="58">
        <v>1</v>
      </c>
    </row>
    <row r="6" spans="1:20" ht="13.5" customHeight="1">
      <c r="A6" s="59">
        <v>201320</v>
      </c>
      <c r="B6" s="57">
        <v>21</v>
      </c>
      <c r="C6" s="57">
        <v>11</v>
      </c>
      <c r="D6" s="76">
        <v>0.52380952380952384</v>
      </c>
      <c r="E6" s="57">
        <v>0</v>
      </c>
      <c r="F6" s="76">
        <v>0</v>
      </c>
      <c r="G6" s="59">
        <v>10</v>
      </c>
      <c r="H6" s="76">
        <v>0.47619047619047616</v>
      </c>
      <c r="I6" s="127"/>
      <c r="J6" s="127"/>
      <c r="M6" s="55">
        <v>201320</v>
      </c>
      <c r="N6" s="53">
        <v>16</v>
      </c>
      <c r="O6" s="53">
        <v>8</v>
      </c>
      <c r="P6" s="54">
        <v>0.5</v>
      </c>
      <c r="Q6" s="53">
        <v>0</v>
      </c>
      <c r="R6" s="54">
        <v>0</v>
      </c>
      <c r="S6" s="55">
        <v>8</v>
      </c>
      <c r="T6" s="54">
        <v>0.5</v>
      </c>
    </row>
    <row r="7" spans="1:20" ht="13.5" customHeight="1">
      <c r="A7" s="59">
        <v>201410</v>
      </c>
      <c r="B7" s="57">
        <v>18</v>
      </c>
      <c r="C7" s="57">
        <v>9</v>
      </c>
      <c r="D7" s="58">
        <v>0.5</v>
      </c>
      <c r="E7" s="57">
        <v>0</v>
      </c>
      <c r="F7" s="58">
        <v>0</v>
      </c>
      <c r="G7" s="57">
        <v>9</v>
      </c>
      <c r="H7" s="58">
        <v>0.5</v>
      </c>
      <c r="I7" s="125"/>
      <c r="J7" s="125"/>
      <c r="M7" s="55">
        <v>201410</v>
      </c>
      <c r="N7" s="53">
        <v>12</v>
      </c>
      <c r="O7" s="53">
        <v>5</v>
      </c>
      <c r="P7" s="54">
        <v>0.41699999999999998</v>
      </c>
      <c r="Q7" s="53">
        <v>0</v>
      </c>
      <c r="R7" s="54">
        <v>0</v>
      </c>
      <c r="S7" s="55">
        <v>7</v>
      </c>
      <c r="T7" s="54">
        <v>0.58299999999999996</v>
      </c>
    </row>
    <row r="8" spans="1:20" ht="13.5" customHeight="1">
      <c r="A8" s="59">
        <v>201420</v>
      </c>
      <c r="B8" s="53">
        <v>19</v>
      </c>
      <c r="C8" s="53">
        <v>12</v>
      </c>
      <c r="D8" s="54">
        <v>0.63200000000000001</v>
      </c>
      <c r="E8" s="53">
        <v>0</v>
      </c>
      <c r="F8" s="54">
        <v>0</v>
      </c>
      <c r="G8" s="55">
        <v>7</v>
      </c>
      <c r="H8" s="54">
        <v>0.36799999999999999</v>
      </c>
      <c r="I8" s="23"/>
      <c r="J8" s="23"/>
      <c r="M8" s="55">
        <v>201420</v>
      </c>
      <c r="N8" s="53">
        <v>10</v>
      </c>
      <c r="O8" s="53">
        <v>4</v>
      </c>
      <c r="P8" s="54">
        <v>0.4</v>
      </c>
      <c r="Q8" s="53">
        <v>0</v>
      </c>
      <c r="R8" s="54">
        <v>0</v>
      </c>
      <c r="S8" s="55">
        <v>6</v>
      </c>
      <c r="T8" s="54">
        <v>0.6</v>
      </c>
    </row>
    <row r="9" spans="1:20" ht="13.5" customHeight="1">
      <c r="A9" s="59">
        <v>201510</v>
      </c>
      <c r="B9" s="53">
        <v>27</v>
      </c>
      <c r="C9" s="53">
        <v>9</v>
      </c>
      <c r="D9" s="54">
        <v>0.33300000000000002</v>
      </c>
      <c r="E9" s="53">
        <v>0</v>
      </c>
      <c r="F9" s="54">
        <v>0</v>
      </c>
      <c r="G9" s="55">
        <v>18</v>
      </c>
      <c r="H9" s="54">
        <v>0.66700000000000004</v>
      </c>
      <c r="I9" s="23"/>
      <c r="J9" s="23"/>
      <c r="M9" s="55">
        <v>201510</v>
      </c>
      <c r="N9" s="53">
        <v>24</v>
      </c>
      <c r="O9" s="53">
        <v>7</v>
      </c>
      <c r="P9" s="54">
        <v>0.29199999999999998</v>
      </c>
      <c r="Q9" s="53">
        <v>0</v>
      </c>
      <c r="R9" s="54">
        <v>0</v>
      </c>
      <c r="S9" s="55">
        <v>17</v>
      </c>
      <c r="T9" s="54">
        <v>0.70799999999999996</v>
      </c>
    </row>
    <row r="10" spans="1:20" ht="13.5" customHeight="1">
      <c r="A10" s="59">
        <v>201520</v>
      </c>
      <c r="B10" s="53">
        <v>18</v>
      </c>
      <c r="C10" s="53">
        <v>9</v>
      </c>
      <c r="D10" s="54">
        <v>0.5</v>
      </c>
      <c r="E10" s="53">
        <v>0</v>
      </c>
      <c r="F10" s="54">
        <v>0</v>
      </c>
      <c r="G10" s="55">
        <v>9</v>
      </c>
      <c r="H10" s="54">
        <v>0.5</v>
      </c>
      <c r="I10" s="23"/>
      <c r="J10" s="23"/>
      <c r="M10" s="55">
        <v>201520</v>
      </c>
      <c r="N10" s="53">
        <v>12</v>
      </c>
      <c r="O10" s="53">
        <v>6</v>
      </c>
      <c r="P10" s="54">
        <v>0.5</v>
      </c>
      <c r="Q10" s="53">
        <v>0</v>
      </c>
      <c r="R10" s="54">
        <v>0</v>
      </c>
      <c r="S10" s="55">
        <v>6</v>
      </c>
      <c r="T10" s="54">
        <v>0.5</v>
      </c>
    </row>
    <row r="11" spans="1:20" ht="13.5" customHeight="1">
      <c r="A11" s="59">
        <v>201610</v>
      </c>
      <c r="B11" s="53">
        <v>32</v>
      </c>
      <c r="C11" s="53">
        <v>11</v>
      </c>
      <c r="D11" s="54">
        <v>0.34375</v>
      </c>
      <c r="E11" s="53">
        <v>0</v>
      </c>
      <c r="F11" s="54">
        <v>0</v>
      </c>
      <c r="G11" s="55">
        <v>21</v>
      </c>
      <c r="H11" s="54">
        <v>0.65625</v>
      </c>
      <c r="I11" s="23"/>
      <c r="J11" s="23"/>
      <c r="M11" s="55">
        <v>201610</v>
      </c>
      <c r="N11" s="53">
        <v>28</v>
      </c>
      <c r="O11" s="53">
        <v>10</v>
      </c>
      <c r="P11" s="54">
        <v>0.35714285714285715</v>
      </c>
      <c r="Q11" s="53">
        <v>0</v>
      </c>
      <c r="R11" s="54">
        <v>0</v>
      </c>
      <c r="S11" s="55">
        <v>18</v>
      </c>
      <c r="T11" s="54">
        <v>0.6428571428571429</v>
      </c>
    </row>
    <row r="12" spans="1:20" ht="13.5" customHeight="1">
      <c r="A12" s="59">
        <v>201620</v>
      </c>
      <c r="B12" s="57">
        <v>22</v>
      </c>
      <c r="C12" s="57">
        <v>8</v>
      </c>
      <c r="D12" s="58">
        <v>0.36363636363636365</v>
      </c>
      <c r="E12" s="57">
        <v>0</v>
      </c>
      <c r="F12" s="58">
        <v>0</v>
      </c>
      <c r="G12" s="57">
        <v>14</v>
      </c>
      <c r="H12" s="58">
        <v>0.63636363636363635</v>
      </c>
      <c r="I12" s="125"/>
      <c r="J12" s="125"/>
      <c r="M12" s="55">
        <v>201620</v>
      </c>
      <c r="N12" s="57">
        <v>8</v>
      </c>
      <c r="O12" s="57">
        <v>2</v>
      </c>
      <c r="P12" s="58">
        <v>0.25</v>
      </c>
      <c r="Q12" s="57">
        <v>0</v>
      </c>
      <c r="R12" s="58">
        <v>0</v>
      </c>
      <c r="S12" s="57">
        <v>6</v>
      </c>
      <c r="T12" s="58">
        <v>0.75</v>
      </c>
    </row>
    <row r="13" spans="1:20" ht="13.5" customHeight="1">
      <c r="A13" s="59">
        <v>201710</v>
      </c>
      <c r="B13" s="53">
        <v>29</v>
      </c>
      <c r="C13" s="53">
        <v>10</v>
      </c>
      <c r="D13" s="54">
        <v>0.34482758620689657</v>
      </c>
      <c r="E13" s="53">
        <v>0</v>
      </c>
      <c r="F13" s="54">
        <v>0</v>
      </c>
      <c r="G13" s="55">
        <v>19</v>
      </c>
      <c r="H13" s="54">
        <v>0.65517241379310343</v>
      </c>
      <c r="I13" s="23"/>
      <c r="J13" s="23"/>
      <c r="M13" s="55">
        <v>201710</v>
      </c>
      <c r="N13" s="53">
        <v>24</v>
      </c>
      <c r="O13" s="53">
        <v>7</v>
      </c>
      <c r="P13" s="54">
        <v>0.29166666666666669</v>
      </c>
      <c r="Q13" s="53">
        <v>0</v>
      </c>
      <c r="R13" s="54">
        <v>0</v>
      </c>
      <c r="S13" s="55">
        <v>17</v>
      </c>
      <c r="T13" s="54">
        <v>0.70833333333333337</v>
      </c>
    </row>
    <row r="14" spans="1:20" ht="13.5" customHeight="1">
      <c r="A14" s="59">
        <v>201720</v>
      </c>
      <c r="B14" s="53">
        <v>16</v>
      </c>
      <c r="C14" s="53">
        <v>3</v>
      </c>
      <c r="D14" s="54">
        <v>0.1875</v>
      </c>
      <c r="E14" s="53">
        <v>0</v>
      </c>
      <c r="F14" s="54">
        <v>0</v>
      </c>
      <c r="G14" s="55">
        <v>13</v>
      </c>
      <c r="H14" s="54">
        <v>0.8125</v>
      </c>
      <c r="I14" s="23"/>
      <c r="J14" s="23"/>
      <c r="M14" s="55">
        <v>201720</v>
      </c>
      <c r="N14" s="53">
        <v>7</v>
      </c>
      <c r="O14" s="53">
        <v>1</v>
      </c>
      <c r="P14" s="54">
        <v>0.14285714285714285</v>
      </c>
      <c r="Q14" s="53">
        <v>0</v>
      </c>
      <c r="R14" s="54">
        <v>0</v>
      </c>
      <c r="S14" s="55">
        <v>6</v>
      </c>
      <c r="T14" s="54">
        <v>0.8571428571428571</v>
      </c>
    </row>
    <row r="15" spans="1:20" ht="13.5" customHeight="1">
      <c r="A15" s="59">
        <v>201810</v>
      </c>
      <c r="B15" s="53">
        <v>20</v>
      </c>
      <c r="C15" s="53">
        <v>11</v>
      </c>
      <c r="D15" s="54">
        <v>0.55000000000000004</v>
      </c>
      <c r="E15" s="53">
        <v>0</v>
      </c>
      <c r="F15" s="54">
        <v>0</v>
      </c>
      <c r="G15" s="55">
        <v>9</v>
      </c>
      <c r="H15" s="54">
        <v>0.45</v>
      </c>
      <c r="I15" s="23"/>
      <c r="J15" s="23"/>
      <c r="M15" s="59">
        <v>201810</v>
      </c>
      <c r="N15" s="53">
        <v>11</v>
      </c>
      <c r="O15" s="53">
        <v>2</v>
      </c>
      <c r="P15" s="54">
        <v>0.18181818181818182</v>
      </c>
      <c r="Q15" s="53">
        <v>0</v>
      </c>
      <c r="R15" s="54">
        <v>0</v>
      </c>
      <c r="S15" s="55">
        <v>9</v>
      </c>
      <c r="T15" s="54">
        <v>0.81818181818181823</v>
      </c>
    </row>
    <row r="16" spans="1:20" ht="13.5" customHeight="1">
      <c r="A16" s="59">
        <v>201820</v>
      </c>
      <c r="B16" s="53">
        <v>16</v>
      </c>
      <c r="C16" s="53">
        <v>4</v>
      </c>
      <c r="D16" s="54">
        <v>0.25</v>
      </c>
      <c r="E16" s="53">
        <v>0</v>
      </c>
      <c r="F16" s="54">
        <v>0</v>
      </c>
      <c r="G16" s="55">
        <v>12</v>
      </c>
      <c r="H16" s="54">
        <v>0.75</v>
      </c>
      <c r="I16" s="23"/>
      <c r="J16" s="23"/>
      <c r="M16" s="59">
        <v>201820</v>
      </c>
      <c r="N16" s="53">
        <v>6</v>
      </c>
      <c r="O16" s="53">
        <v>1</v>
      </c>
      <c r="P16" s="54">
        <v>0.16666666666666666</v>
      </c>
      <c r="Q16" s="53">
        <v>0</v>
      </c>
      <c r="R16" s="54">
        <v>0</v>
      </c>
      <c r="S16" s="55">
        <v>5</v>
      </c>
      <c r="T16" s="54">
        <v>0.83333333333333337</v>
      </c>
    </row>
    <row r="17" spans="1:23" ht="13.5" customHeight="1">
      <c r="A17" s="59">
        <v>201910</v>
      </c>
      <c r="B17" s="53">
        <v>16</v>
      </c>
      <c r="C17" s="53">
        <v>4</v>
      </c>
      <c r="D17" s="54">
        <v>0.25</v>
      </c>
      <c r="E17" s="53">
        <v>0</v>
      </c>
      <c r="F17" s="54">
        <v>0</v>
      </c>
      <c r="G17" s="55">
        <v>12</v>
      </c>
      <c r="H17" s="54">
        <v>0.75</v>
      </c>
      <c r="I17" s="23"/>
      <c r="J17" s="23"/>
      <c r="M17" s="59">
        <v>201910</v>
      </c>
      <c r="N17" s="53">
        <v>12</v>
      </c>
      <c r="O17" s="53">
        <v>4</v>
      </c>
      <c r="P17" s="54">
        <v>0.33333333333333331</v>
      </c>
      <c r="Q17" s="53">
        <v>0</v>
      </c>
      <c r="R17" s="54">
        <v>0</v>
      </c>
      <c r="S17" s="55">
        <v>8</v>
      </c>
      <c r="T17" s="54">
        <v>0.66666666666666663</v>
      </c>
    </row>
    <row r="18" spans="1:23" ht="13.5" customHeight="1">
      <c r="A18" s="59">
        <v>201920</v>
      </c>
      <c r="B18" s="53">
        <v>12</v>
      </c>
      <c r="C18" s="53">
        <v>3</v>
      </c>
      <c r="D18" s="54">
        <v>0.25</v>
      </c>
      <c r="E18" s="53">
        <v>0</v>
      </c>
      <c r="F18" s="54">
        <v>0</v>
      </c>
      <c r="G18" s="55">
        <v>9</v>
      </c>
      <c r="H18" s="54">
        <v>0.75</v>
      </c>
      <c r="I18" s="23"/>
      <c r="J18" s="23"/>
      <c r="M18" s="59">
        <v>201920</v>
      </c>
      <c r="N18" s="53">
        <v>9</v>
      </c>
      <c r="O18" s="53">
        <v>3</v>
      </c>
      <c r="P18" s="54">
        <v>0.33333333333333331</v>
      </c>
      <c r="Q18" s="53">
        <v>0</v>
      </c>
      <c r="R18" s="54">
        <v>0</v>
      </c>
      <c r="S18" s="55">
        <v>6</v>
      </c>
      <c r="T18" s="54">
        <v>0.66666666666666663</v>
      </c>
    </row>
    <row r="19" spans="1:23" ht="13.5" customHeight="1">
      <c r="A19" s="59">
        <v>202010</v>
      </c>
      <c r="B19" s="53">
        <v>17</v>
      </c>
      <c r="C19" s="53">
        <v>3</v>
      </c>
      <c r="D19" s="54">
        <v>0.17647058823529421</v>
      </c>
      <c r="E19" s="53">
        <v>0</v>
      </c>
      <c r="F19" s="54">
        <v>0</v>
      </c>
      <c r="G19" s="55">
        <v>14</v>
      </c>
      <c r="H19" s="54">
        <v>0.82352941176470584</v>
      </c>
      <c r="I19" s="23"/>
      <c r="J19" s="23"/>
      <c r="M19" s="59">
        <v>202010</v>
      </c>
      <c r="N19" s="53">
        <v>15</v>
      </c>
      <c r="O19" s="53">
        <v>2</v>
      </c>
      <c r="P19" s="54">
        <v>0.1333333333333333</v>
      </c>
      <c r="Q19" s="53">
        <v>0</v>
      </c>
      <c r="R19" s="54">
        <v>0</v>
      </c>
      <c r="S19" s="55">
        <v>13</v>
      </c>
      <c r="T19" s="54">
        <v>0.86666666666666681</v>
      </c>
    </row>
    <row r="20" spans="1:23" ht="13.5" customHeight="1">
      <c r="A20" s="59">
        <v>202020</v>
      </c>
      <c r="B20" s="53">
        <v>22</v>
      </c>
      <c r="C20" s="53">
        <v>4</v>
      </c>
      <c r="D20" s="54">
        <v>0.18181818181818182</v>
      </c>
      <c r="E20" s="53">
        <v>0</v>
      </c>
      <c r="F20" s="54">
        <v>0</v>
      </c>
      <c r="G20" s="55">
        <v>18</v>
      </c>
      <c r="H20" s="54">
        <v>0.81818181818181823</v>
      </c>
      <c r="I20" s="23"/>
      <c r="J20" s="23"/>
      <c r="M20" s="59">
        <v>202020</v>
      </c>
      <c r="N20" s="53">
        <v>12</v>
      </c>
      <c r="O20" s="53">
        <v>0</v>
      </c>
      <c r="P20" s="54">
        <v>0</v>
      </c>
      <c r="Q20" s="53">
        <v>0</v>
      </c>
      <c r="R20" s="54">
        <v>0</v>
      </c>
      <c r="S20" s="55">
        <v>12</v>
      </c>
      <c r="T20" s="54">
        <v>1</v>
      </c>
    </row>
    <row r="21" spans="1:23" ht="13.5" customHeight="1">
      <c r="A21" s="59">
        <v>202110</v>
      </c>
      <c r="B21" s="53">
        <v>15</v>
      </c>
      <c r="C21" s="53">
        <v>4</v>
      </c>
      <c r="D21" s="54">
        <v>0.26666666666666672</v>
      </c>
      <c r="E21" s="53">
        <v>0</v>
      </c>
      <c r="F21" s="54">
        <v>0</v>
      </c>
      <c r="G21" s="55">
        <v>11</v>
      </c>
      <c r="H21" s="54">
        <v>0.73333333333333328</v>
      </c>
      <c r="I21" s="23"/>
      <c r="J21" s="23"/>
      <c r="M21" s="59">
        <v>202110</v>
      </c>
      <c r="N21" s="53">
        <v>10</v>
      </c>
      <c r="O21" s="53">
        <v>3</v>
      </c>
      <c r="P21" s="54">
        <v>0.3</v>
      </c>
      <c r="Q21" s="53">
        <v>0</v>
      </c>
      <c r="R21" s="54">
        <v>0</v>
      </c>
      <c r="S21" s="55">
        <v>7</v>
      </c>
      <c r="T21" s="54">
        <v>0.7</v>
      </c>
    </row>
    <row r="22" spans="1:23" ht="13.5" customHeight="1">
      <c r="A22" s="59">
        <v>202120</v>
      </c>
      <c r="B22" s="53">
        <v>6</v>
      </c>
      <c r="C22" s="53">
        <v>1</v>
      </c>
      <c r="D22" s="54">
        <v>0.16666666666666671</v>
      </c>
      <c r="E22" s="53">
        <v>0</v>
      </c>
      <c r="F22" s="54">
        <v>0</v>
      </c>
      <c r="G22" s="55">
        <v>5</v>
      </c>
      <c r="H22" s="54">
        <v>0.83333333333333337</v>
      </c>
      <c r="I22" s="23"/>
      <c r="J22" s="23"/>
      <c r="M22" s="59">
        <v>202120</v>
      </c>
      <c r="N22" s="53">
        <v>3</v>
      </c>
      <c r="O22" s="53">
        <v>1</v>
      </c>
      <c r="P22" s="54">
        <v>0.33333333333333331</v>
      </c>
      <c r="Q22" s="53">
        <v>0</v>
      </c>
      <c r="R22" s="54">
        <v>0</v>
      </c>
      <c r="S22" s="55">
        <v>2</v>
      </c>
      <c r="T22" s="54">
        <v>0.66666666666666663</v>
      </c>
    </row>
    <row r="23" spans="1:23" ht="13.5" customHeight="1">
      <c r="A23" s="98">
        <v>202210</v>
      </c>
      <c r="B23" s="103" cm="1">
        <f t="array" ref="B23">IF(RIGHT($A23,2)="10",_xlfn.XLOOKUP("BIO"&amp;$A23,[1]PROGRAMA!$A:$A&amp;[1]PROGRAMA!$B:$B,[1]PROGRAMA!C:C,0),_xlfn.XLOOKUP("BIO"&amp;$A23,[2]PROGRAMA!$A:$A&amp;[2]PROGRAMA!$B:$B,[2]PROGRAMA!C:C,0))</f>
        <v>34</v>
      </c>
      <c r="C23" s="103" cm="1">
        <f t="array" ref="C23">IF(RIGHT($A23,2)="10",_xlfn.XLOOKUP("BIO"&amp;$A23,[1]PROGRAMA!$A:$A&amp;[1]PROGRAMA!$B:$B,[1]PROGRAMA!D:D,0),_xlfn.XLOOKUP("BIO"&amp;$A23,[2]PROGRAMA!$A:$A&amp;[2]PROGRAMA!$B:$B,[2]PROGRAMA!D:D,0))</f>
        <v>5</v>
      </c>
      <c r="D23" s="68">
        <f>IFERROR(C23/$B23,0)</f>
        <v>0.14705882352941177</v>
      </c>
      <c r="E23" s="103" cm="1">
        <f t="array" ref="E23">IF(RIGHT($A23,2)="10",_xlfn.XLOOKUP("BIO"&amp;$A23,[1]PROGRAMA!$A:$A&amp;[1]PROGRAMA!$B:$B,[1]PROGRAMA!E:E,0),_xlfn.XLOOKUP("BIO"&amp;$A23,[2]PROGRAMA!$A:$A&amp;[2]PROGRAMA!$B:$B,[2]PROGRAMA!E:E,0))</f>
        <v>0</v>
      </c>
      <c r="F23" s="68">
        <f>IFERROR(E23/$B23,0)</f>
        <v>0</v>
      </c>
      <c r="G23" s="104">
        <f>B23-C23</f>
        <v>29</v>
      </c>
      <c r="H23" s="68">
        <f>IFERROR(G23/$B23,0)</f>
        <v>0.8529411764705882</v>
      </c>
      <c r="I23" s="128"/>
      <c r="J23" s="128"/>
      <c r="M23" s="98">
        <v>202210</v>
      </c>
      <c r="N23" s="103" cm="1">
        <f t="array" ref="N23">IF(RIGHT($A23,2)="10",_xlfn.XLOOKUP("BIO"&amp;$A23,'[1]PROGRAMA 123'!$A:$A&amp;'[1]PROGRAMA 123'!$B:$B,'[1]PROGRAMA 123'!C:C,0),_xlfn.XLOOKUP("BIO"&amp;$A23,'[2]PROGRAMA 123'!$A:$A&amp;'[2]PROGRAMA 123'!$B:$B,'[2]PROGRAMA 123'!C:C,0))</f>
        <v>24</v>
      </c>
      <c r="O23" s="103" cm="1">
        <f t="array" ref="O23">IF(RIGHT($A23,2)="10",_xlfn.XLOOKUP("BIO"&amp;$A23,'[1]PROGRAMA 123'!$A:$A&amp;'[1]PROGRAMA 123'!$B:$B,'[1]PROGRAMA 123'!D:D,0),_xlfn.XLOOKUP("BIO"&amp;$A23,'[2]PROGRAMA 123'!$A:$A&amp;'[2]PROGRAMA 123'!$B:$B,'[2]PROGRAMA 123'!D:D,0))</f>
        <v>4</v>
      </c>
      <c r="P23" s="68">
        <f>IFERROR(O23/$N23,0)</f>
        <v>0.16666666666666666</v>
      </c>
      <c r="Q23" s="103" cm="1">
        <f t="array" ref="Q23">IF(RIGHT($A23,2)="10",_xlfn.XLOOKUP("BIO"&amp;$A23,'[1]PROGRAMA 123'!$A:$A&amp;'[1]PROGRAMA 123'!$B:$B,'[1]PROGRAMA 123'!E:E,0),_xlfn.XLOOKUP("BIO"&amp;$A23,'[2]PROGRAMA 123'!$A:$A&amp;'[2]PROGRAMA 123'!$B:$B,'[2]PROGRAMA 123'!E:E,0))</f>
        <v>0</v>
      </c>
      <c r="R23" s="68">
        <f>IFERROR(Q23/$N23,0)</f>
        <v>0</v>
      </c>
      <c r="S23" s="104">
        <f>N23-O23</f>
        <v>20</v>
      </c>
      <c r="T23" s="68">
        <f>IFERROR(S23/$N23,0)</f>
        <v>0.83333333333333337</v>
      </c>
    </row>
    <row r="24" spans="1:23" ht="13.5" customHeight="1">
      <c r="A24" s="98">
        <v>202220</v>
      </c>
      <c r="B24" s="103" cm="1">
        <f t="array" ref="B24">IF(RIGHT($A24,2)="10",_xlfn.XLOOKUP("BIO"&amp;$A24,[1]PROGRAMA!$A:$A&amp;[1]PROGRAMA!$B:$B,[1]PROGRAMA!C:C,0),_xlfn.XLOOKUP("BIO"&amp;$A24,[2]PROGRAMA!$A:$A&amp;[2]PROGRAMA!$B:$B,[2]PROGRAMA!C:C,0))</f>
        <v>13</v>
      </c>
      <c r="C24" s="103" cm="1">
        <f t="array" ref="C24">IF(RIGHT($A24,2)="10",_xlfn.XLOOKUP("BIO"&amp;$A24,[1]PROGRAMA!$A:$A&amp;[1]PROGRAMA!$B:$B,[1]PROGRAMA!D:D,0),_xlfn.XLOOKUP("BIO"&amp;$A24,[2]PROGRAMA!$A:$A&amp;[2]PROGRAMA!$B:$B,[2]PROGRAMA!D:D,0))</f>
        <v>2</v>
      </c>
      <c r="D24" s="68">
        <f>IFERROR(C24/$B24,0)</f>
        <v>0.15384615384615385</v>
      </c>
      <c r="E24" s="103" cm="1">
        <f t="array" ref="E24">IF(RIGHT($A24,2)="10",_xlfn.XLOOKUP("BIO"&amp;$A24,[1]PROGRAMA!$A:$A&amp;[1]PROGRAMA!$B:$B,[1]PROGRAMA!E:E,0),_xlfn.XLOOKUP("BIO"&amp;$A24,[2]PROGRAMA!$A:$A&amp;[2]PROGRAMA!$B:$B,[2]PROGRAMA!E:E,0))</f>
        <v>0</v>
      </c>
      <c r="F24" s="68">
        <f>IFERROR(E24/$B24,0)</f>
        <v>0</v>
      </c>
      <c r="G24" s="104">
        <f>B24-C24</f>
        <v>11</v>
      </c>
      <c r="H24" s="68">
        <f>IFERROR(G24/$B24,0)</f>
        <v>0.84615384615384615</v>
      </c>
      <c r="I24" s="128"/>
      <c r="J24" s="128"/>
      <c r="M24" s="98">
        <v>202220</v>
      </c>
      <c r="N24" s="103" cm="1">
        <f t="array" ref="N24">IF(RIGHT($A24,2)="10",_xlfn.XLOOKUP("BIO"&amp;$A24,'[1]PROGRAMA 123'!$A:$A&amp;'[1]PROGRAMA 123'!$B:$B,'[1]PROGRAMA 123'!C:C,0),_xlfn.XLOOKUP("BIO"&amp;$A24,'[2]PROGRAMA 123'!$A:$A&amp;'[2]PROGRAMA 123'!$B:$B,'[2]PROGRAMA 123'!C:C,0))</f>
        <v>10</v>
      </c>
      <c r="O24" s="103" cm="1">
        <f t="array" ref="O24">IF(RIGHT($A24,2)="10",_xlfn.XLOOKUP("BIO"&amp;$A24,'[1]PROGRAMA 123'!$A:$A&amp;'[1]PROGRAMA 123'!$B:$B,'[1]PROGRAMA 123'!D:D,0),_xlfn.XLOOKUP("BIO"&amp;$A24,'[2]PROGRAMA 123'!$A:$A&amp;'[2]PROGRAMA 123'!$B:$B,'[2]PROGRAMA 123'!D:D,0))</f>
        <v>2</v>
      </c>
      <c r="P24" s="68">
        <f>IFERROR(O24/$N24,0)</f>
        <v>0.2</v>
      </c>
      <c r="Q24" s="103" cm="1">
        <f t="array" ref="Q24">IF(RIGHT($A24,2)="10",_xlfn.XLOOKUP("BIO"&amp;$A24,'[1]PROGRAMA 123'!$A:$A&amp;'[1]PROGRAMA 123'!$B:$B,'[1]PROGRAMA 123'!E:E,0),_xlfn.XLOOKUP("BIO"&amp;$A24,'[2]PROGRAMA 123'!$A:$A&amp;'[2]PROGRAMA 123'!$B:$B,'[2]PROGRAMA 123'!E:E,0))</f>
        <v>0</v>
      </c>
      <c r="R24" s="68">
        <f>IFERROR(Q24/$N24,0)</f>
        <v>0</v>
      </c>
      <c r="S24" s="104">
        <f>N24-O24</f>
        <v>8</v>
      </c>
      <c r="T24" s="68">
        <f>IFERROR(S24/$N24,0)</f>
        <v>0.8</v>
      </c>
    </row>
    <row r="25" spans="1:23" ht="13.5" customHeight="1">
      <c r="A25" s="98" t="s">
        <v>239</v>
      </c>
      <c r="B25" s="103">
        <v>21</v>
      </c>
      <c r="C25" s="103">
        <v>3</v>
      </c>
      <c r="D25" s="68">
        <v>0.14285714285714279</v>
      </c>
      <c r="E25" s="103">
        <v>0</v>
      </c>
      <c r="F25" s="68">
        <v>0</v>
      </c>
      <c r="G25" s="104">
        <v>18</v>
      </c>
      <c r="H25" s="68">
        <v>0.8571428571428571</v>
      </c>
      <c r="I25" s="128"/>
      <c r="J25" s="128"/>
      <c r="M25" s="98" t="s">
        <v>239</v>
      </c>
      <c r="N25" s="103">
        <v>19</v>
      </c>
      <c r="O25" s="103">
        <v>3</v>
      </c>
      <c r="P25" s="68">
        <v>0.15789473684210531</v>
      </c>
      <c r="Q25" s="103">
        <v>0</v>
      </c>
      <c r="R25" s="68">
        <v>0</v>
      </c>
      <c r="S25" s="104">
        <v>16</v>
      </c>
      <c r="T25" s="68">
        <v>0.84210526315789469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0.15384615384615385</v>
      </c>
      <c r="B29" s="37">
        <f>+((B6*D6)+(B7*D7))/(B6+B7)</f>
        <v>0.51282051282051277</v>
      </c>
      <c r="C29" s="32">
        <f>((B8*D8)+(B9*D9))/(B8+B9)</f>
        <v>0.45650000000000007</v>
      </c>
      <c r="D29" s="32">
        <f>+((B10*D10)+(B11*D11))/(B10+B11)</f>
        <v>0.4</v>
      </c>
      <c r="E29" s="32">
        <f>((B12*D12)+(B13*D13))/(B12+B13)</f>
        <v>0.35294117647058826</v>
      </c>
      <c r="F29" s="32">
        <f>((B14*D14)+(B15*D15))/(B14+B15)</f>
        <v>0.3888888888888889</v>
      </c>
      <c r="G29" s="32">
        <f>((B16*D16)+(B17*D17))/(B16+B17)</f>
        <v>0.25</v>
      </c>
      <c r="H29" s="32">
        <f>((B18*D18)+(B19*D19))/(B18+B19)</f>
        <v>0.20689655172413798</v>
      </c>
      <c r="I29" s="32">
        <f>((B20*D20)+(B21*D21))/(B20+B21)</f>
        <v>0.21621621621621623</v>
      </c>
      <c r="J29" s="32">
        <f>(C22+C23)/(B22+B23)</f>
        <v>0.15</v>
      </c>
      <c r="K29" s="32">
        <f>D24</f>
        <v>0.15384615384615385</v>
      </c>
      <c r="L29" s="6"/>
      <c r="M29" s="37">
        <f>P5</f>
        <v>0</v>
      </c>
      <c r="N29" s="37">
        <f>+((N6*P6)+(N7*P7))/(N6+N7)</f>
        <v>0.46442857142857141</v>
      </c>
      <c r="O29" s="32">
        <f>((N8*P8)+(N9*P9))/(N8+N9)</f>
        <v>0.3237647058823529</v>
      </c>
      <c r="P29" s="32">
        <f>+((N10*P10)+(N11*P11))/(N10+N11)</f>
        <v>0.4</v>
      </c>
      <c r="Q29" s="32">
        <f>((N12*P12)+(N13*P13))/(N12+N13)</f>
        <v>0.28125</v>
      </c>
      <c r="R29" s="32">
        <f>((N14*P14)+(N15*P15))/(N14+N15)</f>
        <v>0.16666666666666666</v>
      </c>
      <c r="S29" s="32">
        <f>((N16*P16)+(N17*P17))/(N16+N17)</f>
        <v>0.27777777777777779</v>
      </c>
      <c r="T29" s="32">
        <f>((N18*P18)+(N19*P19))/(N18+N19)</f>
        <v>0.20833333333333334</v>
      </c>
      <c r="U29" s="32">
        <f>((N20*P20)+(N21*P21))/(N20+N21)</f>
        <v>0.13636363636363635</v>
      </c>
      <c r="V29" s="32">
        <f>(O22+O23)/(N22+N23)</f>
        <v>0.18518518518518517</v>
      </c>
      <c r="W29" s="32">
        <f>P24</f>
        <v>0.2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06"/>
      <c r="N30" s="206"/>
      <c r="O30" s="206"/>
      <c r="P30" s="206"/>
      <c r="Q30" s="206"/>
      <c r="R30" s="206"/>
      <c r="S30" s="206"/>
      <c r="T30" s="7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15" t="s">
        <v>118</v>
      </c>
      <c r="N31" s="215"/>
      <c r="O31" s="215"/>
      <c r="P31" s="215"/>
      <c r="Q31" s="215"/>
      <c r="R31" s="215"/>
      <c r="S31" s="215"/>
      <c r="T31" s="215"/>
      <c r="U31" s="215"/>
      <c r="V31" s="215"/>
      <c r="W31" s="18"/>
    </row>
    <row r="32" spans="1:23" hidden="1">
      <c r="M32" s="206" t="s">
        <v>235</v>
      </c>
      <c r="N32" s="206"/>
      <c r="O32" s="206"/>
      <c r="P32" s="206"/>
      <c r="Q32" s="206"/>
      <c r="R32" s="206"/>
      <c r="S32" s="206"/>
      <c r="T32" s="206"/>
      <c r="U32" s="206"/>
      <c r="V32" s="206"/>
      <c r="W32" s="206"/>
    </row>
  </sheetData>
  <mergeCells count="13">
    <mergeCell ref="A31:K31"/>
    <mergeCell ref="M31:V31"/>
    <mergeCell ref="M32:W32"/>
    <mergeCell ref="A1:H1"/>
    <mergeCell ref="M1:T1"/>
    <mergeCell ref="M30:S30"/>
    <mergeCell ref="A3:H3"/>
    <mergeCell ref="A2:H2"/>
    <mergeCell ref="M3:T3"/>
    <mergeCell ref="M2:T2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M24:O24 M23:O23 Q23 S23 Q24 S24 E23:K23 E24:K24" formula="1"/>
    <ignoredError sqref="M25 A2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9"/>
      <c r="L2" s="19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193</v>
      </c>
      <c r="B3" s="225"/>
      <c r="C3" s="225"/>
      <c r="D3" s="225"/>
      <c r="E3" s="225"/>
      <c r="F3" s="225"/>
      <c r="G3" s="225"/>
      <c r="H3" s="226"/>
      <c r="I3" s="188"/>
      <c r="J3" s="188"/>
      <c r="M3" s="224" t="s">
        <v>194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9</v>
      </c>
      <c r="C5" s="57">
        <v>5</v>
      </c>
      <c r="D5" s="58">
        <v>0.55555555555555558</v>
      </c>
      <c r="E5" s="57">
        <v>0</v>
      </c>
      <c r="F5" s="58">
        <v>0</v>
      </c>
      <c r="G5" s="57">
        <v>4</v>
      </c>
      <c r="H5" s="58">
        <v>0.44444444444444442</v>
      </c>
      <c r="I5" s="125"/>
      <c r="J5" s="125"/>
      <c r="M5" s="55">
        <v>201310</v>
      </c>
      <c r="N5" s="57">
        <v>7</v>
      </c>
      <c r="O5" s="57">
        <v>4</v>
      </c>
      <c r="P5" s="58">
        <v>0.5714285714285714</v>
      </c>
      <c r="Q5" s="57">
        <v>0</v>
      </c>
      <c r="R5" s="58">
        <v>0</v>
      </c>
      <c r="S5" s="57">
        <v>3</v>
      </c>
      <c r="T5" s="58">
        <v>0.42857142857142855</v>
      </c>
    </row>
    <row r="6" spans="1:20" ht="13.5" customHeight="1">
      <c r="A6" s="59">
        <v>201320</v>
      </c>
      <c r="B6" s="57">
        <v>17</v>
      </c>
      <c r="C6" s="57">
        <v>8</v>
      </c>
      <c r="D6" s="76">
        <v>0.47058823529411764</v>
      </c>
      <c r="E6" s="57">
        <v>0</v>
      </c>
      <c r="F6" s="76">
        <v>0</v>
      </c>
      <c r="G6" s="59">
        <v>9</v>
      </c>
      <c r="H6" s="76">
        <v>0.52941176470588236</v>
      </c>
      <c r="I6" s="127"/>
      <c r="J6" s="127"/>
      <c r="M6" s="55">
        <v>201320</v>
      </c>
      <c r="N6" s="53">
        <v>11</v>
      </c>
      <c r="O6" s="53">
        <v>4</v>
      </c>
      <c r="P6" s="54">
        <v>0.36363636363636365</v>
      </c>
      <c r="Q6" s="53">
        <v>0</v>
      </c>
      <c r="R6" s="54">
        <v>0</v>
      </c>
      <c r="S6" s="55">
        <v>7</v>
      </c>
      <c r="T6" s="54">
        <v>0.63636363636363635</v>
      </c>
    </row>
    <row r="7" spans="1:20" ht="13.5" customHeight="1">
      <c r="A7" s="59">
        <v>201410</v>
      </c>
      <c r="B7" s="57">
        <v>8</v>
      </c>
      <c r="C7" s="57">
        <v>5</v>
      </c>
      <c r="D7" s="58">
        <v>0.625</v>
      </c>
      <c r="E7" s="57">
        <v>0</v>
      </c>
      <c r="F7" s="58">
        <v>0</v>
      </c>
      <c r="G7" s="57">
        <v>3</v>
      </c>
      <c r="H7" s="58">
        <v>0.375</v>
      </c>
      <c r="I7" s="125"/>
      <c r="J7" s="125"/>
      <c r="M7" s="55">
        <v>201410</v>
      </c>
      <c r="N7" s="53">
        <v>7</v>
      </c>
      <c r="O7" s="53">
        <v>5</v>
      </c>
      <c r="P7" s="54">
        <v>0.71399999999999997</v>
      </c>
      <c r="Q7" s="53">
        <v>0</v>
      </c>
      <c r="R7" s="54">
        <v>0</v>
      </c>
      <c r="S7" s="55">
        <v>2</v>
      </c>
      <c r="T7" s="54">
        <v>0.28599999999999998</v>
      </c>
    </row>
    <row r="8" spans="1:20" ht="13.5" customHeight="1">
      <c r="A8" s="59">
        <v>201420</v>
      </c>
      <c r="B8" s="53">
        <v>17</v>
      </c>
      <c r="C8" s="53">
        <v>8</v>
      </c>
      <c r="D8" s="54">
        <v>0.47099999999999997</v>
      </c>
      <c r="E8" s="53">
        <v>0</v>
      </c>
      <c r="F8" s="54">
        <v>0</v>
      </c>
      <c r="G8" s="55">
        <v>9</v>
      </c>
      <c r="H8" s="54">
        <v>0.52900000000000003</v>
      </c>
      <c r="I8" s="23"/>
      <c r="J8" s="23"/>
      <c r="M8" s="55">
        <v>201420</v>
      </c>
      <c r="N8" s="53">
        <v>10</v>
      </c>
      <c r="O8" s="53">
        <v>3</v>
      </c>
      <c r="P8" s="54">
        <v>0.3</v>
      </c>
      <c r="Q8" s="53">
        <v>0</v>
      </c>
      <c r="R8" s="54">
        <v>0</v>
      </c>
      <c r="S8" s="55">
        <v>7</v>
      </c>
      <c r="T8" s="54">
        <v>0.7</v>
      </c>
    </row>
    <row r="9" spans="1:20" ht="13.5" customHeight="1">
      <c r="A9" s="59">
        <v>201510</v>
      </c>
      <c r="B9" s="53">
        <v>26</v>
      </c>
      <c r="C9" s="53">
        <v>10</v>
      </c>
      <c r="D9" s="54">
        <v>0.38500000000000001</v>
      </c>
      <c r="E9" s="53">
        <v>0</v>
      </c>
      <c r="F9" s="54">
        <v>0</v>
      </c>
      <c r="G9" s="55">
        <v>16</v>
      </c>
      <c r="H9" s="54">
        <v>0.61499999999999999</v>
      </c>
      <c r="I9" s="23"/>
      <c r="J9" s="23"/>
      <c r="M9" s="55">
        <v>201510</v>
      </c>
      <c r="N9" s="53">
        <v>24</v>
      </c>
      <c r="O9" s="53">
        <v>10</v>
      </c>
      <c r="P9" s="54">
        <v>0.41699999999999998</v>
      </c>
      <c r="Q9" s="53">
        <v>0</v>
      </c>
      <c r="R9" s="54">
        <v>0</v>
      </c>
      <c r="S9" s="55">
        <v>14</v>
      </c>
      <c r="T9" s="54">
        <v>0.58299999999999996</v>
      </c>
    </row>
    <row r="10" spans="1:20" ht="13.5" customHeight="1">
      <c r="A10" s="59">
        <v>201520</v>
      </c>
      <c r="B10" s="53">
        <v>4</v>
      </c>
      <c r="C10" s="53">
        <v>3</v>
      </c>
      <c r="D10" s="54">
        <v>0.75</v>
      </c>
      <c r="E10" s="53">
        <v>0</v>
      </c>
      <c r="F10" s="54">
        <v>0</v>
      </c>
      <c r="G10" s="55">
        <v>1</v>
      </c>
      <c r="H10" s="54">
        <v>0.25</v>
      </c>
      <c r="I10" s="23"/>
      <c r="J10" s="23"/>
      <c r="M10" s="55">
        <v>201520</v>
      </c>
      <c r="N10" s="53">
        <v>3</v>
      </c>
      <c r="O10" s="53">
        <v>1</v>
      </c>
      <c r="P10" s="54">
        <v>0.33333333333333331</v>
      </c>
      <c r="Q10" s="53">
        <v>0</v>
      </c>
      <c r="R10" s="54">
        <v>0</v>
      </c>
      <c r="S10" s="55">
        <v>2</v>
      </c>
      <c r="T10" s="54">
        <v>0.66666666666666663</v>
      </c>
    </row>
    <row r="11" spans="1:20" ht="13.5" customHeight="1">
      <c r="A11" s="59">
        <v>201610</v>
      </c>
      <c r="B11" s="53">
        <v>21</v>
      </c>
      <c r="C11" s="53">
        <v>7</v>
      </c>
      <c r="D11" s="54">
        <v>0.33333333333333331</v>
      </c>
      <c r="E11" s="53">
        <v>0</v>
      </c>
      <c r="F11" s="54">
        <v>0</v>
      </c>
      <c r="G11" s="55">
        <v>14</v>
      </c>
      <c r="H11" s="54">
        <v>0.66666666666666663</v>
      </c>
      <c r="I11" s="23"/>
      <c r="J11" s="23"/>
      <c r="M11" s="55">
        <v>201610</v>
      </c>
      <c r="N11" s="53">
        <v>18</v>
      </c>
      <c r="O11" s="53">
        <v>6</v>
      </c>
      <c r="P11" s="54">
        <v>0.33333333333333331</v>
      </c>
      <c r="Q11" s="53">
        <v>0</v>
      </c>
      <c r="R11" s="54">
        <v>0</v>
      </c>
      <c r="S11" s="55">
        <v>12</v>
      </c>
      <c r="T11" s="54">
        <v>0.66666666666666663</v>
      </c>
    </row>
    <row r="12" spans="1:20" ht="13.5" customHeight="1">
      <c r="A12" s="59">
        <v>201620</v>
      </c>
      <c r="B12" s="57">
        <v>12</v>
      </c>
      <c r="C12" s="57">
        <v>5</v>
      </c>
      <c r="D12" s="58">
        <v>0.41666666666666669</v>
      </c>
      <c r="E12" s="57">
        <v>0</v>
      </c>
      <c r="F12" s="58">
        <v>0</v>
      </c>
      <c r="G12" s="57">
        <v>7</v>
      </c>
      <c r="H12" s="58">
        <v>0.58333333333333337</v>
      </c>
      <c r="I12" s="125"/>
      <c r="J12" s="125"/>
      <c r="M12" s="55">
        <v>201620</v>
      </c>
      <c r="N12" s="57">
        <v>5</v>
      </c>
      <c r="O12" s="57">
        <v>3</v>
      </c>
      <c r="P12" s="58">
        <v>0.6</v>
      </c>
      <c r="Q12" s="57">
        <v>0</v>
      </c>
      <c r="R12" s="58">
        <v>0</v>
      </c>
      <c r="S12" s="57">
        <v>2</v>
      </c>
      <c r="T12" s="58">
        <v>0.4</v>
      </c>
    </row>
    <row r="13" spans="1:20" ht="13.5" customHeight="1">
      <c r="A13" s="59">
        <v>201710</v>
      </c>
      <c r="B13" s="53">
        <v>18</v>
      </c>
      <c r="C13" s="53">
        <v>4</v>
      </c>
      <c r="D13" s="54">
        <v>0.22222222222222221</v>
      </c>
      <c r="E13" s="53">
        <v>0</v>
      </c>
      <c r="F13" s="54">
        <v>0</v>
      </c>
      <c r="G13" s="55">
        <v>14</v>
      </c>
      <c r="H13" s="54">
        <v>0.77777777777777779</v>
      </c>
      <c r="I13" s="23"/>
      <c r="J13" s="23"/>
      <c r="M13" s="55">
        <v>201710</v>
      </c>
      <c r="N13" s="53">
        <v>16</v>
      </c>
      <c r="O13" s="53">
        <v>4</v>
      </c>
      <c r="P13" s="54">
        <v>0.25</v>
      </c>
      <c r="Q13" s="53">
        <v>0</v>
      </c>
      <c r="R13" s="54">
        <v>0</v>
      </c>
      <c r="S13" s="55">
        <v>12</v>
      </c>
      <c r="T13" s="54">
        <v>0.75</v>
      </c>
    </row>
    <row r="14" spans="1:20" ht="13.5" customHeight="1">
      <c r="A14" s="59">
        <v>201720</v>
      </c>
      <c r="B14" s="53">
        <v>8</v>
      </c>
      <c r="C14" s="53">
        <v>0</v>
      </c>
      <c r="D14" s="54">
        <v>0</v>
      </c>
      <c r="E14" s="53">
        <v>0</v>
      </c>
      <c r="F14" s="54">
        <v>0</v>
      </c>
      <c r="G14" s="55">
        <v>8</v>
      </c>
      <c r="H14" s="54">
        <v>1</v>
      </c>
      <c r="I14" s="23"/>
      <c r="J14" s="23"/>
      <c r="M14" s="55">
        <v>201720</v>
      </c>
      <c r="N14" s="53">
        <v>5</v>
      </c>
      <c r="O14" s="53">
        <v>0</v>
      </c>
      <c r="P14" s="54">
        <v>0</v>
      </c>
      <c r="Q14" s="53">
        <v>0</v>
      </c>
      <c r="R14" s="54">
        <v>0</v>
      </c>
      <c r="S14" s="55">
        <v>5</v>
      </c>
      <c r="T14" s="54">
        <v>1</v>
      </c>
    </row>
    <row r="15" spans="1:20" ht="13.5" customHeight="1">
      <c r="A15" s="59">
        <v>201810</v>
      </c>
      <c r="B15" s="53">
        <v>11</v>
      </c>
      <c r="C15" s="53">
        <v>1</v>
      </c>
      <c r="D15" s="54">
        <v>9.0909090909090912E-2</v>
      </c>
      <c r="E15" s="53">
        <v>0</v>
      </c>
      <c r="F15" s="54">
        <v>0</v>
      </c>
      <c r="G15" s="55">
        <v>10</v>
      </c>
      <c r="H15" s="54">
        <v>0.90909090909090906</v>
      </c>
      <c r="I15" s="23"/>
      <c r="J15" s="23"/>
      <c r="M15" s="59">
        <v>201810</v>
      </c>
      <c r="N15" s="53">
        <v>9</v>
      </c>
      <c r="O15" s="53">
        <v>0</v>
      </c>
      <c r="P15" s="54">
        <v>0</v>
      </c>
      <c r="Q15" s="53">
        <v>0</v>
      </c>
      <c r="R15" s="54">
        <v>0</v>
      </c>
      <c r="S15" s="55">
        <v>9</v>
      </c>
      <c r="T15" s="54">
        <v>1</v>
      </c>
    </row>
    <row r="16" spans="1:20" ht="13.5" customHeight="1">
      <c r="A16" s="59">
        <v>201820</v>
      </c>
      <c r="B16" s="53">
        <v>8</v>
      </c>
      <c r="C16" s="53">
        <v>0</v>
      </c>
      <c r="D16" s="54">
        <v>0</v>
      </c>
      <c r="E16" s="53">
        <v>0</v>
      </c>
      <c r="F16" s="54">
        <v>0</v>
      </c>
      <c r="G16" s="55">
        <v>8</v>
      </c>
      <c r="H16" s="54">
        <v>1</v>
      </c>
      <c r="I16" s="23"/>
      <c r="J16" s="23"/>
      <c r="M16" s="59">
        <v>201820</v>
      </c>
      <c r="N16" s="53">
        <v>4</v>
      </c>
      <c r="O16" s="53">
        <v>0</v>
      </c>
      <c r="P16" s="54">
        <v>0</v>
      </c>
      <c r="Q16" s="53">
        <v>0</v>
      </c>
      <c r="R16" s="54">
        <v>0</v>
      </c>
      <c r="S16" s="55">
        <v>4</v>
      </c>
      <c r="T16" s="54">
        <v>1</v>
      </c>
    </row>
    <row r="17" spans="1:23" ht="13.5" customHeight="1">
      <c r="A17" s="59">
        <v>201910</v>
      </c>
      <c r="B17" s="53">
        <v>6</v>
      </c>
      <c r="C17" s="53">
        <v>0</v>
      </c>
      <c r="D17" s="54">
        <v>0</v>
      </c>
      <c r="E17" s="53">
        <v>0</v>
      </c>
      <c r="F17" s="54">
        <v>0</v>
      </c>
      <c r="G17" s="55">
        <v>6</v>
      </c>
      <c r="H17" s="54">
        <v>1</v>
      </c>
      <c r="I17" s="23"/>
      <c r="J17" s="23"/>
      <c r="M17" s="59">
        <v>201910</v>
      </c>
      <c r="N17" s="53">
        <v>1</v>
      </c>
      <c r="O17" s="53">
        <v>0</v>
      </c>
      <c r="P17" s="54">
        <v>0</v>
      </c>
      <c r="Q17" s="53">
        <v>0</v>
      </c>
      <c r="R17" s="54">
        <v>0</v>
      </c>
      <c r="S17" s="55">
        <v>1</v>
      </c>
      <c r="T17" s="54">
        <v>1</v>
      </c>
    </row>
    <row r="18" spans="1:23" ht="13.5" customHeight="1">
      <c r="A18" s="59">
        <v>201920</v>
      </c>
      <c r="B18" s="53">
        <v>3</v>
      </c>
      <c r="C18" s="53">
        <v>3</v>
      </c>
      <c r="D18" s="54">
        <v>1</v>
      </c>
      <c r="E18" s="53">
        <v>0</v>
      </c>
      <c r="F18" s="54">
        <v>0</v>
      </c>
      <c r="G18" s="55">
        <v>0</v>
      </c>
      <c r="H18" s="54">
        <v>0</v>
      </c>
      <c r="I18" s="23"/>
      <c r="J18" s="23"/>
      <c r="M18" s="59">
        <v>201920</v>
      </c>
      <c r="N18" s="53">
        <v>1</v>
      </c>
      <c r="O18" s="53">
        <v>1</v>
      </c>
      <c r="P18" s="54">
        <v>1</v>
      </c>
      <c r="Q18" s="53">
        <v>0</v>
      </c>
      <c r="R18" s="54">
        <v>0</v>
      </c>
      <c r="S18" s="55">
        <v>0</v>
      </c>
      <c r="T18" s="54">
        <v>0</v>
      </c>
    </row>
    <row r="19" spans="1:23" ht="13.5" customHeight="1">
      <c r="A19" s="59">
        <v>202010</v>
      </c>
      <c r="B19" s="53">
        <v>15</v>
      </c>
      <c r="C19" s="53">
        <v>5</v>
      </c>
      <c r="D19" s="54">
        <v>0.33333333333333331</v>
      </c>
      <c r="E19" s="53">
        <v>0</v>
      </c>
      <c r="F19" s="54">
        <v>0</v>
      </c>
      <c r="G19" s="55">
        <v>10</v>
      </c>
      <c r="H19" s="54">
        <v>0.66666666666666663</v>
      </c>
      <c r="I19" s="23"/>
      <c r="J19" s="23"/>
      <c r="M19" s="59">
        <v>202010</v>
      </c>
      <c r="N19" s="53">
        <v>14</v>
      </c>
      <c r="O19" s="53">
        <v>5</v>
      </c>
      <c r="P19" s="54">
        <v>0.35714285714285721</v>
      </c>
      <c r="Q19" s="53">
        <v>0</v>
      </c>
      <c r="R19" s="54">
        <v>0</v>
      </c>
      <c r="S19" s="55">
        <v>9</v>
      </c>
      <c r="T19" s="54">
        <v>0.6428571428571429</v>
      </c>
    </row>
    <row r="20" spans="1:23" ht="14.25" customHeight="1">
      <c r="A20" s="59">
        <v>202020</v>
      </c>
      <c r="B20" s="53">
        <v>7</v>
      </c>
      <c r="C20" s="53">
        <v>1</v>
      </c>
      <c r="D20" s="54">
        <v>0.14285714285714285</v>
      </c>
      <c r="E20" s="53">
        <v>0</v>
      </c>
      <c r="F20" s="54">
        <v>0</v>
      </c>
      <c r="G20" s="55">
        <v>6</v>
      </c>
      <c r="H20" s="54">
        <v>0.8571428571428571</v>
      </c>
      <c r="I20" s="23"/>
      <c r="J20" s="23"/>
      <c r="M20" s="59">
        <v>202020</v>
      </c>
      <c r="N20" s="53">
        <v>3</v>
      </c>
      <c r="O20" s="53">
        <v>1</v>
      </c>
      <c r="P20" s="54">
        <v>0.33333333333333331</v>
      </c>
      <c r="Q20" s="53">
        <v>0</v>
      </c>
      <c r="R20" s="54">
        <v>0</v>
      </c>
      <c r="S20" s="55">
        <v>2</v>
      </c>
      <c r="T20" s="54">
        <v>0.66666666666666663</v>
      </c>
    </row>
    <row r="21" spans="1:23" ht="14.25" customHeight="1">
      <c r="A21" s="59">
        <v>202110</v>
      </c>
      <c r="B21" s="53">
        <v>9</v>
      </c>
      <c r="C21" s="53">
        <v>1</v>
      </c>
      <c r="D21" s="54">
        <v>0.1111111111111111</v>
      </c>
      <c r="E21" s="53">
        <v>0</v>
      </c>
      <c r="F21" s="54">
        <v>0</v>
      </c>
      <c r="G21" s="55">
        <v>8</v>
      </c>
      <c r="H21" s="54">
        <v>0.88888888888888884</v>
      </c>
      <c r="I21" s="23"/>
      <c r="J21" s="23"/>
      <c r="M21" s="59">
        <v>202110</v>
      </c>
      <c r="N21" s="53">
        <v>7</v>
      </c>
      <c r="O21" s="53">
        <v>1</v>
      </c>
      <c r="P21" s="54">
        <v>0.14285714285714279</v>
      </c>
      <c r="Q21" s="53">
        <v>0</v>
      </c>
      <c r="R21" s="54">
        <v>0</v>
      </c>
      <c r="S21" s="55">
        <v>6</v>
      </c>
      <c r="T21" s="54">
        <v>0.8571428571428571</v>
      </c>
    </row>
    <row r="22" spans="1:23" ht="14.25" customHeight="1">
      <c r="A22" s="59">
        <v>202120</v>
      </c>
      <c r="B22" s="53">
        <v>8</v>
      </c>
      <c r="C22" s="53">
        <v>4</v>
      </c>
      <c r="D22" s="54">
        <v>0.5</v>
      </c>
      <c r="E22" s="53">
        <v>0</v>
      </c>
      <c r="F22" s="54">
        <v>0</v>
      </c>
      <c r="G22" s="55">
        <v>4</v>
      </c>
      <c r="H22" s="54">
        <v>0.5</v>
      </c>
      <c r="I22" s="23"/>
      <c r="J22" s="23"/>
      <c r="M22" s="59">
        <v>202120</v>
      </c>
      <c r="N22" s="53">
        <v>6</v>
      </c>
      <c r="O22" s="53">
        <v>3</v>
      </c>
      <c r="P22" s="54">
        <v>0.5</v>
      </c>
      <c r="Q22" s="53">
        <v>0</v>
      </c>
      <c r="R22" s="54">
        <v>0</v>
      </c>
      <c r="S22" s="55">
        <v>3</v>
      </c>
      <c r="T22" s="54">
        <v>0.5</v>
      </c>
    </row>
    <row r="23" spans="1:23" ht="14.25" customHeight="1">
      <c r="A23" s="98">
        <v>202210</v>
      </c>
      <c r="B23" s="103" cm="1">
        <f t="array" ref="B23">IF(RIGHT($A23,2)="10",_xlfn.XLOOKUP("QUI"&amp;$A23,[1]PROGRAMA!$A:$A&amp;[1]PROGRAMA!$B:$B,[1]PROGRAMA!C:C,0),_xlfn.XLOOKUP("QUI"&amp;$A23,[2]PROGRAMA!$A:$A&amp;[2]PROGRAMA!$B:$B,[2]PROGRAMA!C:C,0))</f>
        <v>13</v>
      </c>
      <c r="C23" s="103" cm="1">
        <f t="array" ref="C23">IF(RIGHT($A23,2)="10",_xlfn.XLOOKUP("QUI"&amp;$A23,[1]PROGRAMA!$A:$A&amp;[1]PROGRAMA!$B:$B,[1]PROGRAMA!D:D,0),_xlfn.XLOOKUP("QUI"&amp;$A23,[2]PROGRAMA!$A:$A&amp;[2]PROGRAMA!$B:$B,[2]PROGRAMA!D:D,0))</f>
        <v>2</v>
      </c>
      <c r="D23" s="68">
        <f>IFERROR(C23/$B23,0)</f>
        <v>0.15384615384615385</v>
      </c>
      <c r="E23" s="103" cm="1">
        <f t="array" ref="E23">IF(RIGHT($A23,2)="10",_xlfn.XLOOKUP("QUI"&amp;$A23,[1]PROGRAMA!$A:$A&amp;[1]PROGRAMA!$B:$B,[1]PROGRAMA!E:E,0),_xlfn.XLOOKUP("QUI"&amp;$A23,[2]PROGRAMA!$A:$A&amp;[2]PROGRAMA!$B:$B,[2]PROGRAMA!E:E,0))</f>
        <v>0</v>
      </c>
      <c r="F23" s="68">
        <f>IFERROR(E23/$B23,0)</f>
        <v>0</v>
      </c>
      <c r="G23" s="104">
        <f>B23-C23</f>
        <v>11</v>
      </c>
      <c r="H23" s="68">
        <f>IFERROR(G23/$B23,0)</f>
        <v>0.84615384615384615</v>
      </c>
      <c r="I23" s="128"/>
      <c r="J23" s="128"/>
      <c r="M23" s="98">
        <v>202210</v>
      </c>
      <c r="N23" s="103" cm="1">
        <f t="array" ref="N23">IF(RIGHT($A23,2)="10",_xlfn.XLOOKUP("QUI"&amp;$A23,'[1]PROGRAMA 123'!$A:$A&amp;'[1]PROGRAMA 123'!$B:$B,'[1]PROGRAMA 123'!C:C,0),_xlfn.XLOOKUP("QUI"&amp;$A23,'[2]PROGRAMA 123'!$A:$A&amp;'[2]PROGRAMA 123'!$B:$B,'[2]PROGRAMA 123'!C:C,0))</f>
        <v>9</v>
      </c>
      <c r="O23" s="103" cm="1">
        <f t="array" ref="O23">IF(RIGHT($A23,2)="10",_xlfn.XLOOKUP("QUI"&amp;$A23,'[1]PROGRAMA 123'!$A:$A&amp;'[1]PROGRAMA 123'!$B:$B,'[1]PROGRAMA 123'!D:D,0),_xlfn.XLOOKUP("QUI"&amp;$A23,'[2]PROGRAMA 123'!$A:$A&amp;'[2]PROGRAMA 123'!$B:$B,'[2]PROGRAMA 123'!D:D,0))</f>
        <v>1</v>
      </c>
      <c r="P23" s="68">
        <f>IFERROR(O23/$N23,0)</f>
        <v>0.1111111111111111</v>
      </c>
      <c r="Q23" s="103" cm="1">
        <f t="array" ref="Q23">IF(RIGHT($A23,2)="10",_xlfn.XLOOKUP("QUI"&amp;$A23,'[1]PROGRAMA 123'!$A:$A&amp;'[1]PROGRAMA 123'!$B:$B,'[1]PROGRAMA 123'!E:E,0),_xlfn.XLOOKUP("QUI"&amp;$A23,'[2]PROGRAMA 123'!$A:$A&amp;'[2]PROGRAMA 123'!$B:$B,'[2]PROGRAMA 123'!E:E,0))</f>
        <v>0</v>
      </c>
      <c r="R23" s="68">
        <f>IFERROR(Q23/$N23,0)</f>
        <v>0</v>
      </c>
      <c r="S23" s="104">
        <f>N23-O23</f>
        <v>8</v>
      </c>
      <c r="T23" s="68">
        <f>IFERROR(S23/$N23,0)</f>
        <v>0.88888888888888884</v>
      </c>
    </row>
    <row r="24" spans="1:23" ht="14.25" customHeight="1">
      <c r="A24" s="98">
        <v>202220</v>
      </c>
      <c r="B24" s="103" cm="1">
        <f t="array" ref="B24">IF(RIGHT($A24,2)="10",_xlfn.XLOOKUP("QUI"&amp;$A24,[1]PROGRAMA!$A:$A&amp;[1]PROGRAMA!$B:$B,[1]PROGRAMA!C:C,0),_xlfn.XLOOKUP("QUI"&amp;$A24,[2]PROGRAMA!$A:$A&amp;[2]PROGRAMA!$B:$B,[2]PROGRAMA!C:C,0))</f>
        <v>3</v>
      </c>
      <c r="C24" s="103" cm="1">
        <f t="array" ref="C24">IF(RIGHT($A24,2)="10",_xlfn.XLOOKUP("QUI"&amp;$A24,[1]PROGRAMA!$A:$A&amp;[1]PROGRAMA!$B:$B,[1]PROGRAMA!D:D,0),_xlfn.XLOOKUP("QUI"&amp;$A24,[2]PROGRAMA!$A:$A&amp;[2]PROGRAMA!$B:$B,[2]PROGRAMA!D:D,0))</f>
        <v>0</v>
      </c>
      <c r="D24" s="68">
        <f>IFERROR(C24/$B24,0)</f>
        <v>0</v>
      </c>
      <c r="E24" s="103" cm="1">
        <f t="array" ref="E24">IF(RIGHT($A24,2)="10",_xlfn.XLOOKUP("QUI"&amp;$A24,[1]PROGRAMA!$A:$A&amp;[1]PROGRAMA!$B:$B,[1]PROGRAMA!E:E,0),_xlfn.XLOOKUP("QUI"&amp;$A24,[2]PROGRAMA!$A:$A&amp;[2]PROGRAMA!$B:$B,[2]PROGRAMA!E:E,0))</f>
        <v>0</v>
      </c>
      <c r="F24" s="68">
        <f>IFERROR(E24/$B24,0)</f>
        <v>0</v>
      </c>
      <c r="G24" s="104">
        <f>B24-C24</f>
        <v>3</v>
      </c>
      <c r="H24" s="68">
        <f>IFERROR(G24/$B24,0)</f>
        <v>1</v>
      </c>
      <c r="I24" s="128"/>
      <c r="J24" s="128"/>
      <c r="M24" s="98">
        <v>202220</v>
      </c>
      <c r="N24" s="103" cm="1">
        <f t="array" ref="N24">IF(RIGHT($A24,2)="10",_xlfn.XLOOKUP("QUI"&amp;$A24,'[1]PROGRAMA 123'!$A:$A&amp;'[1]PROGRAMA 123'!$B:$B,'[1]PROGRAMA 123'!C:C,0),_xlfn.XLOOKUP("QUI"&amp;$A24,'[2]PROGRAMA 123'!$A:$A&amp;'[2]PROGRAMA 123'!$B:$B,'[2]PROGRAMA 123'!C:C,0))</f>
        <v>3</v>
      </c>
      <c r="O24" s="103" cm="1">
        <f t="array" ref="O24">IF(RIGHT($A24,2)="10",_xlfn.XLOOKUP("QUI"&amp;$A24,'[1]PROGRAMA 123'!$A:$A&amp;'[1]PROGRAMA 123'!$B:$B,'[1]PROGRAMA 123'!D:D,0),_xlfn.XLOOKUP("QUI"&amp;$A24,'[2]PROGRAMA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IF(RIGHT($A24,2)="10",_xlfn.XLOOKUP("QUI"&amp;$A24,'[1]PROGRAMA 123'!$A:$A&amp;'[1]PROGRAMA 123'!$B:$B,'[1]PROGRAMA 123'!E:E,0),_xlfn.XLOOKUP("QUI"&amp;$A24,'[2]PROGRAMA 123'!$A:$A&amp;'[2]PROGRAMA 123'!$B:$B,'[2]PROGRAMA 123'!E:E,0))</f>
        <v>0</v>
      </c>
      <c r="R24" s="68">
        <f>IFERROR(Q24/$N24,0)</f>
        <v>0</v>
      </c>
      <c r="S24" s="104">
        <f>N24-O24</f>
        <v>3</v>
      </c>
      <c r="T24" s="68">
        <f>IFERROR(S24/$N24,0)</f>
        <v>1</v>
      </c>
    </row>
    <row r="25" spans="1:23" ht="14.25" customHeight="1">
      <c r="A25" s="98" t="s">
        <v>239</v>
      </c>
      <c r="B25" s="103">
        <v>10</v>
      </c>
      <c r="C25" s="103">
        <v>6</v>
      </c>
      <c r="D25" s="68">
        <v>0.6</v>
      </c>
      <c r="E25" s="103">
        <v>0</v>
      </c>
      <c r="F25" s="68">
        <v>0</v>
      </c>
      <c r="G25" s="104">
        <v>4</v>
      </c>
      <c r="H25" s="68">
        <v>0.4</v>
      </c>
      <c r="I25" s="128"/>
      <c r="J25" s="128"/>
      <c r="M25" s="98" t="s">
        <v>239</v>
      </c>
      <c r="N25" s="103">
        <v>7</v>
      </c>
      <c r="O25" s="103">
        <v>4</v>
      </c>
      <c r="P25" s="68">
        <v>0.5714285714285714</v>
      </c>
      <c r="Q25" s="103">
        <v>0</v>
      </c>
      <c r="R25" s="68">
        <v>0</v>
      </c>
      <c r="S25" s="104">
        <v>3</v>
      </c>
      <c r="T25" s="68">
        <v>0.42857142857142849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0.55555555555555558</v>
      </c>
      <c r="B29" s="37">
        <f>+((B6*D6)+(B7*D7))/(B6+B7)</f>
        <v>0.52</v>
      </c>
      <c r="C29" s="32">
        <f>((B8*D8)+(B9*D9))/(B8+B9)</f>
        <v>0.41899999999999998</v>
      </c>
      <c r="D29" s="32">
        <f>+((B10*D10)+(B11*D11))/(B10+B11)</f>
        <v>0.4</v>
      </c>
      <c r="E29" s="32">
        <f>((B12*D12)+(B13*D13))/(B12+B13)</f>
        <v>0.3</v>
      </c>
      <c r="F29" s="32">
        <f>((B14*D14)+(B15*D15))/(B14+B15)</f>
        <v>5.2631578947368418E-2</v>
      </c>
      <c r="G29" s="32">
        <f>((B16*D16)+(B17*D17))/(B16+B17)</f>
        <v>0</v>
      </c>
      <c r="H29" s="32">
        <f>((B18*D18)+(B19*D19))/(B18+B19)</f>
        <v>0.44444444444444442</v>
      </c>
      <c r="I29" s="32">
        <f>((B20*D20)+(B21*D21))/(B20+B21)</f>
        <v>0.125</v>
      </c>
      <c r="J29" s="32">
        <f>(C22+C23)/(B22+B23)</f>
        <v>0.2857142857142857</v>
      </c>
      <c r="K29" s="32">
        <f>D24</f>
        <v>0</v>
      </c>
      <c r="L29" s="6"/>
      <c r="M29" s="37">
        <f>P5</f>
        <v>0.5714285714285714</v>
      </c>
      <c r="N29" s="37">
        <f>+((N6*P6)+(N7*P7))/(N6+N7)</f>
        <v>0.49988888888888883</v>
      </c>
      <c r="O29" s="32">
        <f>((N8*P8)+(N9*P9))/(N8+N9)</f>
        <v>0.38258823529411762</v>
      </c>
      <c r="P29" s="32">
        <f>+((N10*P10)+(N11*P11))/(N10+N11)</f>
        <v>0.33333333333333331</v>
      </c>
      <c r="Q29" s="32">
        <f>((N12*P12)+(N13*P13))/(N12+N13)</f>
        <v>0.33333333333333331</v>
      </c>
      <c r="R29" s="32">
        <f>((N14*P14)+(N15*P15))/(N14+N15)</f>
        <v>0</v>
      </c>
      <c r="S29" s="32">
        <f>((N16*P16)+(N17*P17))/(N16+N17)</f>
        <v>0</v>
      </c>
      <c r="T29" s="32">
        <f>((N18*P18)+(N19*P19))/(N18+N19)</f>
        <v>0.40000000000000008</v>
      </c>
      <c r="U29" s="32">
        <f>((N20*P20)+(N21*P21))/(N20+N21)</f>
        <v>0.19999999999999996</v>
      </c>
      <c r="V29" s="32">
        <f>(O22+O23)/(N22+N23)</f>
        <v>0.26666666666666666</v>
      </c>
      <c r="W29" s="32">
        <f>P24</f>
        <v>0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K31"/>
    <mergeCell ref="M30:V30"/>
    <mergeCell ref="M31:W31"/>
    <mergeCell ref="A1:H1"/>
    <mergeCell ref="M1:T1"/>
    <mergeCell ref="A3:H3"/>
    <mergeCell ref="A2:H2"/>
    <mergeCell ref="M3:T3"/>
    <mergeCell ref="M2:T2"/>
    <mergeCell ref="A30:J30"/>
    <mergeCell ref="M27:W27"/>
    <mergeCell ref="A27:K27"/>
  </mergeCells>
  <pageMargins left="0.7" right="0.7" top="0.75" bottom="0.75" header="0.3" footer="0.3"/>
  <pageSetup orientation="portrait" r:id="rId1"/>
  <ignoredErrors>
    <ignoredError sqref="M23:T24 E23:K24" formula="1"/>
    <ignoredError sqref="M25 A25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  <c r="L2" s="19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195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196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K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40</v>
      </c>
      <c r="C5" s="57">
        <v>19</v>
      </c>
      <c r="D5" s="58">
        <v>0.47499999999999998</v>
      </c>
      <c r="E5" s="57">
        <v>0</v>
      </c>
      <c r="F5" s="58">
        <v>0</v>
      </c>
      <c r="G5" s="57">
        <v>21</v>
      </c>
      <c r="H5" s="58">
        <v>0.52500000000000002</v>
      </c>
      <c r="I5" s="125"/>
      <c r="J5" s="125"/>
      <c r="K5" s="125"/>
      <c r="M5" s="55">
        <v>201310</v>
      </c>
      <c r="N5" s="57">
        <v>35</v>
      </c>
      <c r="O5" s="57">
        <v>16</v>
      </c>
      <c r="P5" s="58">
        <v>0.45714285714285713</v>
      </c>
      <c r="Q5" s="57">
        <v>0</v>
      </c>
      <c r="R5" s="58">
        <v>0</v>
      </c>
      <c r="S5" s="57">
        <v>19</v>
      </c>
      <c r="T5" s="58">
        <v>0.54285714285714282</v>
      </c>
    </row>
    <row r="6" spans="1:20" ht="13.5" customHeight="1">
      <c r="A6" s="59">
        <v>201320</v>
      </c>
      <c r="B6" s="57">
        <v>45</v>
      </c>
      <c r="C6" s="57">
        <v>17</v>
      </c>
      <c r="D6" s="76">
        <v>0.37777777777777777</v>
      </c>
      <c r="E6" s="57">
        <v>0</v>
      </c>
      <c r="F6" s="76">
        <v>0</v>
      </c>
      <c r="G6" s="59">
        <v>28</v>
      </c>
      <c r="H6" s="76">
        <v>0.62222222222222223</v>
      </c>
      <c r="I6" s="127"/>
      <c r="J6" s="127"/>
      <c r="K6" s="127"/>
      <c r="M6" s="55">
        <v>201320</v>
      </c>
      <c r="N6" s="53">
        <v>26</v>
      </c>
      <c r="O6" s="53">
        <v>9</v>
      </c>
      <c r="P6" s="54">
        <v>0.34615384615384615</v>
      </c>
      <c r="Q6" s="53">
        <v>0</v>
      </c>
      <c r="R6" s="54">
        <v>0</v>
      </c>
      <c r="S6" s="55">
        <v>17</v>
      </c>
      <c r="T6" s="54">
        <v>0.65384615384615385</v>
      </c>
    </row>
    <row r="7" spans="1:20" ht="13.5" customHeight="1">
      <c r="A7" s="59">
        <v>201410</v>
      </c>
      <c r="B7" s="57">
        <v>44</v>
      </c>
      <c r="C7" s="57">
        <v>14</v>
      </c>
      <c r="D7" s="58">
        <v>0.318</v>
      </c>
      <c r="E7" s="57">
        <v>0</v>
      </c>
      <c r="F7" s="58">
        <v>0</v>
      </c>
      <c r="G7" s="57">
        <v>30</v>
      </c>
      <c r="H7" s="58">
        <v>0.68200000000000005</v>
      </c>
      <c r="I7" s="125"/>
      <c r="J7" s="125"/>
      <c r="K7" s="125"/>
      <c r="M7" s="55">
        <v>201410</v>
      </c>
      <c r="N7" s="53">
        <v>38</v>
      </c>
      <c r="O7" s="53">
        <v>12</v>
      </c>
      <c r="P7" s="54">
        <v>0.316</v>
      </c>
      <c r="Q7" s="53">
        <v>0</v>
      </c>
      <c r="R7" s="54">
        <v>0</v>
      </c>
      <c r="S7" s="55">
        <v>26</v>
      </c>
      <c r="T7" s="54">
        <v>0.68400000000000005</v>
      </c>
    </row>
    <row r="8" spans="1:20" ht="13.5" customHeight="1">
      <c r="A8" s="59">
        <v>201420</v>
      </c>
      <c r="B8" s="53">
        <v>72</v>
      </c>
      <c r="C8" s="53">
        <v>28</v>
      </c>
      <c r="D8" s="54">
        <v>0.38900000000000001</v>
      </c>
      <c r="E8" s="53">
        <v>0</v>
      </c>
      <c r="F8" s="54">
        <v>0</v>
      </c>
      <c r="G8" s="55">
        <v>44</v>
      </c>
      <c r="H8" s="54">
        <v>0.61099999999999999</v>
      </c>
      <c r="I8" s="23"/>
      <c r="J8" s="23"/>
      <c r="K8" s="23"/>
      <c r="M8" s="55">
        <v>201420</v>
      </c>
      <c r="N8" s="53">
        <v>52</v>
      </c>
      <c r="O8" s="53">
        <v>20</v>
      </c>
      <c r="P8" s="54">
        <v>0.38500000000000001</v>
      </c>
      <c r="Q8" s="53">
        <v>0</v>
      </c>
      <c r="R8" s="54">
        <v>0</v>
      </c>
      <c r="S8" s="55">
        <v>32</v>
      </c>
      <c r="T8" s="54">
        <v>0.61499999999999999</v>
      </c>
    </row>
    <row r="9" spans="1:20" ht="13.5" customHeight="1">
      <c r="A9" s="59">
        <v>201510</v>
      </c>
      <c r="B9" s="53">
        <v>66</v>
      </c>
      <c r="C9" s="53">
        <v>15</v>
      </c>
      <c r="D9" s="54">
        <v>0.22700000000000001</v>
      </c>
      <c r="E9" s="53">
        <v>0</v>
      </c>
      <c r="F9" s="54">
        <v>0</v>
      </c>
      <c r="G9" s="55">
        <v>51</v>
      </c>
      <c r="H9" s="54">
        <v>0.77300000000000002</v>
      </c>
      <c r="I9" s="23"/>
      <c r="J9" s="23"/>
      <c r="K9" s="23"/>
      <c r="M9" s="55">
        <v>201510</v>
      </c>
      <c r="N9" s="53">
        <v>58</v>
      </c>
      <c r="O9" s="53">
        <v>15</v>
      </c>
      <c r="P9" s="54">
        <v>0.25900000000000001</v>
      </c>
      <c r="Q9" s="53">
        <v>0</v>
      </c>
      <c r="R9" s="54">
        <v>0</v>
      </c>
      <c r="S9" s="55">
        <v>43</v>
      </c>
      <c r="T9" s="54">
        <v>0.74099999999999999</v>
      </c>
    </row>
    <row r="10" spans="1:20" ht="13.5" customHeight="1">
      <c r="A10" s="59">
        <v>201520</v>
      </c>
      <c r="B10" s="53">
        <v>36</v>
      </c>
      <c r="C10" s="53">
        <v>8</v>
      </c>
      <c r="D10" s="54">
        <v>0.22222222222222221</v>
      </c>
      <c r="E10" s="53">
        <v>0</v>
      </c>
      <c r="F10" s="54">
        <v>0</v>
      </c>
      <c r="G10" s="55">
        <v>28</v>
      </c>
      <c r="H10" s="54">
        <v>0.77777777777777779</v>
      </c>
      <c r="I10" s="23"/>
      <c r="J10" s="23"/>
      <c r="K10" s="23"/>
      <c r="M10" s="55">
        <v>201520</v>
      </c>
      <c r="N10" s="53">
        <v>19</v>
      </c>
      <c r="O10" s="53">
        <v>3</v>
      </c>
      <c r="P10" s="54">
        <v>0.15789473684210525</v>
      </c>
      <c r="Q10" s="53">
        <v>0</v>
      </c>
      <c r="R10" s="54">
        <v>0</v>
      </c>
      <c r="S10" s="55">
        <v>16</v>
      </c>
      <c r="T10" s="54">
        <v>0.84210526315789469</v>
      </c>
    </row>
    <row r="11" spans="1:20" ht="13.5" customHeight="1">
      <c r="A11" s="59">
        <v>201610</v>
      </c>
      <c r="B11" s="53">
        <v>58</v>
      </c>
      <c r="C11" s="53">
        <v>13</v>
      </c>
      <c r="D11" s="54">
        <v>0.22413793103448276</v>
      </c>
      <c r="E11" s="53">
        <v>0</v>
      </c>
      <c r="F11" s="54">
        <v>0</v>
      </c>
      <c r="G11" s="55">
        <v>45</v>
      </c>
      <c r="H11" s="54">
        <v>0.77586206896551724</v>
      </c>
      <c r="I11" s="23"/>
      <c r="J11" s="23"/>
      <c r="K11" s="23"/>
      <c r="M11" s="55">
        <v>201610</v>
      </c>
      <c r="N11" s="53">
        <v>51</v>
      </c>
      <c r="O11" s="53">
        <v>11</v>
      </c>
      <c r="P11" s="54">
        <v>0.21568627450980393</v>
      </c>
      <c r="Q11" s="53">
        <v>0</v>
      </c>
      <c r="R11" s="54">
        <v>0</v>
      </c>
      <c r="S11" s="55">
        <v>40</v>
      </c>
      <c r="T11" s="54">
        <v>0.78431372549019607</v>
      </c>
    </row>
    <row r="12" spans="1:20" ht="13.5" customHeight="1">
      <c r="A12" s="59">
        <v>201620</v>
      </c>
      <c r="B12" s="57">
        <v>54</v>
      </c>
      <c r="C12" s="57">
        <v>16</v>
      </c>
      <c r="D12" s="58">
        <v>0.29629629629629628</v>
      </c>
      <c r="E12" s="57">
        <v>0</v>
      </c>
      <c r="F12" s="58">
        <v>0</v>
      </c>
      <c r="G12" s="57">
        <v>38</v>
      </c>
      <c r="H12" s="58">
        <v>0.70370370370370372</v>
      </c>
      <c r="I12" s="125"/>
      <c r="J12" s="125"/>
      <c r="K12" s="125"/>
      <c r="M12" s="55">
        <v>201620</v>
      </c>
      <c r="N12" s="57">
        <v>25</v>
      </c>
      <c r="O12" s="57">
        <v>9</v>
      </c>
      <c r="P12" s="58">
        <v>0.36</v>
      </c>
      <c r="Q12" s="57">
        <v>0</v>
      </c>
      <c r="R12" s="58">
        <v>0</v>
      </c>
      <c r="S12" s="57">
        <v>16</v>
      </c>
      <c r="T12" s="58">
        <v>0.64</v>
      </c>
    </row>
    <row r="13" spans="1:20" ht="13.5" customHeight="1">
      <c r="A13" s="59">
        <v>201710</v>
      </c>
      <c r="B13" s="53">
        <v>73</v>
      </c>
      <c r="C13" s="53">
        <v>18</v>
      </c>
      <c r="D13" s="54">
        <v>0.24657534246575341</v>
      </c>
      <c r="E13" s="53">
        <v>0</v>
      </c>
      <c r="F13" s="54">
        <v>0</v>
      </c>
      <c r="G13" s="55">
        <v>55</v>
      </c>
      <c r="H13" s="54">
        <v>0.75342465753424659</v>
      </c>
      <c r="I13" s="23"/>
      <c r="J13" s="23"/>
      <c r="K13" s="23"/>
      <c r="M13" s="55">
        <v>201710</v>
      </c>
      <c r="N13" s="53">
        <v>59</v>
      </c>
      <c r="O13" s="53">
        <v>12</v>
      </c>
      <c r="P13" s="54">
        <v>0.20338983050847459</v>
      </c>
      <c r="Q13" s="53">
        <v>0</v>
      </c>
      <c r="R13" s="54">
        <v>0</v>
      </c>
      <c r="S13" s="55">
        <v>47</v>
      </c>
      <c r="T13" s="54">
        <v>0.79661016949152541</v>
      </c>
    </row>
    <row r="14" spans="1:20" ht="13.5" customHeight="1">
      <c r="A14" s="59">
        <v>201720</v>
      </c>
      <c r="B14" s="53">
        <v>49</v>
      </c>
      <c r="C14" s="53">
        <v>14</v>
      </c>
      <c r="D14" s="54">
        <v>0.2857142857142857</v>
      </c>
      <c r="E14" s="53">
        <v>0</v>
      </c>
      <c r="F14" s="54">
        <v>0</v>
      </c>
      <c r="G14" s="55">
        <v>35</v>
      </c>
      <c r="H14" s="54">
        <v>0.7142857142857143</v>
      </c>
      <c r="I14" s="23"/>
      <c r="J14" s="23"/>
      <c r="K14" s="23"/>
      <c r="M14" s="55">
        <v>201720</v>
      </c>
      <c r="N14" s="53">
        <v>30</v>
      </c>
      <c r="O14" s="53">
        <v>8</v>
      </c>
      <c r="P14" s="54">
        <v>0.26666666666666666</v>
      </c>
      <c r="Q14" s="53">
        <v>0</v>
      </c>
      <c r="R14" s="54">
        <v>0</v>
      </c>
      <c r="S14" s="55">
        <v>22</v>
      </c>
      <c r="T14" s="54">
        <v>0.73333333333333328</v>
      </c>
    </row>
    <row r="15" spans="1:20" ht="13.5" customHeight="1">
      <c r="A15" s="59">
        <v>201810</v>
      </c>
      <c r="B15" s="53">
        <v>61</v>
      </c>
      <c r="C15" s="53">
        <v>10</v>
      </c>
      <c r="D15" s="54">
        <v>0.16393442622950818</v>
      </c>
      <c r="E15" s="53">
        <v>0</v>
      </c>
      <c r="F15" s="54">
        <v>0</v>
      </c>
      <c r="G15" s="55">
        <v>51</v>
      </c>
      <c r="H15" s="54">
        <v>0.83606557377049184</v>
      </c>
      <c r="I15" s="23"/>
      <c r="J15" s="23"/>
      <c r="K15" s="23"/>
      <c r="M15" s="59">
        <v>201810</v>
      </c>
      <c r="N15" s="53">
        <v>48</v>
      </c>
      <c r="O15" s="53">
        <v>7</v>
      </c>
      <c r="P15" s="54">
        <v>0.14583333333333334</v>
      </c>
      <c r="Q15" s="53">
        <v>0</v>
      </c>
      <c r="R15" s="54">
        <v>0</v>
      </c>
      <c r="S15" s="55">
        <v>41</v>
      </c>
      <c r="T15" s="54">
        <v>0.85416666666666663</v>
      </c>
    </row>
    <row r="16" spans="1:20" ht="13.5" customHeight="1">
      <c r="A16" s="59">
        <v>201820</v>
      </c>
      <c r="B16" s="53">
        <v>39</v>
      </c>
      <c r="C16" s="53">
        <v>8</v>
      </c>
      <c r="D16" s="54">
        <v>0.20512820512820512</v>
      </c>
      <c r="E16" s="53">
        <v>0</v>
      </c>
      <c r="F16" s="54">
        <v>0</v>
      </c>
      <c r="G16" s="55">
        <v>31</v>
      </c>
      <c r="H16" s="54">
        <v>0.79487179487179482</v>
      </c>
      <c r="I16" s="23"/>
      <c r="J16" s="23"/>
      <c r="K16" s="23"/>
      <c r="M16" s="59">
        <v>201820</v>
      </c>
      <c r="N16" s="53">
        <v>18</v>
      </c>
      <c r="O16" s="53">
        <v>5</v>
      </c>
      <c r="P16" s="54">
        <v>0.27777777777777779</v>
      </c>
      <c r="Q16" s="53">
        <v>0</v>
      </c>
      <c r="R16" s="54">
        <v>0</v>
      </c>
      <c r="S16" s="55">
        <v>13</v>
      </c>
      <c r="T16" s="54">
        <v>0.72222222222222221</v>
      </c>
    </row>
    <row r="17" spans="1:23" ht="13.5" customHeight="1">
      <c r="A17" s="59">
        <v>201910</v>
      </c>
      <c r="B17" s="53">
        <v>43</v>
      </c>
      <c r="C17" s="53">
        <v>4</v>
      </c>
      <c r="D17" s="54">
        <v>9.3023255813953487E-2</v>
      </c>
      <c r="E17" s="53">
        <v>0</v>
      </c>
      <c r="F17" s="54">
        <v>0</v>
      </c>
      <c r="G17" s="55">
        <v>39</v>
      </c>
      <c r="H17" s="54">
        <v>0.90697674418604646</v>
      </c>
      <c r="I17" s="23"/>
      <c r="J17" s="23"/>
      <c r="K17" s="23"/>
      <c r="M17" s="59">
        <v>201910</v>
      </c>
      <c r="N17" s="53">
        <v>33</v>
      </c>
      <c r="O17" s="53">
        <v>3</v>
      </c>
      <c r="P17" s="54">
        <v>9.0909090909090912E-2</v>
      </c>
      <c r="Q17" s="53">
        <v>0</v>
      </c>
      <c r="R17" s="54">
        <v>0</v>
      </c>
      <c r="S17" s="55">
        <v>30</v>
      </c>
      <c r="T17" s="54">
        <v>0.90909090909090906</v>
      </c>
    </row>
    <row r="18" spans="1:23" ht="13.5" customHeight="1">
      <c r="A18" s="59">
        <v>201920</v>
      </c>
      <c r="B18" s="53">
        <v>44</v>
      </c>
      <c r="C18" s="53">
        <v>8</v>
      </c>
      <c r="D18" s="54">
        <v>0.1818181818181818</v>
      </c>
      <c r="E18" s="53">
        <v>0</v>
      </c>
      <c r="F18" s="54">
        <v>0</v>
      </c>
      <c r="G18" s="55">
        <v>36</v>
      </c>
      <c r="H18" s="54">
        <v>0.81818181818181823</v>
      </c>
      <c r="I18" s="23"/>
      <c r="J18" s="23"/>
      <c r="K18" s="23"/>
      <c r="M18" s="59">
        <v>201920</v>
      </c>
      <c r="N18" s="53">
        <v>25</v>
      </c>
      <c r="O18" s="53">
        <v>4</v>
      </c>
      <c r="P18" s="54">
        <v>0.16</v>
      </c>
      <c r="Q18" s="53">
        <v>0</v>
      </c>
      <c r="R18" s="54">
        <v>0</v>
      </c>
      <c r="S18" s="55">
        <v>21</v>
      </c>
      <c r="T18" s="54">
        <v>0.84</v>
      </c>
    </row>
    <row r="19" spans="1:23" ht="13.5" customHeight="1">
      <c r="A19" s="59">
        <v>202010</v>
      </c>
      <c r="B19" s="53">
        <v>40</v>
      </c>
      <c r="C19" s="53">
        <v>4</v>
      </c>
      <c r="D19" s="54">
        <v>0.1</v>
      </c>
      <c r="E19" s="53">
        <v>0</v>
      </c>
      <c r="F19" s="54">
        <v>0</v>
      </c>
      <c r="G19" s="55">
        <v>36</v>
      </c>
      <c r="H19" s="54">
        <v>0.9</v>
      </c>
      <c r="I19" s="23"/>
      <c r="J19" s="23"/>
      <c r="K19" s="23"/>
      <c r="M19" s="59">
        <v>202010</v>
      </c>
      <c r="N19" s="53">
        <v>33</v>
      </c>
      <c r="O19" s="53">
        <v>4</v>
      </c>
      <c r="P19" s="54">
        <v>0.1212121212121212</v>
      </c>
      <c r="Q19" s="53">
        <v>0</v>
      </c>
      <c r="R19" s="54">
        <v>0</v>
      </c>
      <c r="S19" s="55">
        <v>29</v>
      </c>
      <c r="T19" s="54">
        <v>0.87878787878787878</v>
      </c>
    </row>
    <row r="20" spans="1:23" ht="13.5" customHeight="1">
      <c r="A20" s="59">
        <v>202020</v>
      </c>
      <c r="B20" s="53">
        <v>47</v>
      </c>
      <c r="C20" s="53">
        <v>4</v>
      </c>
      <c r="D20" s="54">
        <v>8.5106382978723402E-2</v>
      </c>
      <c r="E20" s="53">
        <v>0</v>
      </c>
      <c r="F20" s="54">
        <v>0</v>
      </c>
      <c r="G20" s="55">
        <v>43</v>
      </c>
      <c r="H20" s="54">
        <v>0.91489361702127658</v>
      </c>
      <c r="I20" s="23"/>
      <c r="J20" s="23"/>
      <c r="K20" s="23"/>
      <c r="M20" s="59">
        <v>202020</v>
      </c>
      <c r="N20" s="53">
        <v>26</v>
      </c>
      <c r="O20" s="53">
        <v>1</v>
      </c>
      <c r="P20" s="54">
        <v>3.8461538461538464E-2</v>
      </c>
      <c r="Q20" s="53">
        <v>0</v>
      </c>
      <c r="R20" s="54">
        <v>0</v>
      </c>
      <c r="S20" s="55">
        <v>25</v>
      </c>
      <c r="T20" s="54">
        <v>0.96153846153846156</v>
      </c>
    </row>
    <row r="21" spans="1:23" ht="13.5" customHeight="1">
      <c r="A21" s="59">
        <v>202110</v>
      </c>
      <c r="B21" s="53">
        <v>51</v>
      </c>
      <c r="C21" s="53">
        <v>4</v>
      </c>
      <c r="D21" s="54">
        <v>7.8431372549019607E-2</v>
      </c>
      <c r="E21" s="53">
        <v>0</v>
      </c>
      <c r="F21" s="54">
        <v>0</v>
      </c>
      <c r="G21" s="55">
        <v>47</v>
      </c>
      <c r="H21" s="54">
        <v>0.92156862745098034</v>
      </c>
      <c r="I21" s="23"/>
      <c r="J21" s="23"/>
      <c r="K21" s="23"/>
      <c r="M21" s="59">
        <v>202110</v>
      </c>
      <c r="N21" s="53">
        <v>42</v>
      </c>
      <c r="O21" s="53">
        <v>2</v>
      </c>
      <c r="P21" s="54">
        <v>4.7619047619047623E-2</v>
      </c>
      <c r="Q21" s="53">
        <v>0</v>
      </c>
      <c r="R21" s="54">
        <v>0</v>
      </c>
      <c r="S21" s="55">
        <v>40</v>
      </c>
      <c r="T21" s="54">
        <v>0.95238095238095233</v>
      </c>
    </row>
    <row r="22" spans="1:23" ht="13.5" customHeight="1">
      <c r="A22" s="59">
        <v>202120</v>
      </c>
      <c r="B22" s="53">
        <v>40</v>
      </c>
      <c r="C22" s="53">
        <v>6</v>
      </c>
      <c r="D22" s="54">
        <v>0.15</v>
      </c>
      <c r="E22" s="53">
        <v>0</v>
      </c>
      <c r="F22" s="54">
        <v>0</v>
      </c>
      <c r="G22" s="55">
        <v>34</v>
      </c>
      <c r="H22" s="54">
        <v>0.85</v>
      </c>
      <c r="I22" s="23"/>
      <c r="J22" s="23"/>
      <c r="K22" s="23"/>
      <c r="M22" s="59">
        <v>202120</v>
      </c>
      <c r="N22" s="53">
        <v>25</v>
      </c>
      <c r="O22" s="53">
        <v>4</v>
      </c>
      <c r="P22" s="54">
        <v>0.16</v>
      </c>
      <c r="Q22" s="53">
        <v>0</v>
      </c>
      <c r="R22" s="54">
        <v>0</v>
      </c>
      <c r="S22" s="55">
        <v>21</v>
      </c>
      <c r="T22" s="54">
        <v>0.84</v>
      </c>
    </row>
    <row r="23" spans="1:23" ht="13.5" customHeight="1">
      <c r="A23" s="98">
        <v>202210</v>
      </c>
      <c r="B23" s="103" cm="1">
        <f t="array" ref="B23">IF(RIGHT($A23,2)="10",_xlfn.XLOOKUP("QUF"&amp;$A23,[1]PROGRAMA!$A:$A&amp;[1]PROGRAMA!$B:$B,[1]PROGRAMA!C:C,0),_xlfn.XLOOKUP("QUF"&amp;$A23,[2]PROGRAMA!$A:$A&amp;[2]PROGRAMA!$B:$B,[2]PROGRAMA!C:C,0))</f>
        <v>64</v>
      </c>
      <c r="C23" s="103" cm="1">
        <f t="array" ref="C23">IF(RIGHT($A23,2)="10",_xlfn.XLOOKUP("QUF"&amp;$A23,[1]PROGRAMA!$A:$A&amp;[1]PROGRAMA!$B:$B,[1]PROGRAMA!D:D,0),_xlfn.XLOOKUP("QUF"&amp;$A23,[2]PROGRAMA!$A:$A&amp;[2]PROGRAMA!$B:$B,[2]PROGRAMA!D:D,0))</f>
        <v>13</v>
      </c>
      <c r="D23" s="68">
        <f>IFERROR(C23/$B23,0)</f>
        <v>0.203125</v>
      </c>
      <c r="E23" s="103" cm="1">
        <f t="array" ref="E23">IF(RIGHT($A23,2)="10",_xlfn.XLOOKUP("QUF"&amp;$A23,[1]PROGRAMA!$A:$A&amp;[1]PROGRAMA!$B:$B,[1]PROGRAMA!E:E,0),_xlfn.XLOOKUP("QUF"&amp;$A23,[2]PROGRAMA!$A:$A&amp;[2]PROGRAMA!$B:$B,[2]PROGRAMA!E:E,0))</f>
        <v>0</v>
      </c>
      <c r="F23" s="68">
        <f>IFERROR(E23/$B23,0)</f>
        <v>0</v>
      </c>
      <c r="G23" s="104">
        <f>B23-C23</f>
        <v>51</v>
      </c>
      <c r="H23" s="68">
        <f>IFERROR(G23/$B23,0)</f>
        <v>0.796875</v>
      </c>
      <c r="I23" s="128"/>
      <c r="J23" s="128"/>
      <c r="K23" s="128"/>
      <c r="M23" s="98">
        <v>202210</v>
      </c>
      <c r="N23" s="103" cm="1">
        <f t="array" ref="N23">IF(RIGHT($A23,2)="10",_xlfn.XLOOKUP("QUF"&amp;$A23,'[1]PROGRAMA 123'!$A:$A&amp;'[1]PROGRAMA 123'!$B:$B,'[1]PROGRAMA 123'!C:C,0),_xlfn.XLOOKUP("QUF"&amp;$A23,'[2]PROGRAMA 123'!$A:$A&amp;'[2]PROGRAMA 123'!$B:$B,'[2]PROGRAMA 123'!C:C,0))</f>
        <v>49</v>
      </c>
      <c r="O23" s="103" cm="1">
        <f t="array" ref="O23">IF(RIGHT($A23,2)="10",_xlfn.XLOOKUP("QUF"&amp;$A23,'[1]PROGRAMA 123'!$A:$A&amp;'[1]PROGRAMA 123'!$B:$B,'[1]PROGRAMA 123'!D:D,0),_xlfn.XLOOKUP("QUF"&amp;$A23,'[2]PROGRAMA 123'!$A:$A&amp;'[2]PROGRAMA 123'!$B:$B,'[2]PROGRAMA 123'!D:D,0))</f>
        <v>7</v>
      </c>
      <c r="P23" s="68">
        <f>IFERROR(O23/$N23,0)</f>
        <v>0.14285714285714285</v>
      </c>
      <c r="Q23" s="103" cm="1">
        <f t="array" ref="Q23">IF(RIGHT($A23,2)="10",_xlfn.XLOOKUP("QUF"&amp;$A23,'[1]PROGRAMA 123'!$A:$A&amp;'[1]PROGRAMA 123'!$B:$B,'[1]PROGRAMA 123'!E:E,0),_xlfn.XLOOKUP("QUF"&amp;$A23,'[2]PROGRAMA 123'!$A:$A&amp;'[2]PROGRAMA 123'!$B:$B,'[2]PROGRAMA 123'!E:E,0))</f>
        <v>0</v>
      </c>
      <c r="R23" s="68">
        <f>IFERROR(Q23/$N23,0)</f>
        <v>0</v>
      </c>
      <c r="S23" s="104">
        <f>N23-O23</f>
        <v>42</v>
      </c>
      <c r="T23" s="68">
        <f>IFERROR(S23/$N23,0)</f>
        <v>0.8571428571428571</v>
      </c>
    </row>
    <row r="24" spans="1:23" ht="13.5" customHeight="1">
      <c r="A24" s="98">
        <v>202220</v>
      </c>
      <c r="B24" s="103" cm="1">
        <f t="array" ref="B24">IF(RIGHT($A24,2)="10",_xlfn.XLOOKUP("QUF"&amp;$A24,[1]PROGRAMA!$A:$A&amp;[1]PROGRAMA!$B:$B,[1]PROGRAMA!C:C,0),_xlfn.XLOOKUP("QUF"&amp;$A24,[2]PROGRAMA!$A:$A&amp;[2]PROGRAMA!$B:$B,[2]PROGRAMA!C:C,0))</f>
        <v>46</v>
      </c>
      <c r="C24" s="103" cm="1">
        <f t="array" ref="C24">IF(RIGHT($A24,2)="10",_xlfn.XLOOKUP("QUF"&amp;$A24,[1]PROGRAMA!$A:$A&amp;[1]PROGRAMA!$B:$B,[1]PROGRAMA!D:D,0),_xlfn.XLOOKUP("QUF"&amp;$A24,[2]PROGRAMA!$A:$A&amp;[2]PROGRAMA!$B:$B,[2]PROGRAMA!D:D,0))</f>
        <v>9</v>
      </c>
      <c r="D24" s="68">
        <f>IFERROR(C24/$B24,0)</f>
        <v>0.19565217391304349</v>
      </c>
      <c r="E24" s="103" cm="1">
        <f t="array" ref="E24">IF(RIGHT($A24,2)="10",_xlfn.XLOOKUP("QUF"&amp;$A24,[1]PROGRAMA!$A:$A&amp;[1]PROGRAMA!$B:$B,[1]PROGRAMA!E:E,0),_xlfn.XLOOKUP("QUF"&amp;$A24,[2]PROGRAMA!$A:$A&amp;[2]PROGRAMA!$B:$B,[2]PROGRAMA!E:E,0))</f>
        <v>0</v>
      </c>
      <c r="F24" s="68">
        <f>IFERROR(E24/$B24,0)</f>
        <v>0</v>
      </c>
      <c r="G24" s="104">
        <f>B24-C24</f>
        <v>37</v>
      </c>
      <c r="H24" s="68">
        <f>IFERROR(G24/$B24,0)</f>
        <v>0.80434782608695654</v>
      </c>
      <c r="I24" s="128"/>
      <c r="J24" s="128"/>
      <c r="K24" s="128"/>
      <c r="M24" s="98">
        <v>202220</v>
      </c>
      <c r="N24" s="103" cm="1">
        <f t="array" ref="N24">IF(RIGHT($A24,2)="10",_xlfn.XLOOKUP("QUF"&amp;$A24,'[1]PROGRAMA 123'!$A:$A&amp;'[1]PROGRAMA 123'!$B:$B,'[1]PROGRAMA 123'!C:C,0),_xlfn.XLOOKUP("QUF"&amp;$A24,'[2]PROGRAMA 123'!$A:$A&amp;'[2]PROGRAMA 123'!$B:$B,'[2]PROGRAMA 123'!C:C,0))</f>
        <v>31</v>
      </c>
      <c r="O24" s="103" cm="1">
        <f t="array" ref="O24">IF(RIGHT($A24,2)="10",_xlfn.XLOOKUP("QUF"&amp;$A24,'[1]PROGRAMA 123'!$A:$A&amp;'[1]PROGRAMA 123'!$B:$B,'[1]PROGRAMA 123'!D:D,0),_xlfn.XLOOKUP("QUF"&amp;$A24,'[2]PROGRAMA 123'!$A:$A&amp;'[2]PROGRAMA 123'!$B:$B,'[2]PROGRAMA 123'!D:D,0))</f>
        <v>3</v>
      </c>
      <c r="P24" s="68">
        <f>IFERROR(O24/$N24,0)</f>
        <v>9.6774193548387094E-2</v>
      </c>
      <c r="Q24" s="103" cm="1">
        <f t="array" ref="Q24">IF(RIGHT($A24,2)="10",_xlfn.XLOOKUP("QUF"&amp;$A24,'[1]PROGRAMA 123'!$A:$A&amp;'[1]PROGRAMA 123'!$B:$B,'[1]PROGRAMA 123'!E:E,0),_xlfn.XLOOKUP("QUF"&amp;$A24,'[2]PROGRAMA 123'!$A:$A&amp;'[2]PROGRAMA 123'!$B:$B,'[2]PROGRAMA 123'!E:E,0))</f>
        <v>0</v>
      </c>
      <c r="R24" s="68">
        <f>IFERROR(Q24/$N24,0)</f>
        <v>0</v>
      </c>
      <c r="S24" s="104">
        <f>N24-O24</f>
        <v>28</v>
      </c>
      <c r="T24" s="68">
        <f>IFERROR(S24/$N24,0)</f>
        <v>0.90322580645161288</v>
      </c>
    </row>
    <row r="25" spans="1:23" ht="13.5" customHeight="1">
      <c r="A25" s="98" t="s">
        <v>239</v>
      </c>
      <c r="B25" s="103">
        <v>48</v>
      </c>
      <c r="C25" s="103">
        <v>9</v>
      </c>
      <c r="D25" s="68">
        <v>0.1875</v>
      </c>
      <c r="E25" s="103">
        <v>0</v>
      </c>
      <c r="F25" s="68">
        <v>0</v>
      </c>
      <c r="G25" s="104">
        <v>39</v>
      </c>
      <c r="H25" s="68">
        <v>0.8125</v>
      </c>
      <c r="I25" s="128"/>
      <c r="J25" s="128"/>
      <c r="K25" s="128"/>
      <c r="M25" s="98" t="s">
        <v>239</v>
      </c>
      <c r="N25" s="103">
        <v>41</v>
      </c>
      <c r="O25" s="103">
        <v>7</v>
      </c>
      <c r="P25" s="68">
        <v>0.17073170731707321</v>
      </c>
      <c r="Q25" s="103">
        <v>0</v>
      </c>
      <c r="R25" s="68">
        <v>0</v>
      </c>
      <c r="S25" s="104">
        <v>34</v>
      </c>
      <c r="T25" s="68">
        <v>0.8292682926829269</v>
      </c>
    </row>
    <row r="27" spans="1:23" ht="41.25" hidden="1" customHeight="1">
      <c r="A27" s="211" t="s">
        <v>100</v>
      </c>
      <c r="B27" s="212"/>
      <c r="C27" s="212"/>
      <c r="D27" s="212"/>
      <c r="E27" s="212"/>
      <c r="F27" s="212"/>
      <c r="G27" s="212"/>
      <c r="H27" s="212"/>
      <c r="I27" s="212"/>
      <c r="J27" s="169"/>
      <c r="K27" s="169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117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0.47499999999999998</v>
      </c>
      <c r="B29" s="37">
        <f>+((B6*D6)+(B7*D7))/(B6+B7)</f>
        <v>0.34822471910112363</v>
      </c>
      <c r="C29" s="32">
        <f>((B8*D8)+(B9*D9))/(B8+B9)</f>
        <v>0.31152173913043479</v>
      </c>
      <c r="D29" s="32">
        <f>+((B10*D10)+(B11*D11))/(B10+B11)</f>
        <v>0.22340425531914893</v>
      </c>
      <c r="E29" s="32">
        <f>((B12*D12)+(B13*D13))/(B12+B13)</f>
        <v>0.26771653543307089</v>
      </c>
      <c r="F29" s="32">
        <f>((B14*D14)+(B15*D15))/(B14+B15)</f>
        <v>0.21818181818181817</v>
      </c>
      <c r="G29" s="32">
        <f>((B16*D16)+(B17*D17))/(B16+B17)</f>
        <v>0.14634146341463414</v>
      </c>
      <c r="H29" s="32">
        <f>((B18*D18)+(B19*D19))/(B18+B19)</f>
        <v>0.14285714285714285</v>
      </c>
      <c r="I29" s="32">
        <f>((B20*D20)+(B21*D21))/(B20+B21)</f>
        <v>8.1632653061224483E-2</v>
      </c>
      <c r="J29" s="32">
        <f>(C22+C23)/(B22+B23)</f>
        <v>0.18269230769230768</v>
      </c>
      <c r="K29" s="32">
        <f>D24</f>
        <v>0.19565217391304349</v>
      </c>
      <c r="L29" s="6"/>
      <c r="M29" s="37">
        <f>P5</f>
        <v>0.45714285714285713</v>
      </c>
      <c r="N29" s="37">
        <f>+((N6*P6)+(N7*P7))/(N6+N7)</f>
        <v>0.32825000000000004</v>
      </c>
      <c r="O29" s="32">
        <f>((N8*P8)+(N9*P9))/(N8+N9)</f>
        <v>0.31856363636363638</v>
      </c>
      <c r="P29" s="32">
        <f>+((N10*P10)+(N11*P11))/(N10+N11)</f>
        <v>0.2</v>
      </c>
      <c r="Q29" s="32">
        <f>((N12*P12)+(N13*P13))/(N12+N13)</f>
        <v>0.25</v>
      </c>
      <c r="R29" s="32">
        <f>((N14*P14)+(N15*P15))/(N14+N15)</f>
        <v>0.19230769230769232</v>
      </c>
      <c r="S29" s="32">
        <f>((N16*P16)+(N17*P17))/(N16+N17)</f>
        <v>0.15686274509803921</v>
      </c>
      <c r="T29" s="32">
        <f>((N18*P18)+(N19*P19))/(N18+N19)</f>
        <v>0.13793103448275862</v>
      </c>
      <c r="U29" s="32">
        <f>((N20*P20)+(N21*P21))/(N20+N21)</f>
        <v>4.4117647058823532E-2</v>
      </c>
      <c r="V29" s="32">
        <f>(O22+O23)/(N22+N23)</f>
        <v>0.14864864864864866</v>
      </c>
      <c r="W29" s="32">
        <f>P24</f>
        <v>9.6774193548387094E-2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t="11.25" hidden="1" customHeight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L31"/>
    <mergeCell ref="M30:V30"/>
    <mergeCell ref="M31:W31"/>
    <mergeCell ref="A1:H1"/>
    <mergeCell ref="M1:T1"/>
    <mergeCell ref="A3:H3"/>
    <mergeCell ref="M3:T3"/>
    <mergeCell ref="A2:H2"/>
    <mergeCell ref="M2:T2"/>
    <mergeCell ref="A27:I27"/>
    <mergeCell ref="A30:J30"/>
    <mergeCell ref="M27:W27"/>
  </mergeCells>
  <pageMargins left="0.7" right="0.7" top="0.75" bottom="0.75" header="0.3" footer="0.3"/>
  <pageSetup orientation="portrait" r:id="rId1"/>
  <ignoredErrors>
    <ignoredError sqref="L23:O24 Q23:Q24 S23:S24 E23:J24" formula="1"/>
    <ignoredError sqref="A25 M25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6E43-0CE2-4278-8D4A-83BC0624D373}">
  <sheetPr>
    <tabColor rgb="FF92D050"/>
  </sheetPr>
  <dimension ref="A1:V15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44140625" style="6"/>
    <col min="2" max="7" width="11.44140625" style="7"/>
    <col min="8" max="10" width="11.44140625" style="6"/>
    <col min="11" max="16384" width="11.44140625" style="7"/>
  </cols>
  <sheetData>
    <row r="1" spans="1:22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L1" s="209" t="s">
        <v>240</v>
      </c>
      <c r="M1" s="209"/>
      <c r="N1" s="209"/>
      <c r="O1" s="209"/>
      <c r="P1" s="209"/>
      <c r="Q1" s="209"/>
      <c r="R1" s="209"/>
      <c r="S1" s="209"/>
    </row>
    <row r="2" spans="1:22">
      <c r="A2" s="215"/>
      <c r="B2" s="215"/>
      <c r="C2" s="215"/>
      <c r="D2" s="215"/>
      <c r="E2" s="215"/>
      <c r="F2" s="215"/>
      <c r="G2" s="215"/>
      <c r="H2" s="215"/>
      <c r="I2" s="11"/>
      <c r="J2" s="11"/>
    </row>
    <row r="3" spans="1:22">
      <c r="A3" s="208" t="s">
        <v>199</v>
      </c>
      <c r="B3" s="208"/>
      <c r="C3" s="208"/>
      <c r="D3" s="208"/>
      <c r="E3" s="208"/>
      <c r="F3" s="208"/>
      <c r="G3" s="208"/>
      <c r="H3" s="208"/>
      <c r="I3" s="188"/>
      <c r="J3" s="188"/>
      <c r="K3" s="19"/>
      <c r="L3" s="208" t="s">
        <v>200</v>
      </c>
      <c r="M3" s="208"/>
      <c r="N3" s="208"/>
      <c r="O3" s="208"/>
      <c r="P3" s="208"/>
      <c r="Q3" s="208"/>
      <c r="R3" s="208"/>
      <c r="S3" s="208"/>
    </row>
    <row r="4" spans="1:22" ht="10.8" thickBot="1">
      <c r="A4" s="19"/>
      <c r="B4" s="19"/>
      <c r="C4" s="19"/>
      <c r="D4" s="19"/>
      <c r="E4" s="19"/>
      <c r="F4" s="19"/>
      <c r="G4" s="19"/>
      <c r="H4" s="19"/>
      <c r="I4" s="19"/>
      <c r="J4" s="19"/>
      <c r="L4" s="19"/>
      <c r="M4" s="19"/>
      <c r="N4" s="19"/>
      <c r="O4" s="19"/>
      <c r="P4" s="19"/>
      <c r="Q4" s="19"/>
      <c r="R4" s="19"/>
      <c r="S4" s="19"/>
    </row>
    <row r="5" spans="1:22" ht="51">
      <c r="A5" s="63" t="s">
        <v>0</v>
      </c>
      <c r="B5" s="64" t="s">
        <v>93</v>
      </c>
      <c r="C5" s="64" t="s">
        <v>94</v>
      </c>
      <c r="D5" s="64" t="s">
        <v>95</v>
      </c>
      <c r="E5" s="64" t="s">
        <v>96</v>
      </c>
      <c r="F5" s="64" t="s">
        <v>97</v>
      </c>
      <c r="G5" s="64" t="s">
        <v>98</v>
      </c>
      <c r="H5" s="65" t="s">
        <v>99</v>
      </c>
      <c r="I5" s="136"/>
      <c r="J5" s="136"/>
      <c r="L5" s="63" t="s">
        <v>0</v>
      </c>
      <c r="M5" s="64" t="s">
        <v>93</v>
      </c>
      <c r="N5" s="64" t="s">
        <v>94</v>
      </c>
      <c r="O5" s="64" t="s">
        <v>95</v>
      </c>
      <c r="P5" s="64" t="s">
        <v>96</v>
      </c>
      <c r="Q5" s="64" t="s">
        <v>97</v>
      </c>
      <c r="R5" s="64" t="s">
        <v>98</v>
      </c>
      <c r="S5" s="65" t="s">
        <v>99</v>
      </c>
    </row>
    <row r="6" spans="1:22" s="36" customFormat="1" ht="15" customHeight="1">
      <c r="A6" s="132">
        <v>202120</v>
      </c>
      <c r="B6" s="103">
        <v>118</v>
      </c>
      <c r="C6" s="103">
        <v>29</v>
      </c>
      <c r="D6" s="38">
        <v>0.24576271186440679</v>
      </c>
      <c r="E6" s="103">
        <v>0</v>
      </c>
      <c r="F6" s="38">
        <v>0</v>
      </c>
      <c r="G6" s="104">
        <v>89</v>
      </c>
      <c r="H6" s="131">
        <v>0.75423728813559321</v>
      </c>
      <c r="I6" s="23"/>
      <c r="J6" s="23"/>
      <c r="L6" s="132">
        <v>202120</v>
      </c>
      <c r="M6" s="103">
        <v>63</v>
      </c>
      <c r="N6" s="103">
        <v>12</v>
      </c>
      <c r="O6" s="38">
        <v>0.19047619047619047</v>
      </c>
      <c r="P6" s="103">
        <v>0</v>
      </c>
      <c r="Q6" s="38">
        <v>0</v>
      </c>
      <c r="R6" s="104">
        <v>51</v>
      </c>
      <c r="S6" s="131">
        <v>0.80952380952380953</v>
      </c>
    </row>
    <row r="7" spans="1:22" s="36" customFormat="1" ht="15" customHeight="1">
      <c r="A7" s="132">
        <v>202210</v>
      </c>
      <c r="B7" s="103">
        <f>IF(RIGHT($A7,2)="10",_xlfn.XLOOKUP($A7,[1]FCH!$B:$B,[1]FCH!C:C,0),_xlfn.XLOOKUP($A7,[2]FCH!$K:$K,[2]FCH!L:L,0))</f>
        <v>276</v>
      </c>
      <c r="C7" s="103">
        <f>IF(RIGHT($A7,2)="10",_xlfn.XLOOKUP($A7,[1]FCH!$B:$B,[1]FCH!D:D,0),_xlfn.XLOOKUP($A7,[2]FCH!$K:$K,[2]FCH!M:M,0))</f>
        <v>34</v>
      </c>
      <c r="D7" s="68">
        <f>IFERROR(C7/$B7,0)</f>
        <v>0.12318840579710146</v>
      </c>
      <c r="E7" s="103">
        <f>IF(RIGHT($A7,2)="10",_xlfn.XLOOKUP($A7,[1]FCH!$B:$B,[1]FCH!F:F,0),_xlfn.XLOOKUP($A7,[2]FCH!$K:$K,[2]FCH!O:O,0))</f>
        <v>0</v>
      </c>
      <c r="F7" s="68">
        <f>IFERROR(E7/$B7,0)</f>
        <v>0</v>
      </c>
      <c r="G7" s="104">
        <f>B7-C7</f>
        <v>242</v>
      </c>
      <c r="H7" s="108">
        <f>IFERROR(G7/$B7,0)</f>
        <v>0.87681159420289856</v>
      </c>
      <c r="I7" s="128"/>
      <c r="J7" s="128"/>
      <c r="K7" s="7"/>
      <c r="L7" s="132">
        <v>202210</v>
      </c>
      <c r="M7" s="103">
        <f>IF(RIGHT($A7,2)="10",_xlfn.XLOOKUP($A7,'[1]FCAE 123'!$B:$B,'[1]FCAE 123'!C:C,0),_xlfn.XLOOKUP($A7,'[2]FCAE 123'!$K:$K,'[2]FCAE 123'!L:L,0))</f>
        <v>159</v>
      </c>
      <c r="N7" s="103">
        <f>IF(RIGHT($A7,2)="10",_xlfn.XLOOKUP($A7,'[1]FCAE 123'!$B:$B,'[1]FCAE 123'!D:D,0),_xlfn.XLOOKUP($A7,'[2]FCAE 123'!$K:$K,'[2]FCAE 123'!M:M,0))</f>
        <v>24</v>
      </c>
      <c r="O7" s="68">
        <f>IFERROR(N7/$B7,0)</f>
        <v>8.6956521739130432E-2</v>
      </c>
      <c r="P7" s="103">
        <f>IF(RIGHT($A7,2)="10",_xlfn.XLOOKUP($A7,'[1]FCAE 123'!$B:$B,'[1]FCAE 123'!F:F,0),_xlfn.XLOOKUP($A7,'[2]FCAE 123'!$K:$K,'[2]FCAE 123'!O:O,0))</f>
        <v>0</v>
      </c>
      <c r="Q7" s="68">
        <f>IFERROR(P7/$B7,0)</f>
        <v>0</v>
      </c>
      <c r="R7" s="104">
        <f>M7-N7</f>
        <v>135</v>
      </c>
      <c r="S7" s="108">
        <f>IFERROR(R7/$B7,0)</f>
        <v>0.4891304347826087</v>
      </c>
    </row>
    <row r="8" spans="1:22" s="36" customFormat="1" ht="15" customHeight="1">
      <c r="A8" s="132">
        <v>202220</v>
      </c>
      <c r="B8" s="103">
        <f>IF(RIGHT($A8,2)="10",_xlfn.XLOOKUP($A8,[1]FCH!$B:$B,[1]FCH!C:C,0),_xlfn.XLOOKUP($A8,[2]FCH!$K:$K,[2]FCH!L:L,0))</f>
        <v>166</v>
      </c>
      <c r="C8" s="103">
        <f>IF(RIGHT($A8,2)="10",_xlfn.XLOOKUP($A8,[1]FCH!$B:$B,[1]FCH!D:D,0),_xlfn.XLOOKUP($A8,[2]FCH!$K:$K,[2]FCH!M:M,0))</f>
        <v>33</v>
      </c>
      <c r="D8" s="68">
        <f>IFERROR(C8/$B8,0)</f>
        <v>0.19879518072289157</v>
      </c>
      <c r="E8" s="103">
        <f>IF(RIGHT($A8,2)="10",_xlfn.XLOOKUP($A8,[1]FCH!$B:$B,[1]FCH!F:F,0),_xlfn.XLOOKUP($A8,[2]FCH!$K:$K,[2]FCH!O:O,0))</f>
        <v>0</v>
      </c>
      <c r="F8" s="68">
        <f>IFERROR(E8/$B8,0)</f>
        <v>0</v>
      </c>
      <c r="G8" s="104">
        <f>B8-C8</f>
        <v>133</v>
      </c>
      <c r="H8" s="108">
        <f>IFERROR(G8/$B8,0)</f>
        <v>0.8012048192771084</v>
      </c>
      <c r="I8" s="128"/>
      <c r="J8" s="128"/>
      <c r="K8" s="7"/>
      <c r="L8" s="132">
        <v>202220</v>
      </c>
      <c r="M8" s="103">
        <f>IF(RIGHT($A8,2)="10",_xlfn.XLOOKUP($A8,'[1]FCAE 123'!$B:$B,'[1]FCAE 123'!C:C,0),_xlfn.XLOOKUP($A8,'[2]FCAE 123'!$K:$K,'[2]FCAE 123'!L:L,0))</f>
        <v>97</v>
      </c>
      <c r="N8" s="103">
        <f>IF(RIGHT($A8,2)="10",_xlfn.XLOOKUP($A8,'[1]FCAE 123'!$B:$B,'[1]FCAE 123'!D:D,0),_xlfn.XLOOKUP($A8,'[2]FCAE 123'!$K:$K,'[2]FCAE 123'!M:M,0))</f>
        <v>20</v>
      </c>
      <c r="O8" s="68">
        <f>IFERROR(N8/$B8,0)</f>
        <v>0.12048192771084337</v>
      </c>
      <c r="P8" s="103">
        <f>IF(RIGHT($A8,2)="10",_xlfn.XLOOKUP($A8,'[1]FCAE 123'!$B:$B,'[1]FCAE 123'!F:F,0),_xlfn.XLOOKUP($A8,'[2]FCAE 123'!$K:$K,'[2]FCAE 123'!O:O,0))</f>
        <v>0</v>
      </c>
      <c r="Q8" s="68">
        <f>IFERROR(P8/$B8,0)</f>
        <v>0</v>
      </c>
      <c r="R8" s="104">
        <f>M8-N8</f>
        <v>77</v>
      </c>
      <c r="S8" s="108">
        <f>IFERROR(R8/$B8,0)</f>
        <v>0.46385542168674698</v>
      </c>
    </row>
    <row r="9" spans="1:22" s="36" customFormat="1" ht="15" customHeight="1" thickBot="1">
      <c r="A9" s="183">
        <v>202310</v>
      </c>
      <c r="B9" s="184">
        <v>234</v>
      </c>
      <c r="C9" s="184">
        <v>34</v>
      </c>
      <c r="D9" s="174">
        <f t="shared" ref="D9" si="0">C9/B9</f>
        <v>0.14529914529914531</v>
      </c>
      <c r="E9" s="184">
        <v>0</v>
      </c>
      <c r="F9" s="174">
        <f t="shared" ref="F9" si="1">E9/B9</f>
        <v>0</v>
      </c>
      <c r="G9" s="186">
        <v>200</v>
      </c>
      <c r="H9" s="175">
        <f t="shared" ref="H9" si="2">(B9-C9-E9)/B9</f>
        <v>0.85470085470085466</v>
      </c>
      <c r="I9" s="128"/>
      <c r="J9" s="128"/>
      <c r="K9" s="7"/>
      <c r="L9" s="183">
        <v>202310</v>
      </c>
      <c r="M9" s="184">
        <v>150</v>
      </c>
      <c r="N9" s="184">
        <v>22</v>
      </c>
      <c r="O9" s="174">
        <f t="shared" ref="O9" si="3">N9/M9</f>
        <v>0.14666666666666667</v>
      </c>
      <c r="P9" s="184">
        <v>0</v>
      </c>
      <c r="Q9" s="174">
        <f t="shared" ref="Q9" si="4">P9/M9</f>
        <v>0</v>
      </c>
      <c r="R9" s="186">
        <v>128</v>
      </c>
      <c r="S9" s="175">
        <f t="shared" ref="S9" si="5">(M9-N9-P9)/M9</f>
        <v>0.85333333333333339</v>
      </c>
    </row>
    <row r="10" spans="1:22">
      <c r="H10" s="7"/>
      <c r="I10" s="7"/>
      <c r="J10" s="7"/>
      <c r="L10" s="6"/>
      <c r="M10" s="6"/>
      <c r="N10" s="6"/>
      <c r="O10" s="6"/>
      <c r="P10" s="6"/>
      <c r="Q10" s="6"/>
      <c r="R10" s="6"/>
      <c r="S10" s="6"/>
    </row>
    <row r="11" spans="1:22" ht="42.75" hidden="1" customHeight="1">
      <c r="A11" s="219" t="s">
        <v>100</v>
      </c>
      <c r="B11" s="220"/>
      <c r="C11" s="220"/>
      <c r="D11" s="220"/>
      <c r="E11" s="220"/>
      <c r="F11" s="220"/>
      <c r="G11" s="220"/>
      <c r="H11" s="220"/>
      <c r="I11" s="220"/>
      <c r="J11" s="220"/>
      <c r="L11" s="219" t="s">
        <v>114</v>
      </c>
      <c r="M11" s="220"/>
      <c r="N11" s="220"/>
      <c r="O11" s="220"/>
      <c r="P11" s="220"/>
      <c r="Q11" s="220"/>
      <c r="R11" s="220"/>
      <c r="S11" s="220"/>
      <c r="T11" s="220"/>
      <c r="U11" s="220"/>
    </row>
    <row r="12" spans="1:22" ht="20.399999999999999" hidden="1">
      <c r="A12" s="90" t="str">
        <f>'1d. Retiro temprano.'!K30</f>
        <v>2023
212-221</v>
      </c>
      <c r="B12" s="90" t="str">
        <f>'1d. Retiro temprano.'!L30</f>
        <v>2024-1***
222</v>
      </c>
      <c r="H12" s="7"/>
      <c r="I12" s="7"/>
      <c r="J12" s="7"/>
      <c r="L12" s="90" t="str">
        <f>A12</f>
        <v>2023
212-221</v>
      </c>
      <c r="M12" s="90" t="str">
        <f>B12</f>
        <v>2024-1***
222</v>
      </c>
    </row>
    <row r="13" spans="1:22" hidden="1">
      <c r="A13" s="32">
        <f>(C6+C7)/(B6+B7)</f>
        <v>0.15989847715736041</v>
      </c>
      <c r="B13" s="32">
        <f>D8</f>
        <v>0.19879518072289157</v>
      </c>
      <c r="H13" s="7"/>
      <c r="I13" s="7"/>
      <c r="J13" s="7"/>
      <c r="L13" s="32">
        <f>(N6+N7)/(M6+M7)</f>
        <v>0.16216216216216217</v>
      </c>
      <c r="M13" s="32">
        <f>O8</f>
        <v>0.12048192771084337</v>
      </c>
    </row>
    <row r="14" spans="1:22" hidden="1">
      <c r="A14" s="215"/>
      <c r="B14" s="215"/>
      <c r="C14" s="215"/>
      <c r="D14" s="215"/>
      <c r="E14" s="215"/>
      <c r="F14" s="215"/>
      <c r="G14" s="215"/>
      <c r="H14" s="215"/>
      <c r="I14" s="215"/>
      <c r="J14" s="215"/>
      <c r="K14" s="18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18"/>
    </row>
    <row r="15" spans="1:22" hidden="1">
      <c r="A15" s="206" t="s">
        <v>235</v>
      </c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206" t="s">
        <v>235</v>
      </c>
      <c r="M15" s="206"/>
      <c r="N15" s="206"/>
      <c r="O15" s="206"/>
      <c r="P15" s="206"/>
      <c r="Q15" s="206"/>
      <c r="R15" s="206"/>
      <c r="S15" s="206"/>
      <c r="T15" s="206"/>
      <c r="U15" s="206"/>
      <c r="V15" s="206"/>
    </row>
  </sheetData>
  <mergeCells count="11">
    <mergeCell ref="A14:J14"/>
    <mergeCell ref="L14:U14"/>
    <mergeCell ref="A15:K15"/>
    <mergeCell ref="L15:V15"/>
    <mergeCell ref="A1:H1"/>
    <mergeCell ref="L1:S1"/>
    <mergeCell ref="A2:H2"/>
    <mergeCell ref="A3:H3"/>
    <mergeCell ref="L3:S3"/>
    <mergeCell ref="A11:J11"/>
    <mergeCell ref="L11:U11"/>
  </mergeCells>
  <pageMargins left="0.7" right="0.7" top="0.75" bottom="0.75" header="0.3" footer="0.3"/>
  <ignoredErrors>
    <ignoredError sqref="E7:S8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08" t="s">
        <v>201</v>
      </c>
      <c r="B3" s="208"/>
      <c r="C3" s="208"/>
      <c r="D3" s="208"/>
      <c r="E3" s="208"/>
      <c r="F3" s="208"/>
      <c r="G3" s="208"/>
      <c r="H3" s="208"/>
      <c r="I3" s="188"/>
      <c r="J3" s="188"/>
      <c r="K3" s="188"/>
      <c r="M3" s="208" t="s">
        <v>202</v>
      </c>
      <c r="N3" s="208"/>
      <c r="O3" s="208"/>
      <c r="P3" s="208"/>
      <c r="Q3" s="208"/>
      <c r="R3" s="208"/>
      <c r="S3" s="208"/>
      <c r="T3" s="208"/>
    </row>
    <row r="4" spans="1:20" ht="51">
      <c r="A4" s="60" t="s">
        <v>0</v>
      </c>
      <c r="B4" s="60" t="s">
        <v>93</v>
      </c>
      <c r="C4" s="60" t="s">
        <v>94</v>
      </c>
      <c r="D4" s="60" t="s">
        <v>95</v>
      </c>
      <c r="E4" s="60" t="s">
        <v>96</v>
      </c>
      <c r="F4" s="60" t="s">
        <v>97</v>
      </c>
      <c r="G4" s="60" t="s">
        <v>98</v>
      </c>
      <c r="H4" s="60" t="s">
        <v>99</v>
      </c>
      <c r="I4" s="136"/>
      <c r="J4" s="136"/>
      <c r="K4" s="13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>
        <v>28</v>
      </c>
      <c r="C5" s="57">
        <v>4</v>
      </c>
      <c r="D5" s="58">
        <v>0.14285714285714285</v>
      </c>
      <c r="E5" s="57">
        <v>0</v>
      </c>
      <c r="F5" s="58">
        <v>0</v>
      </c>
      <c r="G5" s="57">
        <v>24</v>
      </c>
      <c r="H5" s="58">
        <v>0.8571428571428571</v>
      </c>
      <c r="I5" s="125"/>
      <c r="J5" s="125"/>
      <c r="K5" s="125"/>
      <c r="M5" s="55">
        <v>201310</v>
      </c>
      <c r="N5" s="57">
        <v>22</v>
      </c>
      <c r="O5" s="57">
        <v>3</v>
      </c>
      <c r="P5" s="58">
        <v>0.13636363636363635</v>
      </c>
      <c r="Q5" s="57">
        <v>0</v>
      </c>
      <c r="R5" s="58">
        <v>0</v>
      </c>
      <c r="S5" s="57">
        <v>19</v>
      </c>
      <c r="T5" s="58">
        <v>0.86363636363636365</v>
      </c>
    </row>
    <row r="6" spans="1:20" ht="13.5" customHeight="1">
      <c r="A6" s="59">
        <v>201320</v>
      </c>
      <c r="B6" s="57">
        <v>27</v>
      </c>
      <c r="C6" s="57">
        <v>7</v>
      </c>
      <c r="D6" s="76">
        <v>0.25925925925925924</v>
      </c>
      <c r="E6" s="57">
        <v>0</v>
      </c>
      <c r="F6" s="76">
        <v>0</v>
      </c>
      <c r="G6" s="59">
        <v>20</v>
      </c>
      <c r="H6" s="76">
        <v>0.7407407407407407</v>
      </c>
      <c r="I6" s="127"/>
      <c r="J6" s="127"/>
      <c r="K6" s="127"/>
      <c r="M6" s="55">
        <v>201320</v>
      </c>
      <c r="N6" s="53">
        <v>12</v>
      </c>
      <c r="O6" s="53">
        <v>4</v>
      </c>
      <c r="P6" s="54">
        <v>0.33333333333333331</v>
      </c>
      <c r="Q6" s="53">
        <v>0</v>
      </c>
      <c r="R6" s="54">
        <v>0</v>
      </c>
      <c r="S6" s="55">
        <v>8</v>
      </c>
      <c r="T6" s="54">
        <v>0.66666666666666663</v>
      </c>
    </row>
    <row r="7" spans="1:20" ht="13.5" customHeight="1">
      <c r="A7" s="59">
        <v>201410</v>
      </c>
      <c r="B7" s="57">
        <v>24</v>
      </c>
      <c r="C7" s="57">
        <v>7</v>
      </c>
      <c r="D7" s="58">
        <v>0.29199999999999998</v>
      </c>
      <c r="E7" s="57">
        <v>0</v>
      </c>
      <c r="F7" s="58">
        <v>0</v>
      </c>
      <c r="G7" s="57">
        <v>17</v>
      </c>
      <c r="H7" s="58">
        <v>0.70799999999999996</v>
      </c>
      <c r="I7" s="125"/>
      <c r="J7" s="125"/>
      <c r="K7" s="125"/>
      <c r="M7" s="55">
        <v>201410</v>
      </c>
      <c r="N7" s="53">
        <v>19</v>
      </c>
      <c r="O7" s="53">
        <v>6</v>
      </c>
      <c r="P7" s="54">
        <v>0.316</v>
      </c>
      <c r="Q7" s="53">
        <v>0</v>
      </c>
      <c r="R7" s="54">
        <v>0</v>
      </c>
      <c r="S7" s="55">
        <v>13</v>
      </c>
      <c r="T7" s="54">
        <v>0.68400000000000005</v>
      </c>
    </row>
    <row r="8" spans="1:20" ht="13.5" customHeight="1">
      <c r="A8" s="59">
        <v>201420</v>
      </c>
      <c r="B8" s="53">
        <v>38</v>
      </c>
      <c r="C8" s="53">
        <v>10</v>
      </c>
      <c r="D8" s="54">
        <v>0.26300000000000001</v>
      </c>
      <c r="E8" s="53">
        <v>0</v>
      </c>
      <c r="F8" s="54">
        <v>0</v>
      </c>
      <c r="G8" s="55">
        <v>28</v>
      </c>
      <c r="H8" s="54">
        <v>0.73699999999999999</v>
      </c>
      <c r="I8" s="23"/>
      <c r="J8" s="23"/>
      <c r="K8" s="23"/>
      <c r="M8" s="55">
        <v>201420</v>
      </c>
      <c r="N8" s="53">
        <v>13</v>
      </c>
      <c r="O8" s="53">
        <v>6</v>
      </c>
      <c r="P8" s="54">
        <v>0.46200000000000002</v>
      </c>
      <c r="Q8" s="53">
        <v>0</v>
      </c>
      <c r="R8" s="54">
        <v>0</v>
      </c>
      <c r="S8" s="55">
        <v>7</v>
      </c>
      <c r="T8" s="54">
        <v>0.53800000000000003</v>
      </c>
    </row>
    <row r="9" spans="1:20" ht="13.5" customHeight="1">
      <c r="A9" s="59">
        <v>201510</v>
      </c>
      <c r="B9" s="53">
        <v>78</v>
      </c>
      <c r="C9" s="53">
        <v>19</v>
      </c>
      <c r="D9" s="54">
        <v>0.24399999999999999</v>
      </c>
      <c r="E9" s="53">
        <v>0</v>
      </c>
      <c r="F9" s="54">
        <v>0</v>
      </c>
      <c r="G9" s="55">
        <v>59</v>
      </c>
      <c r="H9" s="54">
        <v>0.75600000000000001</v>
      </c>
      <c r="I9" s="23"/>
      <c r="J9" s="23"/>
      <c r="K9" s="23"/>
      <c r="M9" s="55">
        <v>201510</v>
      </c>
      <c r="N9" s="53">
        <v>66</v>
      </c>
      <c r="O9" s="53">
        <v>16</v>
      </c>
      <c r="P9" s="54">
        <v>0.24199999999999999</v>
      </c>
      <c r="Q9" s="53">
        <v>0</v>
      </c>
      <c r="R9" s="54">
        <v>0</v>
      </c>
      <c r="S9" s="55">
        <v>50</v>
      </c>
      <c r="T9" s="54">
        <v>0.75800000000000001</v>
      </c>
    </row>
    <row r="10" spans="1:20" ht="13.5" customHeight="1">
      <c r="A10" s="59">
        <v>201520</v>
      </c>
      <c r="B10" s="53">
        <v>36</v>
      </c>
      <c r="C10" s="53">
        <v>7</v>
      </c>
      <c r="D10" s="54">
        <v>0.19444444444444445</v>
      </c>
      <c r="E10" s="53">
        <v>0</v>
      </c>
      <c r="F10" s="54">
        <v>0</v>
      </c>
      <c r="G10" s="55">
        <v>29</v>
      </c>
      <c r="H10" s="54">
        <v>0.80555555555555558</v>
      </c>
      <c r="I10" s="23"/>
      <c r="J10" s="23"/>
      <c r="K10" s="23"/>
      <c r="M10" s="55">
        <v>201520</v>
      </c>
      <c r="N10" s="53">
        <v>17</v>
      </c>
      <c r="O10" s="53">
        <v>4</v>
      </c>
      <c r="P10" s="54">
        <v>0.23529411764705882</v>
      </c>
      <c r="Q10" s="53">
        <v>0</v>
      </c>
      <c r="R10" s="54">
        <v>0</v>
      </c>
      <c r="S10" s="55">
        <v>13</v>
      </c>
      <c r="T10" s="54">
        <v>0.76470588235294112</v>
      </c>
    </row>
    <row r="11" spans="1:20" ht="13.5" customHeight="1">
      <c r="A11" s="59">
        <v>201610</v>
      </c>
      <c r="B11" s="53">
        <v>98</v>
      </c>
      <c r="C11" s="53">
        <v>26</v>
      </c>
      <c r="D11" s="54">
        <v>0.26530612244897961</v>
      </c>
      <c r="E11" s="53">
        <v>0</v>
      </c>
      <c r="F11" s="54">
        <v>0</v>
      </c>
      <c r="G11" s="55">
        <v>72</v>
      </c>
      <c r="H11" s="54">
        <v>0.73469387755102045</v>
      </c>
      <c r="I11" s="23"/>
      <c r="J11" s="23"/>
      <c r="K11" s="23"/>
      <c r="M11" s="55">
        <v>201610</v>
      </c>
      <c r="N11" s="53">
        <v>85</v>
      </c>
      <c r="O11" s="53">
        <v>24</v>
      </c>
      <c r="P11" s="54">
        <v>0.28235294117647058</v>
      </c>
      <c r="Q11" s="53">
        <v>0</v>
      </c>
      <c r="R11" s="54">
        <v>0</v>
      </c>
      <c r="S11" s="55">
        <v>61</v>
      </c>
      <c r="T11" s="54">
        <v>0.71764705882352942</v>
      </c>
    </row>
    <row r="12" spans="1:20" ht="13.5" customHeight="1">
      <c r="A12" s="59">
        <v>201620</v>
      </c>
      <c r="B12" s="57">
        <v>38</v>
      </c>
      <c r="C12" s="57">
        <v>8</v>
      </c>
      <c r="D12" s="58">
        <v>0.21052631578947367</v>
      </c>
      <c r="E12" s="57">
        <v>0</v>
      </c>
      <c r="F12" s="58">
        <v>0</v>
      </c>
      <c r="G12" s="57">
        <v>30</v>
      </c>
      <c r="H12" s="58">
        <v>0.78947368421052633</v>
      </c>
      <c r="I12" s="125"/>
      <c r="J12" s="125"/>
      <c r="K12" s="125"/>
      <c r="M12" s="55">
        <v>201620</v>
      </c>
      <c r="N12" s="57">
        <v>18</v>
      </c>
      <c r="O12" s="57">
        <v>4</v>
      </c>
      <c r="P12" s="58">
        <v>0.22222222222222221</v>
      </c>
      <c r="Q12" s="57">
        <v>0</v>
      </c>
      <c r="R12" s="58">
        <v>0</v>
      </c>
      <c r="S12" s="57">
        <v>14</v>
      </c>
      <c r="T12" s="58">
        <v>0.77777777777777779</v>
      </c>
    </row>
    <row r="13" spans="1:20" ht="13.5" customHeight="1">
      <c r="A13" s="59">
        <v>201710</v>
      </c>
      <c r="B13" s="53">
        <v>71</v>
      </c>
      <c r="C13" s="53">
        <v>16</v>
      </c>
      <c r="D13" s="54">
        <v>0.22535211267605634</v>
      </c>
      <c r="E13" s="53">
        <v>0</v>
      </c>
      <c r="F13" s="54">
        <v>0</v>
      </c>
      <c r="G13" s="55">
        <v>55</v>
      </c>
      <c r="H13" s="54">
        <v>0.77464788732394363</v>
      </c>
      <c r="I13" s="23"/>
      <c r="J13" s="23"/>
      <c r="K13" s="23"/>
      <c r="M13" s="55">
        <v>201710</v>
      </c>
      <c r="N13" s="53">
        <v>57</v>
      </c>
      <c r="O13" s="53">
        <v>14</v>
      </c>
      <c r="P13" s="54">
        <v>0.24561403508771928</v>
      </c>
      <c r="Q13" s="53">
        <v>0</v>
      </c>
      <c r="R13" s="54">
        <v>0</v>
      </c>
      <c r="S13" s="55">
        <v>43</v>
      </c>
      <c r="T13" s="54">
        <v>0.75438596491228072</v>
      </c>
    </row>
    <row r="14" spans="1:20" ht="13.5" customHeight="1">
      <c r="A14" s="59">
        <v>201720</v>
      </c>
      <c r="B14" s="53">
        <v>48</v>
      </c>
      <c r="C14" s="53">
        <v>5</v>
      </c>
      <c r="D14" s="54">
        <v>0.10416666666666667</v>
      </c>
      <c r="E14" s="53">
        <v>0</v>
      </c>
      <c r="F14" s="54">
        <v>0</v>
      </c>
      <c r="G14" s="55">
        <v>43</v>
      </c>
      <c r="H14" s="54">
        <v>0.89583333333333337</v>
      </c>
      <c r="I14" s="23"/>
      <c r="J14" s="23"/>
      <c r="K14" s="23"/>
      <c r="M14" s="55">
        <v>201720</v>
      </c>
      <c r="N14" s="53">
        <v>25</v>
      </c>
      <c r="O14" s="53">
        <v>2</v>
      </c>
      <c r="P14" s="54">
        <v>0.08</v>
      </c>
      <c r="Q14" s="53">
        <v>0</v>
      </c>
      <c r="R14" s="54">
        <v>0</v>
      </c>
      <c r="S14" s="55">
        <v>23</v>
      </c>
      <c r="T14" s="54">
        <v>0.92</v>
      </c>
    </row>
    <row r="15" spans="1:20" ht="13.5" customHeight="1">
      <c r="A15" s="59">
        <v>201810</v>
      </c>
      <c r="B15" s="53">
        <v>57</v>
      </c>
      <c r="C15" s="53">
        <v>8</v>
      </c>
      <c r="D15" s="54">
        <v>0.14035087719298245</v>
      </c>
      <c r="E15" s="53">
        <v>0</v>
      </c>
      <c r="F15" s="54">
        <v>0</v>
      </c>
      <c r="G15" s="55">
        <v>49</v>
      </c>
      <c r="H15" s="54">
        <v>0.85964912280701755</v>
      </c>
      <c r="I15" s="23"/>
      <c r="J15" s="23"/>
      <c r="K15" s="23"/>
      <c r="M15" s="55">
        <v>201810</v>
      </c>
      <c r="N15" s="53">
        <v>37</v>
      </c>
      <c r="O15" s="53">
        <v>5</v>
      </c>
      <c r="P15" s="54">
        <v>0.13513513513513514</v>
      </c>
      <c r="Q15" s="53">
        <v>0</v>
      </c>
      <c r="R15" s="54">
        <v>0</v>
      </c>
      <c r="S15" s="55">
        <v>32</v>
      </c>
      <c r="T15" s="54">
        <v>0.86486486486486491</v>
      </c>
    </row>
    <row r="16" spans="1:20" ht="13.5" customHeight="1">
      <c r="A16" s="59">
        <v>201820</v>
      </c>
      <c r="B16" s="53">
        <v>42</v>
      </c>
      <c r="C16" s="53">
        <v>11</v>
      </c>
      <c r="D16" s="54">
        <v>0.26190476190476192</v>
      </c>
      <c r="E16" s="53">
        <v>0</v>
      </c>
      <c r="F16" s="54">
        <v>0</v>
      </c>
      <c r="G16" s="55">
        <v>31</v>
      </c>
      <c r="H16" s="54">
        <v>0.73809523809523814</v>
      </c>
      <c r="I16" s="23"/>
      <c r="J16" s="23"/>
      <c r="K16" s="23"/>
      <c r="M16" s="59">
        <v>201820</v>
      </c>
      <c r="N16" s="53">
        <v>19</v>
      </c>
      <c r="O16" s="53">
        <v>4</v>
      </c>
      <c r="P16" s="54">
        <v>0.21052631578947367</v>
      </c>
      <c r="Q16" s="53">
        <v>0</v>
      </c>
      <c r="R16" s="54">
        <v>0</v>
      </c>
      <c r="S16" s="55">
        <v>15</v>
      </c>
      <c r="T16" s="54">
        <v>0.78947368421052633</v>
      </c>
    </row>
    <row r="17" spans="1:23" s="18" customFormat="1" ht="13.5" customHeight="1">
      <c r="A17" s="59">
        <v>201910</v>
      </c>
      <c r="B17" s="53">
        <v>51</v>
      </c>
      <c r="C17" s="53">
        <v>6</v>
      </c>
      <c r="D17" s="54">
        <v>0.1176470588235294</v>
      </c>
      <c r="E17" s="53">
        <v>0</v>
      </c>
      <c r="F17" s="54">
        <v>0</v>
      </c>
      <c r="G17" s="55">
        <v>45</v>
      </c>
      <c r="H17" s="54">
        <v>0.88235294117647056</v>
      </c>
      <c r="I17" s="23"/>
      <c r="J17" s="23"/>
      <c r="K17" s="23"/>
      <c r="M17" s="59">
        <v>201910</v>
      </c>
      <c r="N17" s="53">
        <v>28</v>
      </c>
      <c r="O17" s="53">
        <v>4</v>
      </c>
      <c r="P17" s="54">
        <v>0.14285714285714279</v>
      </c>
      <c r="Q17" s="53">
        <v>0</v>
      </c>
      <c r="R17" s="54">
        <v>0</v>
      </c>
      <c r="S17" s="55">
        <v>24</v>
      </c>
      <c r="T17" s="54">
        <v>0.8571428571428571</v>
      </c>
    </row>
    <row r="18" spans="1:23" s="18" customFormat="1" ht="13.5" customHeight="1">
      <c r="A18" s="59">
        <v>201920</v>
      </c>
      <c r="B18" s="53">
        <v>23</v>
      </c>
      <c r="C18" s="53">
        <v>5</v>
      </c>
      <c r="D18" s="54">
        <v>0.21739130434782611</v>
      </c>
      <c r="E18" s="53">
        <v>0</v>
      </c>
      <c r="F18" s="54">
        <v>0</v>
      </c>
      <c r="G18" s="55">
        <v>18</v>
      </c>
      <c r="H18" s="54">
        <v>0.78260869565217395</v>
      </c>
      <c r="I18" s="23"/>
      <c r="J18" s="23"/>
      <c r="K18" s="23"/>
      <c r="M18" s="59">
        <v>201920</v>
      </c>
      <c r="N18" s="53">
        <v>6</v>
      </c>
      <c r="O18" s="53">
        <v>2</v>
      </c>
      <c r="P18" s="54">
        <v>0.33333333333333331</v>
      </c>
      <c r="Q18" s="53">
        <v>0</v>
      </c>
      <c r="R18" s="54">
        <v>0</v>
      </c>
      <c r="S18" s="55">
        <v>4</v>
      </c>
      <c r="T18" s="54">
        <v>0.66666666666666663</v>
      </c>
    </row>
    <row r="19" spans="1:23" s="18" customFormat="1" ht="13.5" customHeight="1">
      <c r="A19" s="59">
        <v>202010</v>
      </c>
      <c r="B19" s="53">
        <v>11</v>
      </c>
      <c r="C19" s="53">
        <v>5</v>
      </c>
      <c r="D19" s="54">
        <v>0.45454545454545447</v>
      </c>
      <c r="E19" s="53">
        <v>0</v>
      </c>
      <c r="F19" s="54">
        <v>0</v>
      </c>
      <c r="G19" s="55">
        <v>6</v>
      </c>
      <c r="H19" s="54">
        <v>0.54545454545454541</v>
      </c>
      <c r="I19" s="23"/>
      <c r="J19" s="23"/>
      <c r="K19" s="23"/>
      <c r="M19" s="59">
        <v>202010</v>
      </c>
      <c r="N19" s="53">
        <v>6</v>
      </c>
      <c r="O19" s="53">
        <v>2</v>
      </c>
      <c r="P19" s="54">
        <v>0.33333333333333331</v>
      </c>
      <c r="Q19" s="53">
        <v>0</v>
      </c>
      <c r="R19" s="54">
        <v>0</v>
      </c>
      <c r="S19" s="55">
        <v>4</v>
      </c>
      <c r="T19" s="54">
        <v>0.66666666666666663</v>
      </c>
    </row>
    <row r="20" spans="1:23" s="18" customFormat="1" ht="13.5" customHeight="1">
      <c r="A20" s="59">
        <v>202020</v>
      </c>
      <c r="B20" s="53">
        <v>85</v>
      </c>
      <c r="C20" s="53">
        <v>6</v>
      </c>
      <c r="D20" s="54">
        <v>7.0588235294117646E-2</v>
      </c>
      <c r="E20" s="53">
        <v>0</v>
      </c>
      <c r="F20" s="54">
        <v>0</v>
      </c>
      <c r="G20" s="55">
        <v>79</v>
      </c>
      <c r="H20" s="54">
        <v>0.92941176470588238</v>
      </c>
      <c r="I20" s="23"/>
      <c r="J20" s="23"/>
      <c r="K20" s="23"/>
      <c r="M20" s="59">
        <v>202020</v>
      </c>
      <c r="N20" s="53">
        <v>55</v>
      </c>
      <c r="O20" s="53">
        <v>1</v>
      </c>
      <c r="P20" s="54">
        <v>1.8181818181818181E-2</v>
      </c>
      <c r="Q20" s="53">
        <v>0</v>
      </c>
      <c r="R20" s="54">
        <v>0</v>
      </c>
      <c r="S20" s="55">
        <v>54</v>
      </c>
      <c r="T20" s="54">
        <v>0.98181818181818181</v>
      </c>
    </row>
    <row r="21" spans="1:23" s="18" customFormat="1" ht="13.5" customHeight="1">
      <c r="A21" s="59">
        <v>202110</v>
      </c>
      <c r="B21" s="53">
        <v>40</v>
      </c>
      <c r="C21" s="53">
        <v>6</v>
      </c>
      <c r="D21" s="54">
        <v>0.15</v>
      </c>
      <c r="E21" s="53">
        <v>0</v>
      </c>
      <c r="F21" s="54">
        <v>0</v>
      </c>
      <c r="G21" s="55">
        <v>34</v>
      </c>
      <c r="H21" s="54">
        <v>0.85</v>
      </c>
      <c r="I21" s="23"/>
      <c r="J21" s="23"/>
      <c r="K21" s="23"/>
      <c r="M21" s="59">
        <v>202110</v>
      </c>
      <c r="N21" s="53">
        <v>28</v>
      </c>
      <c r="O21" s="53">
        <v>3</v>
      </c>
      <c r="P21" s="54">
        <v>0.1071428571428571</v>
      </c>
      <c r="Q21" s="53">
        <v>0</v>
      </c>
      <c r="R21" s="54">
        <v>0</v>
      </c>
      <c r="S21" s="55">
        <v>25</v>
      </c>
      <c r="T21" s="54">
        <v>0.8928571428571429</v>
      </c>
    </row>
    <row r="22" spans="1:23" s="18" customFormat="1" ht="13.5" customHeight="1">
      <c r="A22" s="59">
        <v>202120</v>
      </c>
      <c r="B22" s="53">
        <v>29</v>
      </c>
      <c r="C22" s="53">
        <v>7</v>
      </c>
      <c r="D22" s="54">
        <v>0.2413793103448276</v>
      </c>
      <c r="E22" s="53">
        <v>0</v>
      </c>
      <c r="F22" s="54">
        <v>0</v>
      </c>
      <c r="G22" s="55">
        <v>22</v>
      </c>
      <c r="H22" s="54">
        <v>0.75862068965517238</v>
      </c>
      <c r="I22" s="23"/>
      <c r="J22" s="23"/>
      <c r="K22" s="23"/>
      <c r="M22" s="59">
        <v>202120</v>
      </c>
      <c r="N22" s="53">
        <v>10</v>
      </c>
      <c r="O22" s="53">
        <v>3</v>
      </c>
      <c r="P22" s="54">
        <v>0.3</v>
      </c>
      <c r="Q22" s="53">
        <v>0</v>
      </c>
      <c r="R22" s="54">
        <v>0</v>
      </c>
      <c r="S22" s="55">
        <v>7</v>
      </c>
      <c r="T22" s="54">
        <v>0.7</v>
      </c>
    </row>
    <row r="23" spans="1:23" s="18" customFormat="1" ht="13.5" customHeight="1">
      <c r="A23" s="98">
        <v>202210</v>
      </c>
      <c r="B23" s="103" cm="1">
        <f t="array" ref="B23">IF(RIGHT($A23,2)="10",_xlfn.XLOOKUP("DER"&amp;$A23,[1]PROGRAMA!$A:$A&amp;[1]PROGRAMA!$B:$B,[1]PROGRAMA!C:C,0),_xlfn.XLOOKUP("DER"&amp;$A23,[2]PROGRAMA!$A:$A&amp;[2]PROGRAMA!$B:$B,[2]PROGRAMA!C:C,0))</f>
        <v>53</v>
      </c>
      <c r="C23" s="103" cm="1">
        <f t="array" ref="C23">IF(RIGHT($A23,2)="10",_xlfn.XLOOKUP("DER"&amp;$A23,[1]PROGRAMA!$A:$A&amp;[1]PROGRAMA!$B:$B,[1]PROGRAMA!D:D,0),_xlfn.XLOOKUP("DER"&amp;$A23,[2]PROGRAMA!$A:$A&amp;[2]PROGRAMA!$B:$B,[2]PROGRAMA!D:D,0))</f>
        <v>6</v>
      </c>
      <c r="D23" s="68">
        <f>IFERROR(C23/$B23,0)</f>
        <v>0.11320754716981132</v>
      </c>
      <c r="E23" s="103" cm="1">
        <f t="array" ref="E23">IF(RIGHT($A23,2)="10",_xlfn.XLOOKUP("DER"&amp;$A23,[1]PROGRAMA!$A:$A&amp;[1]PROGRAMA!$B:$B,[1]PROGRAMA!E:E,0),_xlfn.XLOOKUP("DER"&amp;$A23,[2]PROGRAMA!$A:$A&amp;[2]PROGRAMA!$B:$B,[2]PROGRAMA!E:E,0))</f>
        <v>0</v>
      </c>
      <c r="F23" s="68">
        <f>IFERROR(E23/$B23,0)</f>
        <v>0</v>
      </c>
      <c r="G23" s="104">
        <f>B23-C23</f>
        <v>47</v>
      </c>
      <c r="H23" s="68">
        <f>IFERROR(G23/$B23,0)</f>
        <v>0.8867924528301887</v>
      </c>
      <c r="I23" s="128"/>
      <c r="J23" s="128"/>
      <c r="K23" s="128"/>
      <c r="L23" s="7"/>
      <c r="M23" s="98">
        <v>202210</v>
      </c>
      <c r="N23" s="103" cm="1">
        <f t="array" ref="N23">IF(RIGHT($A23,2)="10",_xlfn.XLOOKUP("DER"&amp;$A23,'[1]PROGRAMA 123'!$A:$A&amp;'[1]PROGRAMA 123'!$B:$B,'[1]PROGRAMA 123'!C:C,0),_xlfn.XLOOKUP("DER"&amp;$A23,'[2]PROGRAMA 123'!$A:$A&amp;'[2]PROGRAMA 123'!$B:$B,'[2]PROGRAMA 123'!C:C,0))</f>
        <v>37</v>
      </c>
      <c r="O23" s="103" cm="1">
        <f t="array" ref="O23">IF(RIGHT($A23,2)="10",_xlfn.XLOOKUP("DER"&amp;$A23,'[1]PROGRAMA 123'!$A:$A&amp;'[1]PROGRAMA 123'!$B:$B,'[1]PROGRAMA 123'!D:D,0),_xlfn.XLOOKUP("DER"&amp;$A23,'[2]PROGRAMA 123'!$A:$A&amp;'[2]PROGRAMA 123'!$B:$B,'[2]PROGRAMA 123'!D:D,0))</f>
        <v>3</v>
      </c>
      <c r="P23" s="68">
        <f>IFERROR(O23/$N23,0)</f>
        <v>8.1081081081081086E-2</v>
      </c>
      <c r="Q23" s="103" cm="1">
        <f t="array" ref="Q23">IF(RIGHT($A23,2)="10",_xlfn.XLOOKUP("DER"&amp;$A23,'[1]PROGRAMA 123'!$A:$A&amp;'[1]PROGRAMA 123'!$B:$B,'[1]PROGRAMA 123'!E:E,0),_xlfn.XLOOKUP("DER"&amp;$A23,'[2]PROGRAMA 123'!$A:$A&amp;'[2]PROGRAMA 123'!$B:$B,'[2]PROGRAMA 123'!E:E,0))</f>
        <v>0</v>
      </c>
      <c r="R23" s="68">
        <f>IFERROR(Q23/$N23,0)</f>
        <v>0</v>
      </c>
      <c r="S23" s="104">
        <f>N23-O23</f>
        <v>34</v>
      </c>
      <c r="T23" s="68">
        <f>IFERROR(S23/$N23,0)</f>
        <v>0.91891891891891897</v>
      </c>
    </row>
    <row r="24" spans="1:23" s="18" customFormat="1" ht="13.5" customHeight="1">
      <c r="A24" s="98">
        <v>202220</v>
      </c>
      <c r="B24" s="103" cm="1">
        <f t="array" ref="B24">IF(RIGHT($A24,2)="10",_xlfn.XLOOKUP("DER"&amp;$A24,[1]PROGRAMA!$A:$A&amp;[1]PROGRAMA!$B:$B,[1]PROGRAMA!C:C,0),_xlfn.XLOOKUP("DER"&amp;$A24,[2]PROGRAMA!$A:$A&amp;[2]PROGRAMA!$B:$B,[2]PROGRAMA!C:C,0))</f>
        <v>35</v>
      </c>
      <c r="C24" s="103" cm="1">
        <f t="array" ref="C24">IF(RIGHT($A24,2)="10",_xlfn.XLOOKUP("DER"&amp;$A24,[1]PROGRAMA!$A:$A&amp;[1]PROGRAMA!$B:$B,[1]PROGRAMA!D:D,0),_xlfn.XLOOKUP("DER"&amp;$A24,[2]PROGRAMA!$A:$A&amp;[2]PROGRAMA!$B:$B,[2]PROGRAMA!D:D,0))</f>
        <v>6</v>
      </c>
      <c r="D24" s="68">
        <f>IFERROR(C24/$B24,0)</f>
        <v>0.17142857142857143</v>
      </c>
      <c r="E24" s="103" cm="1">
        <f t="array" ref="E24">IF(RIGHT($A24,2)="10",_xlfn.XLOOKUP("DER"&amp;$A24,[1]PROGRAMA!$A:$A&amp;[1]PROGRAMA!$B:$B,[1]PROGRAMA!E:E,0),_xlfn.XLOOKUP("DER"&amp;$A24,[2]PROGRAMA!$A:$A&amp;[2]PROGRAMA!$B:$B,[2]PROGRAMA!E:E,0))</f>
        <v>0</v>
      </c>
      <c r="F24" s="68">
        <f>IFERROR(E24/$B24,0)</f>
        <v>0</v>
      </c>
      <c r="G24" s="104">
        <f>B24-C24</f>
        <v>29</v>
      </c>
      <c r="H24" s="68">
        <f>IFERROR(G24/$B24,0)</f>
        <v>0.82857142857142863</v>
      </c>
      <c r="I24" s="128"/>
      <c r="J24" s="128"/>
      <c r="K24" s="128"/>
      <c r="L24" s="7"/>
      <c r="M24" s="98">
        <v>202220</v>
      </c>
      <c r="N24" s="103" cm="1">
        <f t="array" ref="N24">IF(RIGHT($A24,2)="10",_xlfn.XLOOKUP("DER"&amp;$A24,'[1]PROGRAMA 123'!$A:$A&amp;'[1]PROGRAMA 123'!$B:$B,'[1]PROGRAMA 123'!C:C,0),_xlfn.XLOOKUP("DER"&amp;$A24,'[2]PROGRAMA 123'!$A:$A&amp;'[2]PROGRAMA 123'!$B:$B,'[2]PROGRAMA 123'!C:C,0))</f>
        <v>22</v>
      </c>
      <c r="O24" s="103" cm="1">
        <f t="array" ref="O24">IF(RIGHT($A24,2)="10",_xlfn.XLOOKUP("DER"&amp;$A24,'[1]PROGRAMA 123'!$A:$A&amp;'[1]PROGRAMA 123'!$B:$B,'[1]PROGRAMA 123'!D:D,0),_xlfn.XLOOKUP("DER"&amp;$A24,'[2]PROGRAMA 123'!$A:$A&amp;'[2]PROGRAMA 123'!$B:$B,'[2]PROGRAMA 123'!D:D,0))</f>
        <v>2</v>
      </c>
      <c r="P24" s="68">
        <f>IFERROR(O24/$N24,0)</f>
        <v>9.0909090909090912E-2</v>
      </c>
      <c r="Q24" s="103" cm="1">
        <f t="array" ref="Q24">IF(RIGHT($A24,2)="10",_xlfn.XLOOKUP("DER"&amp;$A24,'[1]PROGRAMA 123'!$A:$A&amp;'[1]PROGRAMA 123'!$B:$B,'[1]PROGRAMA 123'!E:E,0),_xlfn.XLOOKUP("DER"&amp;$A24,'[2]PROGRAMA 123'!$A:$A&amp;'[2]PROGRAMA 123'!$B:$B,'[2]PROGRAMA 123'!E:E,0))</f>
        <v>0</v>
      </c>
      <c r="R24" s="68">
        <f>IFERROR(Q24/$N24,0)</f>
        <v>0</v>
      </c>
      <c r="S24" s="104">
        <f>N24-O24</f>
        <v>20</v>
      </c>
      <c r="T24" s="68">
        <f>IFERROR(S24/$N24,0)</f>
        <v>0.90909090909090906</v>
      </c>
    </row>
    <row r="25" spans="1:23" s="18" customFormat="1" ht="13.5" customHeight="1">
      <c r="A25" s="98" t="s">
        <v>239</v>
      </c>
      <c r="B25" s="103">
        <v>45</v>
      </c>
      <c r="C25" s="103">
        <v>5</v>
      </c>
      <c r="D25" s="68">
        <v>0.1111111111111111</v>
      </c>
      <c r="E25" s="103">
        <v>0</v>
      </c>
      <c r="F25" s="68">
        <v>0</v>
      </c>
      <c r="G25" s="104">
        <v>40</v>
      </c>
      <c r="H25" s="68">
        <v>0.88888888888888884</v>
      </c>
      <c r="I25" s="128"/>
      <c r="J25" s="128"/>
      <c r="K25" s="128"/>
      <c r="L25" s="7"/>
      <c r="M25" s="98" t="s">
        <v>239</v>
      </c>
      <c r="N25" s="103">
        <v>28</v>
      </c>
      <c r="O25" s="103">
        <v>4</v>
      </c>
      <c r="P25" s="68">
        <v>0.14285714285714279</v>
      </c>
      <c r="Q25" s="103">
        <v>0</v>
      </c>
      <c r="R25" s="68">
        <v>0</v>
      </c>
      <c r="S25" s="104">
        <v>24</v>
      </c>
      <c r="T25" s="68">
        <v>0.8571428571428571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0.14285714285714285</v>
      </c>
      <c r="B29" s="37">
        <f>+((B6*D6)+(B7*D7))/(B6+B7)</f>
        <v>0.27466666666666667</v>
      </c>
      <c r="C29" s="32">
        <f>((B8*D8)+(B9*D9))/(B8+B9)</f>
        <v>0.25022413793103448</v>
      </c>
      <c r="D29" s="32">
        <f>+((B10*D10)+(B11*D11))/(B10+B11)</f>
        <v>0.2462686567164179</v>
      </c>
      <c r="E29" s="32">
        <f>((B12*D12)+(B13*D13))/(B12+B13)</f>
        <v>0.22018348623853212</v>
      </c>
      <c r="F29" s="32">
        <f>((B14*D14)+(B15*D15))/(B14+B15)</f>
        <v>0.12380952380952381</v>
      </c>
      <c r="G29" s="32">
        <f>((B16*D16)+(B17*D17))/(B16+B17)</f>
        <v>0.18279569892473119</v>
      </c>
      <c r="H29" s="32">
        <f>((B18*D18)+(B19*D19))/(B18+B19)</f>
        <v>0.29411764705882354</v>
      </c>
      <c r="I29" s="32">
        <f>((B20*D20)+(B21*D21))/(B20+B21)</f>
        <v>9.6000000000000002E-2</v>
      </c>
      <c r="J29" s="32">
        <f>(C22+C23)/(B22+B23)</f>
        <v>0.15853658536585366</v>
      </c>
      <c r="K29" s="32">
        <f>D24</f>
        <v>0.17142857142857143</v>
      </c>
      <c r="L29" s="6"/>
      <c r="M29" s="37">
        <f>P5</f>
        <v>0.13636363636363635</v>
      </c>
      <c r="N29" s="37">
        <f>+((N6*P6)+(N7*P7))/(N6+N7)</f>
        <v>0.32270967741935486</v>
      </c>
      <c r="O29" s="32">
        <f>((N8*P8)+(N9*P9))/(N8+N9)</f>
        <v>0.27820253164556963</v>
      </c>
      <c r="P29" s="32">
        <f>+((N10*P10)+(N11*P11))/(N10+N11)</f>
        <v>0.27450980392156865</v>
      </c>
      <c r="Q29" s="32">
        <f>((N12*P12)+(N13*P13))/(N12+N13)</f>
        <v>0.24</v>
      </c>
      <c r="R29" s="32">
        <f>((N14*P14)+(N15*P15))/(N14+N15)</f>
        <v>0.11290322580645161</v>
      </c>
      <c r="S29" s="32">
        <f>((N16*P16)+(N17*P17))/(N16+N17)</f>
        <v>0.17021276595744678</v>
      </c>
      <c r="T29" s="32">
        <f>((N18*P18)+(N19*P19))/(N18+N19)</f>
        <v>0.33333333333333331</v>
      </c>
      <c r="U29" s="32">
        <f>((N20*P20)+(N21*P21))/(N20+N21)</f>
        <v>4.8192771084337331E-2</v>
      </c>
      <c r="V29" s="32">
        <f>(O22+O23)/(N22+N23)</f>
        <v>0.1276595744680851</v>
      </c>
      <c r="W29" s="32">
        <f>P24</f>
        <v>9.0909090909090912E-2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L31"/>
    <mergeCell ref="M30:V30"/>
    <mergeCell ref="M31:W31"/>
    <mergeCell ref="A1:H1"/>
    <mergeCell ref="M1:T1"/>
    <mergeCell ref="A3:H3"/>
    <mergeCell ref="M3:T3"/>
    <mergeCell ref="A2:H2"/>
    <mergeCell ref="M2:T2"/>
    <mergeCell ref="A30:J30"/>
    <mergeCell ref="M27:W27"/>
    <mergeCell ref="A27:K27"/>
  </mergeCells>
  <pageMargins left="0.7" right="0.7" top="0.75" bottom="0.75" header="0.3" footer="0.3"/>
  <pageSetup orientation="portrait" r:id="rId1"/>
  <ignoredErrors>
    <ignoredError sqref="L23:T24 E23:J24" formula="1"/>
    <ignoredError sqref="M25 A25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205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206</v>
      </c>
      <c r="N3" s="225"/>
      <c r="O3" s="225"/>
      <c r="P3" s="225"/>
      <c r="Q3" s="225"/>
      <c r="R3" s="225"/>
      <c r="S3" s="225"/>
      <c r="T3" s="226"/>
    </row>
    <row r="4" spans="1:20" ht="51">
      <c r="A4" s="60" t="s">
        <v>0</v>
      </c>
      <c r="B4" s="60" t="s">
        <v>93</v>
      </c>
      <c r="C4" s="60" t="s">
        <v>94</v>
      </c>
      <c r="D4" s="60" t="s">
        <v>95</v>
      </c>
      <c r="E4" s="60" t="s">
        <v>96</v>
      </c>
      <c r="F4" s="60" t="s">
        <v>97</v>
      </c>
      <c r="G4" s="60" t="s">
        <v>98</v>
      </c>
      <c r="H4" s="60" t="s">
        <v>99</v>
      </c>
      <c r="I4" s="136"/>
      <c r="J4" s="136"/>
      <c r="K4" s="13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>
        <v>9</v>
      </c>
      <c r="C5" s="57">
        <v>1</v>
      </c>
      <c r="D5" s="58">
        <v>0.1111111111111111</v>
      </c>
      <c r="E5" s="57">
        <v>0</v>
      </c>
      <c r="F5" s="58">
        <v>0</v>
      </c>
      <c r="G5" s="57">
        <v>8</v>
      </c>
      <c r="H5" s="58">
        <v>0.88888888888888884</v>
      </c>
      <c r="I5" s="125"/>
      <c r="J5" s="125"/>
      <c r="K5" s="125"/>
      <c r="M5" s="55">
        <v>201310</v>
      </c>
      <c r="N5" s="57">
        <v>7</v>
      </c>
      <c r="O5" s="57">
        <v>0</v>
      </c>
      <c r="P5" s="58">
        <v>0</v>
      </c>
      <c r="Q5" s="57">
        <v>0</v>
      </c>
      <c r="R5" s="58">
        <v>0</v>
      </c>
      <c r="S5" s="57">
        <v>7</v>
      </c>
      <c r="T5" s="58">
        <v>1</v>
      </c>
    </row>
    <row r="6" spans="1:20" ht="13.5" customHeight="1">
      <c r="A6" s="59">
        <v>201320</v>
      </c>
      <c r="B6" s="57">
        <v>17</v>
      </c>
      <c r="C6" s="57">
        <v>7</v>
      </c>
      <c r="D6" s="76">
        <v>0.41176470588235292</v>
      </c>
      <c r="E6" s="57">
        <v>0</v>
      </c>
      <c r="F6" s="76">
        <v>0</v>
      </c>
      <c r="G6" s="59">
        <v>10</v>
      </c>
      <c r="H6" s="76">
        <v>0.58823529411764708</v>
      </c>
      <c r="I6" s="127"/>
      <c r="J6" s="127"/>
      <c r="K6" s="127"/>
      <c r="M6" s="55">
        <v>201320</v>
      </c>
      <c r="N6" s="53">
        <v>5</v>
      </c>
      <c r="O6" s="53">
        <v>1</v>
      </c>
      <c r="P6" s="54">
        <v>0.2</v>
      </c>
      <c r="Q6" s="53">
        <v>0</v>
      </c>
      <c r="R6" s="54">
        <v>0</v>
      </c>
      <c r="S6" s="55">
        <v>4</v>
      </c>
      <c r="T6" s="54">
        <v>0.8</v>
      </c>
    </row>
    <row r="7" spans="1:20" ht="13.5" customHeight="1">
      <c r="A7" s="59">
        <v>201410</v>
      </c>
      <c r="B7" s="57">
        <v>18</v>
      </c>
      <c r="C7" s="57">
        <v>7</v>
      </c>
      <c r="D7" s="58">
        <v>0.38900000000000001</v>
      </c>
      <c r="E7" s="57">
        <v>0</v>
      </c>
      <c r="F7" s="58">
        <v>0</v>
      </c>
      <c r="G7" s="57">
        <v>11</v>
      </c>
      <c r="H7" s="58">
        <v>0.61099999999999999</v>
      </c>
      <c r="I7" s="125"/>
      <c r="J7" s="125"/>
      <c r="K7" s="125"/>
      <c r="M7" s="55">
        <v>201410</v>
      </c>
      <c r="N7" s="53">
        <v>13</v>
      </c>
      <c r="O7" s="53">
        <v>6</v>
      </c>
      <c r="P7" s="54">
        <v>0.46200000000000002</v>
      </c>
      <c r="Q7" s="53">
        <v>0</v>
      </c>
      <c r="R7" s="54">
        <v>0</v>
      </c>
      <c r="S7" s="55">
        <v>7</v>
      </c>
      <c r="T7" s="54">
        <v>0.53800000000000003</v>
      </c>
    </row>
    <row r="8" spans="1:20" ht="13.5" customHeight="1">
      <c r="A8" s="59">
        <v>201420</v>
      </c>
      <c r="B8" s="53">
        <v>32</v>
      </c>
      <c r="C8" s="53">
        <v>7</v>
      </c>
      <c r="D8" s="54">
        <v>0.219</v>
      </c>
      <c r="E8" s="53">
        <v>0</v>
      </c>
      <c r="F8" s="54">
        <v>0</v>
      </c>
      <c r="G8" s="55">
        <v>25</v>
      </c>
      <c r="H8" s="54">
        <v>0.78100000000000003</v>
      </c>
      <c r="I8" s="23"/>
      <c r="J8" s="23"/>
      <c r="K8" s="23"/>
      <c r="M8" s="55">
        <v>201420</v>
      </c>
      <c r="N8" s="53">
        <v>19</v>
      </c>
      <c r="O8" s="53">
        <v>4</v>
      </c>
      <c r="P8" s="54">
        <v>0.21099999999999999</v>
      </c>
      <c r="Q8" s="53">
        <v>0</v>
      </c>
      <c r="R8" s="54">
        <v>0</v>
      </c>
      <c r="S8" s="55">
        <v>15</v>
      </c>
      <c r="T8" s="54">
        <v>0.78900000000000003</v>
      </c>
    </row>
    <row r="9" spans="1:20" ht="13.5" customHeight="1">
      <c r="A9" s="59">
        <v>201510</v>
      </c>
      <c r="B9" s="53">
        <v>25</v>
      </c>
      <c r="C9" s="53">
        <v>3</v>
      </c>
      <c r="D9" s="54">
        <v>0.12</v>
      </c>
      <c r="E9" s="53">
        <v>0</v>
      </c>
      <c r="F9" s="54">
        <v>0</v>
      </c>
      <c r="G9" s="55">
        <v>22</v>
      </c>
      <c r="H9" s="54">
        <v>0.88</v>
      </c>
      <c r="I9" s="23"/>
      <c r="J9" s="23"/>
      <c r="K9" s="23"/>
      <c r="M9" s="55">
        <v>201510</v>
      </c>
      <c r="N9" s="53">
        <v>21</v>
      </c>
      <c r="O9" s="53">
        <v>3</v>
      </c>
      <c r="P9" s="54">
        <v>0.14299999999999999</v>
      </c>
      <c r="Q9" s="53">
        <v>0</v>
      </c>
      <c r="R9" s="54">
        <v>0</v>
      </c>
      <c r="S9" s="55">
        <v>18</v>
      </c>
      <c r="T9" s="54">
        <v>0.85699999999999998</v>
      </c>
    </row>
    <row r="10" spans="1:20" ht="13.5" customHeight="1">
      <c r="A10" s="59">
        <v>201520</v>
      </c>
      <c r="B10" s="53">
        <v>15</v>
      </c>
      <c r="C10" s="53">
        <v>1</v>
      </c>
      <c r="D10" s="54">
        <v>6.6666666666666666E-2</v>
      </c>
      <c r="E10" s="53">
        <v>0</v>
      </c>
      <c r="F10" s="54">
        <v>0</v>
      </c>
      <c r="G10" s="55">
        <v>14</v>
      </c>
      <c r="H10" s="54">
        <v>0.93333333333333335</v>
      </c>
      <c r="I10" s="23"/>
      <c r="J10" s="23"/>
      <c r="K10" s="23"/>
      <c r="M10" s="55">
        <v>201520</v>
      </c>
      <c r="N10" s="53">
        <v>5</v>
      </c>
      <c r="O10" s="53">
        <v>1</v>
      </c>
      <c r="P10" s="54">
        <v>0.2</v>
      </c>
      <c r="Q10" s="53">
        <v>0</v>
      </c>
      <c r="R10" s="54">
        <v>0</v>
      </c>
      <c r="S10" s="55">
        <v>4</v>
      </c>
      <c r="T10" s="54">
        <v>0.8</v>
      </c>
    </row>
    <row r="11" spans="1:20" ht="13.5" customHeight="1">
      <c r="A11" s="59">
        <v>201610</v>
      </c>
      <c r="B11" s="53">
        <v>28</v>
      </c>
      <c r="C11" s="53">
        <v>4</v>
      </c>
      <c r="D11" s="54">
        <v>0.14285714285714285</v>
      </c>
      <c r="E11" s="53">
        <v>0</v>
      </c>
      <c r="F11" s="54">
        <v>0</v>
      </c>
      <c r="G11" s="55">
        <v>24</v>
      </c>
      <c r="H11" s="54">
        <v>0.8571428571428571</v>
      </c>
      <c r="I11" s="23"/>
      <c r="J11" s="23"/>
      <c r="K11" s="23"/>
      <c r="M11" s="55">
        <v>201610</v>
      </c>
      <c r="N11" s="53">
        <v>21</v>
      </c>
      <c r="O11" s="53">
        <v>3</v>
      </c>
      <c r="P11" s="54">
        <v>0.14285714285714285</v>
      </c>
      <c r="Q11" s="53">
        <v>0</v>
      </c>
      <c r="R11" s="54">
        <v>0</v>
      </c>
      <c r="S11" s="55">
        <v>18</v>
      </c>
      <c r="T11" s="54">
        <v>0.8571428571428571</v>
      </c>
    </row>
    <row r="12" spans="1:20" ht="13.5" customHeight="1">
      <c r="A12" s="59">
        <v>201620</v>
      </c>
      <c r="B12" s="57">
        <v>29</v>
      </c>
      <c r="C12" s="57">
        <v>8</v>
      </c>
      <c r="D12" s="58">
        <v>0.27586206896551724</v>
      </c>
      <c r="E12" s="57">
        <v>0</v>
      </c>
      <c r="F12" s="58">
        <v>0</v>
      </c>
      <c r="G12" s="57">
        <v>21</v>
      </c>
      <c r="H12" s="58">
        <v>0.72413793103448276</v>
      </c>
      <c r="I12" s="125"/>
      <c r="J12" s="125"/>
      <c r="K12" s="125"/>
      <c r="M12" s="55">
        <v>201620</v>
      </c>
      <c r="N12" s="57">
        <v>19</v>
      </c>
      <c r="O12" s="57">
        <v>6</v>
      </c>
      <c r="P12" s="58">
        <v>0.31578947368421051</v>
      </c>
      <c r="Q12" s="57">
        <v>0</v>
      </c>
      <c r="R12" s="58">
        <v>0</v>
      </c>
      <c r="S12" s="57">
        <v>13</v>
      </c>
      <c r="T12" s="58">
        <v>0.68421052631578949</v>
      </c>
    </row>
    <row r="13" spans="1:20" ht="13.5" customHeight="1">
      <c r="A13" s="59">
        <v>201710</v>
      </c>
      <c r="B13" s="53">
        <v>17</v>
      </c>
      <c r="C13" s="53">
        <v>2</v>
      </c>
      <c r="D13" s="54">
        <v>0.11764705882352941</v>
      </c>
      <c r="E13" s="53">
        <v>0</v>
      </c>
      <c r="F13" s="54">
        <v>0</v>
      </c>
      <c r="G13" s="55">
        <v>15</v>
      </c>
      <c r="H13" s="54">
        <v>0.88235294117647056</v>
      </c>
      <c r="I13" s="23"/>
      <c r="J13" s="23"/>
      <c r="K13" s="23"/>
      <c r="M13" s="55">
        <v>201710</v>
      </c>
      <c r="N13" s="53">
        <v>13</v>
      </c>
      <c r="O13" s="53">
        <v>1</v>
      </c>
      <c r="P13" s="54">
        <v>7.6923076923076927E-2</v>
      </c>
      <c r="Q13" s="53">
        <v>0</v>
      </c>
      <c r="R13" s="54">
        <v>0</v>
      </c>
      <c r="S13" s="55">
        <v>12</v>
      </c>
      <c r="T13" s="54">
        <v>0.92307692307692313</v>
      </c>
    </row>
    <row r="14" spans="1:20" ht="13.5" customHeight="1">
      <c r="A14" s="59">
        <v>201720</v>
      </c>
      <c r="B14" s="53">
        <v>21</v>
      </c>
      <c r="C14" s="53">
        <v>3</v>
      </c>
      <c r="D14" s="54">
        <v>0.14285714285714285</v>
      </c>
      <c r="E14" s="53">
        <v>0</v>
      </c>
      <c r="F14" s="54">
        <v>0</v>
      </c>
      <c r="G14" s="55">
        <v>18</v>
      </c>
      <c r="H14" s="54">
        <v>0.8571428571428571</v>
      </c>
      <c r="I14" s="23"/>
      <c r="J14" s="23"/>
      <c r="K14" s="23"/>
      <c r="M14" s="55">
        <v>201720</v>
      </c>
      <c r="N14" s="53">
        <v>9</v>
      </c>
      <c r="O14" s="53">
        <v>1</v>
      </c>
      <c r="P14" s="54">
        <v>0.1111111111111111</v>
      </c>
      <c r="Q14" s="53">
        <v>0</v>
      </c>
      <c r="R14" s="54">
        <v>0</v>
      </c>
      <c r="S14" s="55">
        <v>8</v>
      </c>
      <c r="T14" s="54">
        <v>0.88888888888888884</v>
      </c>
    </row>
    <row r="15" spans="1:20" ht="13.5" customHeight="1">
      <c r="A15" s="59">
        <v>201810</v>
      </c>
      <c r="B15" s="53">
        <v>15</v>
      </c>
      <c r="C15" s="53">
        <v>3</v>
      </c>
      <c r="D15" s="54">
        <v>0.2</v>
      </c>
      <c r="E15" s="53">
        <v>0</v>
      </c>
      <c r="F15" s="54">
        <v>0</v>
      </c>
      <c r="G15" s="55">
        <v>12</v>
      </c>
      <c r="H15" s="54">
        <v>0.8</v>
      </c>
      <c r="I15" s="23"/>
      <c r="J15" s="23"/>
      <c r="K15" s="23"/>
      <c r="M15" s="55">
        <v>201810</v>
      </c>
      <c r="N15" s="53">
        <v>7</v>
      </c>
      <c r="O15" s="53">
        <v>1</v>
      </c>
      <c r="P15" s="54">
        <v>0.14285714285714285</v>
      </c>
      <c r="Q15" s="53">
        <v>0</v>
      </c>
      <c r="R15" s="54">
        <v>0</v>
      </c>
      <c r="S15" s="55">
        <v>6</v>
      </c>
      <c r="T15" s="54">
        <v>0.8571428571428571</v>
      </c>
    </row>
    <row r="16" spans="1:20" ht="13.5" customHeight="1">
      <c r="A16" s="59">
        <v>201820</v>
      </c>
      <c r="B16" s="53">
        <v>20</v>
      </c>
      <c r="C16" s="53">
        <v>2</v>
      </c>
      <c r="D16" s="54">
        <v>0.1</v>
      </c>
      <c r="E16" s="53">
        <v>0</v>
      </c>
      <c r="F16" s="54">
        <v>0</v>
      </c>
      <c r="G16" s="55">
        <v>18</v>
      </c>
      <c r="H16" s="54">
        <v>0.9</v>
      </c>
      <c r="I16" s="23"/>
      <c r="J16" s="23"/>
      <c r="K16" s="23"/>
      <c r="M16" s="59">
        <v>201820</v>
      </c>
      <c r="N16" s="53">
        <v>7</v>
      </c>
      <c r="O16" s="53">
        <v>0</v>
      </c>
      <c r="P16" s="54">
        <v>0</v>
      </c>
      <c r="Q16" s="53">
        <v>0</v>
      </c>
      <c r="R16" s="54">
        <v>0</v>
      </c>
      <c r="S16" s="55">
        <v>7</v>
      </c>
      <c r="T16" s="54">
        <v>1</v>
      </c>
    </row>
    <row r="17" spans="1:23" ht="13.5" customHeight="1">
      <c r="A17" s="59">
        <v>201910</v>
      </c>
      <c r="B17" s="53">
        <v>20</v>
      </c>
      <c r="C17" s="53">
        <v>6</v>
      </c>
      <c r="D17" s="54">
        <v>0.3</v>
      </c>
      <c r="E17" s="53">
        <v>0</v>
      </c>
      <c r="F17" s="54">
        <v>0</v>
      </c>
      <c r="G17" s="55">
        <v>14</v>
      </c>
      <c r="H17" s="54">
        <v>0.7</v>
      </c>
      <c r="I17" s="23"/>
      <c r="J17" s="23"/>
      <c r="K17" s="23"/>
      <c r="M17" s="59">
        <v>201910</v>
      </c>
      <c r="N17" s="53">
        <v>14</v>
      </c>
      <c r="O17" s="53">
        <v>4</v>
      </c>
      <c r="P17" s="54">
        <v>0.2857142857142857</v>
      </c>
      <c r="Q17" s="53">
        <v>0</v>
      </c>
      <c r="R17" s="54">
        <v>0</v>
      </c>
      <c r="S17" s="55">
        <v>10</v>
      </c>
      <c r="T17" s="54">
        <v>0.7142857142857143</v>
      </c>
    </row>
    <row r="18" spans="1:23" ht="13.5" customHeight="1">
      <c r="A18" s="59">
        <v>201920</v>
      </c>
      <c r="B18" s="53">
        <v>11</v>
      </c>
      <c r="C18" s="53">
        <v>5</v>
      </c>
      <c r="D18" s="54">
        <v>0.45454545454545447</v>
      </c>
      <c r="E18" s="53">
        <v>0</v>
      </c>
      <c r="F18" s="54">
        <v>0</v>
      </c>
      <c r="G18" s="55">
        <v>6</v>
      </c>
      <c r="H18" s="54">
        <v>0.54545454545454541</v>
      </c>
      <c r="I18" s="23"/>
      <c r="J18" s="23"/>
      <c r="K18" s="23"/>
      <c r="M18" s="59">
        <v>201920</v>
      </c>
      <c r="N18" s="53">
        <v>4</v>
      </c>
      <c r="O18" s="53">
        <v>0</v>
      </c>
      <c r="P18" s="54">
        <v>0</v>
      </c>
      <c r="Q18" s="53">
        <v>0</v>
      </c>
      <c r="R18" s="54">
        <v>0</v>
      </c>
      <c r="S18" s="55">
        <v>4</v>
      </c>
      <c r="T18" s="54">
        <v>1</v>
      </c>
    </row>
    <row r="19" spans="1:23" ht="13.5" customHeight="1">
      <c r="A19" s="59">
        <v>202010</v>
      </c>
      <c r="B19" s="53">
        <v>13</v>
      </c>
      <c r="C19" s="53">
        <v>4</v>
      </c>
      <c r="D19" s="54">
        <v>0.30769230769230771</v>
      </c>
      <c r="E19" s="53">
        <v>0</v>
      </c>
      <c r="F19" s="54">
        <v>0</v>
      </c>
      <c r="G19" s="55">
        <v>9</v>
      </c>
      <c r="H19" s="54">
        <v>0.69230769230769229</v>
      </c>
      <c r="I19" s="23"/>
      <c r="J19" s="23"/>
      <c r="K19" s="23"/>
      <c r="M19" s="59">
        <v>202010</v>
      </c>
      <c r="N19" s="53">
        <v>6</v>
      </c>
      <c r="O19" s="53">
        <v>1</v>
      </c>
      <c r="P19" s="54">
        <v>0.16666666666666671</v>
      </c>
      <c r="Q19" s="53">
        <v>0</v>
      </c>
      <c r="R19" s="54">
        <v>0</v>
      </c>
      <c r="S19" s="55">
        <v>5</v>
      </c>
      <c r="T19" s="54">
        <v>0.83333333333333337</v>
      </c>
    </row>
    <row r="20" spans="1:23" ht="13.5" customHeight="1">
      <c r="A20" s="59">
        <v>202020</v>
      </c>
      <c r="B20" s="53">
        <v>75</v>
      </c>
      <c r="C20" s="53">
        <v>9</v>
      </c>
      <c r="D20" s="54">
        <v>0.12</v>
      </c>
      <c r="E20" s="53">
        <v>0</v>
      </c>
      <c r="F20" s="54">
        <v>0</v>
      </c>
      <c r="G20" s="55">
        <v>66</v>
      </c>
      <c r="H20" s="54">
        <v>0.88</v>
      </c>
      <c r="I20" s="23"/>
      <c r="J20" s="23"/>
      <c r="K20" s="23"/>
      <c r="M20" s="59">
        <v>202020</v>
      </c>
      <c r="N20" s="53">
        <v>35</v>
      </c>
      <c r="O20" s="53">
        <v>1</v>
      </c>
      <c r="P20" s="54">
        <v>2.8571428571428571E-2</v>
      </c>
      <c r="Q20" s="53">
        <v>0</v>
      </c>
      <c r="R20" s="54">
        <v>0</v>
      </c>
      <c r="S20" s="55">
        <v>34</v>
      </c>
      <c r="T20" s="54">
        <v>0.97142857142857142</v>
      </c>
    </row>
    <row r="21" spans="1:23" ht="13.5" customHeight="1">
      <c r="A21" s="59">
        <v>202110</v>
      </c>
      <c r="B21" s="53">
        <v>21</v>
      </c>
      <c r="C21" s="53">
        <v>5</v>
      </c>
      <c r="D21" s="54">
        <v>0.23809523809523811</v>
      </c>
      <c r="E21" s="53">
        <v>0</v>
      </c>
      <c r="F21" s="54">
        <v>0</v>
      </c>
      <c r="G21" s="55">
        <v>16</v>
      </c>
      <c r="H21" s="54">
        <v>0.76190476190476186</v>
      </c>
      <c r="I21" s="23"/>
      <c r="J21" s="23"/>
      <c r="K21" s="23"/>
      <c r="M21" s="59">
        <v>202110</v>
      </c>
      <c r="N21" s="53">
        <v>10</v>
      </c>
      <c r="O21" s="53">
        <v>3</v>
      </c>
      <c r="P21" s="54">
        <v>0.3</v>
      </c>
      <c r="Q21" s="53">
        <v>0</v>
      </c>
      <c r="R21" s="54">
        <v>0</v>
      </c>
      <c r="S21" s="55">
        <v>7</v>
      </c>
      <c r="T21" s="54">
        <v>0.7</v>
      </c>
    </row>
    <row r="22" spans="1:23" ht="13.5" customHeight="1">
      <c r="A22" s="59">
        <v>202120</v>
      </c>
      <c r="B22" s="53">
        <v>12</v>
      </c>
      <c r="C22" s="53">
        <v>3</v>
      </c>
      <c r="D22" s="54">
        <v>0.25</v>
      </c>
      <c r="E22" s="53">
        <v>0</v>
      </c>
      <c r="F22" s="54">
        <v>0</v>
      </c>
      <c r="G22" s="55">
        <v>9</v>
      </c>
      <c r="H22" s="54">
        <v>0.75</v>
      </c>
      <c r="I22" s="23"/>
      <c r="J22" s="23"/>
      <c r="K22" s="23"/>
      <c r="M22" s="59">
        <v>202120</v>
      </c>
      <c r="N22" s="53">
        <v>9</v>
      </c>
      <c r="O22" s="53">
        <v>2</v>
      </c>
      <c r="P22" s="54">
        <v>0.22222222222222221</v>
      </c>
      <c r="Q22" s="53">
        <v>0</v>
      </c>
      <c r="R22" s="54">
        <v>0</v>
      </c>
      <c r="S22" s="55">
        <v>7</v>
      </c>
      <c r="T22" s="54">
        <v>0.77777777777777779</v>
      </c>
    </row>
    <row r="23" spans="1:23" ht="13.5" customHeight="1">
      <c r="A23" s="98">
        <v>202210</v>
      </c>
      <c r="B23" s="103" cm="1">
        <f t="array" ref="B23">IF(RIGHT($A23,2)="10",_xlfn.XLOOKUP("CIP"&amp;$A23,[1]PROGRAMA!$A:$A&amp;[1]PROGRAMA!$B:$B,[1]PROGRAMA!C:C,0),_xlfn.XLOOKUP("CIP"&amp;$A23,[2]PROGRAMA!$A:$A&amp;[2]PROGRAMA!$B:$B,[2]PROGRAMA!C:C,0))</f>
        <v>32</v>
      </c>
      <c r="C23" s="103" cm="1">
        <f t="array" ref="C23">IF(RIGHT($A23,2)="10",_xlfn.XLOOKUP("CIP"&amp;$A23,[1]PROGRAMA!$A:$A&amp;[1]PROGRAMA!$B:$B,[1]PROGRAMA!D:D,0),_xlfn.XLOOKUP("CIP"&amp;$A23,[2]PROGRAMA!$A:$A&amp;[2]PROGRAMA!$B:$B,[2]PROGRAMA!D:D,0))</f>
        <v>3</v>
      </c>
      <c r="D23" s="68">
        <f>IFERROR(C23/$B23,0)</f>
        <v>9.375E-2</v>
      </c>
      <c r="E23" s="103" cm="1">
        <f t="array" ref="E23">IF(RIGHT($A23,2)="10",_xlfn.XLOOKUP("CIP"&amp;$A23,[1]PROGRAMA!$A:$A&amp;[1]PROGRAMA!$B:$B,[1]PROGRAMA!E:E,0),_xlfn.XLOOKUP("CIP"&amp;$A23,[2]PROGRAMA!$A:$A&amp;[2]PROGRAMA!$B:$B,[2]PROGRAMA!E:E,0))</f>
        <v>0</v>
      </c>
      <c r="F23" s="68">
        <f>IFERROR(E23/$N23,0)</f>
        <v>0</v>
      </c>
      <c r="G23" s="104">
        <f>B23-C23</f>
        <v>29</v>
      </c>
      <c r="H23" s="68">
        <f>IFERROR(G23/$N23,0)</f>
        <v>1.3809523809523809</v>
      </c>
      <c r="I23" s="128"/>
      <c r="J23" s="128"/>
      <c r="K23" s="128"/>
      <c r="M23" s="98">
        <v>202210</v>
      </c>
      <c r="N23" s="103" cm="1">
        <f t="array" ref="N23">IF(RIGHT($A23,2)="10",_xlfn.XLOOKUP("CIP"&amp;$A23,'[1]PROGRAMA 123'!$A:$A&amp;'[1]PROGRAMA 123'!$B:$B,'[1]PROGRAMA 123'!C:C,0),_xlfn.XLOOKUP("CIP"&amp;$A23,'[2]PROGRAMA 123'!$A:$A&amp;'[2]PROGRAMA 123'!$B:$B,'[2]PROGRAMA 123'!C:C,0))</f>
        <v>21</v>
      </c>
      <c r="O23" s="103" cm="1">
        <f t="array" ref="O23">IF(RIGHT($A23,2)="10",_xlfn.XLOOKUP("CIP"&amp;$A23,'[1]PROGRAMA 123'!$A:$A&amp;'[1]PROGRAMA 123'!$B:$B,'[1]PROGRAMA 123'!D:D,0),_xlfn.XLOOKUP("CIP"&amp;$A23,'[2]PROGRAMA 123'!$A:$A&amp;'[2]PROGRAMA 123'!$B:$B,'[2]PROGRAMA 123'!D:D,0))</f>
        <v>3</v>
      </c>
      <c r="P23" s="68">
        <f>IFERROR(O23/$N23,0)</f>
        <v>0.14285714285714285</v>
      </c>
      <c r="Q23" s="103" cm="1">
        <f t="array" ref="Q23">IF(RIGHT($A23,2)="10",_xlfn.XLOOKUP("CIP"&amp;$A23,'[1]PROGRAMA 123'!$A:$A&amp;'[1]PROGRAMA 123'!$B:$B,'[1]PROGRAMA 123'!E:E,0),_xlfn.XLOOKUP("CIP"&amp;$A23,'[2]PROGRAMA 123'!$A:$A&amp;'[2]PROGRAMA 123'!$B:$B,'[2]PROGRAMA 123'!E:E,0))</f>
        <v>0</v>
      </c>
      <c r="R23" s="68">
        <f>IFERROR(Q23/$N23,0)</f>
        <v>0</v>
      </c>
      <c r="S23" s="104">
        <f>N23-O23</f>
        <v>18</v>
      </c>
      <c r="T23" s="68">
        <f>IFERROR(S23/$N23,0)</f>
        <v>0.8571428571428571</v>
      </c>
    </row>
    <row r="24" spans="1:23" ht="13.5" customHeight="1">
      <c r="A24" s="98">
        <v>202220</v>
      </c>
      <c r="B24" s="103" cm="1">
        <f t="array" ref="B24">IF(RIGHT($A24,2)="10",_xlfn.XLOOKUP("CIP"&amp;$A24,[1]PROGRAMA!$A:$A&amp;[1]PROGRAMA!$B:$B,[1]PROGRAMA!C:C,0),_xlfn.XLOOKUP("CIP"&amp;$A24,[2]PROGRAMA!$A:$A&amp;[2]PROGRAMA!$B:$B,[2]PROGRAMA!C:C,0))</f>
        <v>22</v>
      </c>
      <c r="C24" s="103" cm="1">
        <f t="array" ref="C24">IF(RIGHT($A24,2)="10",_xlfn.XLOOKUP("CIP"&amp;$A24,[1]PROGRAMA!$A:$A&amp;[1]PROGRAMA!$B:$B,[1]PROGRAMA!D:D,0),_xlfn.XLOOKUP("CIP"&amp;$A24,[2]PROGRAMA!$A:$A&amp;[2]PROGRAMA!$B:$B,[2]PROGRAMA!D:D,0))</f>
        <v>3</v>
      </c>
      <c r="D24" s="68">
        <f>IFERROR(C24/$B24,0)</f>
        <v>0.13636363636363635</v>
      </c>
      <c r="E24" s="103" cm="1">
        <f t="array" ref="E24">IF(RIGHT($A24,2)="10",_xlfn.XLOOKUP("CIP"&amp;$A24,[1]PROGRAMA!$A:$A&amp;[1]PROGRAMA!$B:$B,[1]PROGRAMA!E:E,0),_xlfn.XLOOKUP("CIP"&amp;$A24,[2]PROGRAMA!$A:$A&amp;[2]PROGRAMA!$B:$B,[2]PROGRAMA!E:E,0))</f>
        <v>0</v>
      </c>
      <c r="F24" s="68">
        <f>IFERROR(E24/$N24,0)</f>
        <v>0</v>
      </c>
      <c r="G24" s="104">
        <f>B24-C24</f>
        <v>19</v>
      </c>
      <c r="H24" s="68">
        <f>IFERROR(G24/$N24,0)</f>
        <v>2.375</v>
      </c>
      <c r="I24" s="128"/>
      <c r="J24" s="128"/>
      <c r="K24" s="128"/>
      <c r="M24" s="98">
        <v>202220</v>
      </c>
      <c r="N24" s="103" cm="1">
        <f t="array" ref="N24">IF(RIGHT($A24,2)="10",_xlfn.XLOOKUP("CIP"&amp;$A24,'[1]PROGRAMA 123'!$A:$A&amp;'[1]PROGRAMA 123'!$B:$B,'[1]PROGRAMA 123'!C:C,0),_xlfn.XLOOKUP("CIP"&amp;$A24,'[2]PROGRAMA 123'!$A:$A&amp;'[2]PROGRAMA 123'!$B:$B,'[2]PROGRAMA 123'!C:C,0))</f>
        <v>8</v>
      </c>
      <c r="O24" s="103" cm="1">
        <f t="array" ref="O24">IF(RIGHT($A24,2)="10",_xlfn.XLOOKUP("CIP"&amp;$A24,'[1]PROGRAMA 123'!$A:$A&amp;'[1]PROGRAMA 123'!$B:$B,'[1]PROGRAMA 123'!D:D,0),_xlfn.XLOOKUP("CIP"&amp;$A24,'[2]PROGRAMA 123'!$A:$A&amp;'[2]PROGRAMA 123'!$B:$B,'[2]PROGRAMA 123'!D:D,0))</f>
        <v>1</v>
      </c>
      <c r="P24" s="68">
        <f>IFERROR(O24/$N24,0)</f>
        <v>0.125</v>
      </c>
      <c r="Q24" s="103" cm="1">
        <f t="array" ref="Q24">IF(RIGHT($A24,2)="10",_xlfn.XLOOKUP("CIP"&amp;$A24,'[1]PROGRAMA 123'!$A:$A&amp;'[1]PROGRAMA 123'!$B:$B,'[1]PROGRAMA 123'!E:E,0),_xlfn.XLOOKUP("CIP"&amp;$A24,'[2]PROGRAMA 123'!$A:$A&amp;'[2]PROGRAMA 123'!$B:$B,'[2]PROGRAMA 123'!E:E,0))</f>
        <v>0</v>
      </c>
      <c r="R24" s="68">
        <f>IFERROR(Q24/$N24,0)</f>
        <v>0</v>
      </c>
      <c r="S24" s="104">
        <f>N24-O24</f>
        <v>7</v>
      </c>
      <c r="T24" s="68">
        <f>IFERROR(S24/$N24,0)</f>
        <v>0.875</v>
      </c>
    </row>
    <row r="25" spans="1:23" ht="13.5" customHeight="1">
      <c r="A25" s="98" t="s">
        <v>239</v>
      </c>
      <c r="B25" s="103">
        <v>25</v>
      </c>
      <c r="C25" s="103">
        <v>1</v>
      </c>
      <c r="D25" s="68">
        <v>0.04</v>
      </c>
      <c r="E25" s="103">
        <v>0</v>
      </c>
      <c r="F25" s="68">
        <v>0</v>
      </c>
      <c r="G25" s="104">
        <v>24</v>
      </c>
      <c r="H25" s="68">
        <v>0.96</v>
      </c>
      <c r="I25" s="128"/>
      <c r="J25" s="128"/>
      <c r="K25" s="128"/>
      <c r="M25" s="98" t="s">
        <v>239</v>
      </c>
      <c r="N25" s="103">
        <v>18</v>
      </c>
      <c r="O25" s="103">
        <v>1</v>
      </c>
      <c r="P25" s="68">
        <v>5.5555555555555552E-2</v>
      </c>
      <c r="Q25" s="103">
        <v>0</v>
      </c>
      <c r="R25" s="68">
        <v>0</v>
      </c>
      <c r="S25" s="104">
        <v>17</v>
      </c>
      <c r="T25" s="68">
        <v>0.94444444444444442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11" t="s">
        <v>114</v>
      </c>
      <c r="N27" s="212"/>
      <c r="O27" s="212"/>
      <c r="P27" s="212"/>
      <c r="Q27" s="212"/>
      <c r="R27" s="212"/>
      <c r="S27" s="212"/>
      <c r="T27" s="212"/>
      <c r="U27" s="212"/>
      <c r="V27" s="212"/>
      <c r="W27" s="212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0.1111111111111111</v>
      </c>
      <c r="B29" s="37">
        <f>+((B6*D6)+(B7*D7))/(B6+B7)</f>
        <v>0.40005714285714289</v>
      </c>
      <c r="C29" s="32">
        <f>((B8*D8)+(B9*D9))/(B8+B9)</f>
        <v>0.17557894736842103</v>
      </c>
      <c r="D29" s="32">
        <f>+((B10*D10)+(B11*D11))/(B10+B11)</f>
        <v>0.11627906976744186</v>
      </c>
      <c r="E29" s="32">
        <f>((B12*D12)+(B13*D13))/(B12+B13)</f>
        <v>0.21739130434782608</v>
      </c>
      <c r="F29" s="32">
        <f>((B14*D14)+(B15*D15))/(B14+B15)</f>
        <v>0.16666666666666666</v>
      </c>
      <c r="G29" s="32">
        <f>((B16*D16)+(B17*D17))/(B16+B17)</f>
        <v>0.2</v>
      </c>
      <c r="H29" s="32">
        <f>((B18*D18)+(B19*D19))/(B18+B19)</f>
        <v>0.375</v>
      </c>
      <c r="I29" s="32">
        <f>((B20*D20)+(B21*D21))/(B20+B21)</f>
        <v>0.14583333333333334</v>
      </c>
      <c r="J29" s="32">
        <f>(C22+C23)/(B22+B23)</f>
        <v>0.13636363636363635</v>
      </c>
      <c r="K29" s="32">
        <f>D24</f>
        <v>0.13636363636363635</v>
      </c>
      <c r="L29" s="6"/>
      <c r="M29" s="37">
        <f>P5</f>
        <v>0</v>
      </c>
      <c r="N29" s="37">
        <f>+((N6*P6)+(N7*P7))/(N6+N7)</f>
        <v>0.38922222222222225</v>
      </c>
      <c r="O29" s="32">
        <f>((N8*P8)+(N9*P9))/(N8+N9)</f>
        <v>0.17529999999999996</v>
      </c>
      <c r="P29" s="32">
        <f>+((N10*P10)+(N11*P11))/(N10+N11)</f>
        <v>0.15384615384615385</v>
      </c>
      <c r="Q29" s="32">
        <f>((N12*P12)+(N13*P13))/(N12+N13)</f>
        <v>0.21875</v>
      </c>
      <c r="R29" s="32">
        <f>((N14*P14)+(N15*P15))/(N14+N15)</f>
        <v>0.125</v>
      </c>
      <c r="S29" s="32">
        <f>((N16*P16)+(N17*P17))/(N16+N17)</f>
        <v>0.19047619047619047</v>
      </c>
      <c r="T29" s="32">
        <f>((N18*P18)+(N19*P19))/(N18+N19)</f>
        <v>0.10000000000000002</v>
      </c>
      <c r="U29" s="32">
        <f>((N20*P20)+(N21*P21))/(N20+N21)</f>
        <v>8.8888888888888892E-2</v>
      </c>
      <c r="V29" s="32">
        <f>(O22+O23)/(N22+N23)</f>
        <v>0.16666666666666666</v>
      </c>
      <c r="W29" s="32">
        <f>P24</f>
        <v>0.125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L31"/>
    <mergeCell ref="M30:V30"/>
    <mergeCell ref="M31:W31"/>
    <mergeCell ref="A1:H1"/>
    <mergeCell ref="M1:T1"/>
    <mergeCell ref="A3:H3"/>
    <mergeCell ref="M3:T3"/>
    <mergeCell ref="A2:H2"/>
    <mergeCell ref="M2:T2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L23:T24 G23:J24" formula="1"/>
    <ignoredError sqref="M25 A25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207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208</v>
      </c>
      <c r="N3" s="225"/>
      <c r="O3" s="225"/>
      <c r="P3" s="225"/>
      <c r="Q3" s="225"/>
      <c r="R3" s="225"/>
      <c r="S3" s="225"/>
      <c r="T3" s="226"/>
    </row>
    <row r="4" spans="1:20" ht="51">
      <c r="A4" s="60" t="s">
        <v>0</v>
      </c>
      <c r="B4" s="60" t="s">
        <v>93</v>
      </c>
      <c r="C4" s="60" t="s">
        <v>94</v>
      </c>
      <c r="D4" s="60" t="s">
        <v>95</v>
      </c>
      <c r="E4" s="60" t="s">
        <v>96</v>
      </c>
      <c r="F4" s="60" t="s">
        <v>97</v>
      </c>
      <c r="G4" s="60" t="s">
        <v>98</v>
      </c>
      <c r="H4" s="60" t="s">
        <v>99</v>
      </c>
      <c r="I4" s="136"/>
      <c r="J4" s="136"/>
      <c r="K4" s="13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>
        <v>19</v>
      </c>
      <c r="C5" s="57">
        <v>4</v>
      </c>
      <c r="D5" s="58">
        <v>0.21052631578947367</v>
      </c>
      <c r="E5" s="57">
        <v>0</v>
      </c>
      <c r="F5" s="58">
        <v>0</v>
      </c>
      <c r="G5" s="57">
        <v>15</v>
      </c>
      <c r="H5" s="58">
        <v>0.78947368421052633</v>
      </c>
      <c r="I5" s="125"/>
      <c r="J5" s="125"/>
      <c r="K5" s="125"/>
      <c r="M5" s="55">
        <v>201310</v>
      </c>
      <c r="N5" s="57">
        <v>17</v>
      </c>
      <c r="O5" s="57">
        <v>4</v>
      </c>
      <c r="P5" s="58">
        <v>0.23529411764705882</v>
      </c>
      <c r="Q5" s="57">
        <v>0</v>
      </c>
      <c r="R5" s="58">
        <v>0</v>
      </c>
      <c r="S5" s="57">
        <v>13</v>
      </c>
      <c r="T5" s="58">
        <v>0.76470588235294112</v>
      </c>
    </row>
    <row r="6" spans="1:20" ht="13.5" customHeight="1">
      <c r="A6" s="59">
        <v>201320</v>
      </c>
      <c r="B6" s="57">
        <v>11</v>
      </c>
      <c r="C6" s="57">
        <v>4</v>
      </c>
      <c r="D6" s="76">
        <v>0.36363636363636365</v>
      </c>
      <c r="E6" s="57">
        <v>0</v>
      </c>
      <c r="F6" s="76">
        <v>0</v>
      </c>
      <c r="G6" s="59">
        <v>7</v>
      </c>
      <c r="H6" s="76">
        <v>0.63636363636363635</v>
      </c>
      <c r="I6" s="127"/>
      <c r="J6" s="127"/>
      <c r="K6" s="127"/>
      <c r="M6" s="55">
        <v>201320</v>
      </c>
      <c r="N6" s="53">
        <v>7</v>
      </c>
      <c r="O6" s="53">
        <v>2</v>
      </c>
      <c r="P6" s="54">
        <v>0.2857142857142857</v>
      </c>
      <c r="Q6" s="53">
        <v>0</v>
      </c>
      <c r="R6" s="54">
        <v>0</v>
      </c>
      <c r="S6" s="55">
        <v>5</v>
      </c>
      <c r="T6" s="54">
        <v>0.7142857142857143</v>
      </c>
    </row>
    <row r="7" spans="1:20" ht="13.5" customHeight="1">
      <c r="A7" s="59">
        <v>201410</v>
      </c>
      <c r="B7" s="57">
        <v>24</v>
      </c>
      <c r="C7" s="57">
        <v>5</v>
      </c>
      <c r="D7" s="58">
        <v>0.20799999999999999</v>
      </c>
      <c r="E7" s="57">
        <v>0</v>
      </c>
      <c r="F7" s="58">
        <v>0</v>
      </c>
      <c r="G7" s="57">
        <v>19</v>
      </c>
      <c r="H7" s="58">
        <v>0.79200000000000004</v>
      </c>
      <c r="I7" s="125"/>
      <c r="J7" s="125"/>
      <c r="K7" s="125"/>
      <c r="M7" s="55">
        <v>201410</v>
      </c>
      <c r="N7" s="53">
        <v>17</v>
      </c>
      <c r="O7" s="53">
        <v>4</v>
      </c>
      <c r="P7" s="54">
        <v>0.23499999999999999</v>
      </c>
      <c r="Q7" s="53">
        <v>0</v>
      </c>
      <c r="R7" s="54">
        <v>0</v>
      </c>
      <c r="S7" s="55">
        <v>13</v>
      </c>
      <c r="T7" s="54">
        <v>0.76500000000000001</v>
      </c>
    </row>
    <row r="8" spans="1:20" ht="13.5" customHeight="1">
      <c r="A8" s="59">
        <v>201420</v>
      </c>
      <c r="B8" s="53">
        <v>21</v>
      </c>
      <c r="C8" s="53">
        <v>3</v>
      </c>
      <c r="D8" s="54">
        <v>0.14299999999999999</v>
      </c>
      <c r="E8" s="53">
        <v>0</v>
      </c>
      <c r="F8" s="54">
        <v>0</v>
      </c>
      <c r="G8" s="55">
        <v>18</v>
      </c>
      <c r="H8" s="54">
        <v>0.85699999999999998</v>
      </c>
      <c r="I8" s="23"/>
      <c r="J8" s="23"/>
      <c r="K8" s="23"/>
      <c r="M8" s="55">
        <v>201420</v>
      </c>
      <c r="N8" s="53">
        <v>17</v>
      </c>
      <c r="O8" s="53">
        <v>3</v>
      </c>
      <c r="P8" s="54">
        <v>0.17599999999999999</v>
      </c>
      <c r="Q8" s="53">
        <v>0</v>
      </c>
      <c r="R8" s="54">
        <v>0</v>
      </c>
      <c r="S8" s="55">
        <v>14</v>
      </c>
      <c r="T8" s="54">
        <v>0.82399999999999995</v>
      </c>
    </row>
    <row r="9" spans="1:20" ht="13.5" customHeight="1">
      <c r="A9" s="59">
        <v>201510</v>
      </c>
      <c r="B9" s="53">
        <v>81</v>
      </c>
      <c r="C9" s="53">
        <v>8</v>
      </c>
      <c r="D9" s="54">
        <v>9.9000000000000005E-2</v>
      </c>
      <c r="E9" s="53">
        <v>0</v>
      </c>
      <c r="F9" s="54">
        <v>0</v>
      </c>
      <c r="G9" s="55">
        <v>73</v>
      </c>
      <c r="H9" s="54">
        <v>0.90100000000000002</v>
      </c>
      <c r="I9" s="23"/>
      <c r="J9" s="23"/>
      <c r="K9" s="23"/>
      <c r="M9" s="55">
        <v>201510</v>
      </c>
      <c r="N9" s="53">
        <v>72</v>
      </c>
      <c r="O9" s="53">
        <v>7</v>
      </c>
      <c r="P9" s="54">
        <v>9.7000000000000003E-2</v>
      </c>
      <c r="Q9" s="53">
        <v>0</v>
      </c>
      <c r="R9" s="54">
        <v>0</v>
      </c>
      <c r="S9" s="55">
        <v>65</v>
      </c>
      <c r="T9" s="54">
        <v>0.90300000000000002</v>
      </c>
    </row>
    <row r="10" spans="1:20" ht="13.5" customHeight="1">
      <c r="A10" s="59">
        <v>201520</v>
      </c>
      <c r="B10" s="53">
        <v>22</v>
      </c>
      <c r="C10" s="53">
        <v>9</v>
      </c>
      <c r="D10" s="54">
        <v>0.40909090909090912</v>
      </c>
      <c r="E10" s="53">
        <v>0</v>
      </c>
      <c r="F10" s="54">
        <v>0</v>
      </c>
      <c r="G10" s="55">
        <v>13</v>
      </c>
      <c r="H10" s="54">
        <v>0.59090909090909094</v>
      </c>
      <c r="I10" s="23"/>
      <c r="J10" s="23"/>
      <c r="K10" s="23"/>
      <c r="M10" s="55">
        <v>201520</v>
      </c>
      <c r="N10" s="53">
        <v>12</v>
      </c>
      <c r="O10" s="53">
        <v>5</v>
      </c>
      <c r="P10" s="54">
        <v>0.41666666666666669</v>
      </c>
      <c r="Q10" s="53">
        <v>0</v>
      </c>
      <c r="R10" s="54">
        <v>0</v>
      </c>
      <c r="S10" s="55">
        <v>7</v>
      </c>
      <c r="T10" s="54">
        <v>0.58333333333333337</v>
      </c>
    </row>
    <row r="11" spans="1:20" ht="13.5" customHeight="1">
      <c r="A11" s="59">
        <v>201610</v>
      </c>
      <c r="B11" s="53">
        <v>64</v>
      </c>
      <c r="C11" s="53">
        <v>13</v>
      </c>
      <c r="D11" s="54">
        <v>0.203125</v>
      </c>
      <c r="E11" s="53">
        <v>0</v>
      </c>
      <c r="F11" s="54">
        <v>0</v>
      </c>
      <c r="G11" s="55">
        <v>51</v>
      </c>
      <c r="H11" s="54">
        <v>0.796875</v>
      </c>
      <c r="I11" s="23"/>
      <c r="J11" s="23"/>
      <c r="K11" s="23"/>
      <c r="M11" s="55">
        <v>201610</v>
      </c>
      <c r="N11" s="53">
        <v>57</v>
      </c>
      <c r="O11" s="53">
        <v>11</v>
      </c>
      <c r="P11" s="54">
        <v>0.19298245614035087</v>
      </c>
      <c r="Q11" s="53">
        <v>0</v>
      </c>
      <c r="R11" s="54">
        <v>0</v>
      </c>
      <c r="S11" s="55">
        <v>46</v>
      </c>
      <c r="T11" s="54">
        <v>0.80701754385964908</v>
      </c>
    </row>
    <row r="12" spans="1:20" ht="13.5" customHeight="1">
      <c r="A12" s="59">
        <v>201620</v>
      </c>
      <c r="B12" s="57">
        <v>25</v>
      </c>
      <c r="C12" s="57">
        <v>6</v>
      </c>
      <c r="D12" s="57">
        <v>0.24</v>
      </c>
      <c r="E12" s="57">
        <v>0</v>
      </c>
      <c r="F12" s="57">
        <v>0</v>
      </c>
      <c r="G12" s="57">
        <v>19</v>
      </c>
      <c r="H12" s="57">
        <v>0.76</v>
      </c>
      <c r="I12" s="33"/>
      <c r="J12" s="33"/>
      <c r="K12" s="33"/>
      <c r="M12" s="55">
        <v>201620</v>
      </c>
      <c r="N12" s="57">
        <v>11</v>
      </c>
      <c r="O12" s="57">
        <v>2</v>
      </c>
      <c r="P12" s="58">
        <v>0.18181818181818182</v>
      </c>
      <c r="Q12" s="57">
        <v>0</v>
      </c>
      <c r="R12" s="58">
        <v>0</v>
      </c>
      <c r="S12" s="57">
        <v>9</v>
      </c>
      <c r="T12" s="58">
        <v>0.81818181818181823</v>
      </c>
    </row>
    <row r="13" spans="1:20" ht="13.5" customHeight="1">
      <c r="A13" s="59">
        <v>201710</v>
      </c>
      <c r="B13" s="53">
        <v>45</v>
      </c>
      <c r="C13" s="53">
        <v>13</v>
      </c>
      <c r="D13" s="54">
        <v>0.28888888888888886</v>
      </c>
      <c r="E13" s="53">
        <v>0</v>
      </c>
      <c r="F13" s="54">
        <v>0</v>
      </c>
      <c r="G13" s="55">
        <v>32</v>
      </c>
      <c r="H13" s="54">
        <v>0.71111111111111114</v>
      </c>
      <c r="I13" s="23"/>
      <c r="J13" s="23"/>
      <c r="K13" s="23"/>
      <c r="M13" s="55">
        <v>201710</v>
      </c>
      <c r="N13" s="53">
        <v>33</v>
      </c>
      <c r="O13" s="53">
        <v>8</v>
      </c>
      <c r="P13" s="54">
        <v>0.24242424242424243</v>
      </c>
      <c r="Q13" s="53">
        <v>0</v>
      </c>
      <c r="R13" s="54">
        <v>0</v>
      </c>
      <c r="S13" s="55">
        <v>25</v>
      </c>
      <c r="T13" s="54">
        <v>0.75757575757575757</v>
      </c>
    </row>
    <row r="14" spans="1:20" ht="13.5" customHeight="1">
      <c r="A14" s="59">
        <v>201720</v>
      </c>
      <c r="B14" s="53">
        <v>25</v>
      </c>
      <c r="C14" s="53">
        <v>5</v>
      </c>
      <c r="D14" s="54">
        <v>0.2</v>
      </c>
      <c r="E14" s="53">
        <v>0</v>
      </c>
      <c r="F14" s="54">
        <v>0</v>
      </c>
      <c r="G14" s="55">
        <v>20</v>
      </c>
      <c r="H14" s="54">
        <v>0.8</v>
      </c>
      <c r="I14" s="23"/>
      <c r="J14" s="23"/>
      <c r="K14" s="23"/>
      <c r="M14" s="55">
        <v>201720</v>
      </c>
      <c r="N14" s="53">
        <v>13</v>
      </c>
      <c r="O14" s="53">
        <v>2</v>
      </c>
      <c r="P14" s="54">
        <v>0.15384615384615385</v>
      </c>
      <c r="Q14" s="53">
        <v>0</v>
      </c>
      <c r="R14" s="54">
        <v>0</v>
      </c>
      <c r="S14" s="55">
        <v>11</v>
      </c>
      <c r="T14" s="54">
        <v>0.84615384615384615</v>
      </c>
    </row>
    <row r="15" spans="1:20" ht="13.5" customHeight="1">
      <c r="A15" s="59">
        <v>201810</v>
      </c>
      <c r="B15" s="53">
        <v>37</v>
      </c>
      <c r="C15" s="53">
        <v>7</v>
      </c>
      <c r="D15" s="54">
        <v>0.1891891891891892</v>
      </c>
      <c r="E15" s="53">
        <v>0</v>
      </c>
      <c r="F15" s="54">
        <v>0</v>
      </c>
      <c r="G15" s="55">
        <v>30</v>
      </c>
      <c r="H15" s="54">
        <v>0.81081081081081086</v>
      </c>
      <c r="I15" s="23"/>
      <c r="J15" s="23"/>
      <c r="K15" s="23"/>
      <c r="M15" s="55">
        <v>201810</v>
      </c>
      <c r="N15" s="53">
        <v>27</v>
      </c>
      <c r="O15" s="53">
        <v>5</v>
      </c>
      <c r="P15" s="54">
        <v>0.18518518518518517</v>
      </c>
      <c r="Q15" s="53">
        <v>0</v>
      </c>
      <c r="R15" s="54">
        <v>0</v>
      </c>
      <c r="S15" s="55">
        <v>22</v>
      </c>
      <c r="T15" s="54">
        <v>0.81481481481481477</v>
      </c>
    </row>
    <row r="16" spans="1:20" ht="13.5" customHeight="1">
      <c r="A16" s="59">
        <v>201820</v>
      </c>
      <c r="B16" s="53">
        <v>32</v>
      </c>
      <c r="C16" s="53">
        <v>6</v>
      </c>
      <c r="D16" s="54">
        <v>0.1875</v>
      </c>
      <c r="E16" s="53">
        <v>0</v>
      </c>
      <c r="F16" s="54">
        <v>0</v>
      </c>
      <c r="G16" s="55">
        <v>26</v>
      </c>
      <c r="H16" s="54">
        <v>0.8125</v>
      </c>
      <c r="I16" s="23"/>
      <c r="J16" s="23"/>
      <c r="K16" s="23"/>
      <c r="M16" s="59">
        <v>201820</v>
      </c>
      <c r="N16" s="53">
        <v>16</v>
      </c>
      <c r="O16" s="53">
        <v>4</v>
      </c>
      <c r="P16" s="54">
        <v>0.25</v>
      </c>
      <c r="Q16" s="53">
        <v>0</v>
      </c>
      <c r="R16" s="54">
        <v>0</v>
      </c>
      <c r="S16" s="55">
        <v>12</v>
      </c>
      <c r="T16" s="54">
        <v>0.75</v>
      </c>
    </row>
    <row r="17" spans="1:23" ht="13.5" customHeight="1">
      <c r="A17" s="59">
        <v>201910</v>
      </c>
      <c r="B17" s="53">
        <v>20</v>
      </c>
      <c r="C17" s="53">
        <v>4</v>
      </c>
      <c r="D17" s="54">
        <v>0.2</v>
      </c>
      <c r="E17" s="53">
        <v>0</v>
      </c>
      <c r="F17" s="54">
        <v>0</v>
      </c>
      <c r="G17" s="55">
        <v>16</v>
      </c>
      <c r="H17" s="54">
        <v>0.8</v>
      </c>
      <c r="I17" s="23"/>
      <c r="J17" s="23"/>
      <c r="K17" s="23"/>
      <c r="M17" s="59">
        <v>201910</v>
      </c>
      <c r="N17" s="53">
        <v>9</v>
      </c>
      <c r="O17" s="53">
        <v>1</v>
      </c>
      <c r="P17" s="54">
        <v>0.1111111111111111</v>
      </c>
      <c r="Q17" s="53">
        <v>0</v>
      </c>
      <c r="R17" s="54">
        <v>0</v>
      </c>
      <c r="S17" s="55">
        <v>8</v>
      </c>
      <c r="T17" s="54">
        <v>0.88888888888888884</v>
      </c>
    </row>
    <row r="18" spans="1:23" ht="13.5" customHeight="1">
      <c r="A18" s="59">
        <v>201920</v>
      </c>
      <c r="B18" s="53">
        <v>21</v>
      </c>
      <c r="C18" s="53">
        <v>3</v>
      </c>
      <c r="D18" s="54">
        <v>0.14285714285714279</v>
      </c>
      <c r="E18" s="53">
        <v>0</v>
      </c>
      <c r="F18" s="54">
        <v>0</v>
      </c>
      <c r="G18" s="55">
        <v>18</v>
      </c>
      <c r="H18" s="54">
        <v>0.8571428571428571</v>
      </c>
      <c r="I18" s="23"/>
      <c r="J18" s="23"/>
      <c r="K18" s="23"/>
      <c r="M18" s="59">
        <v>201920</v>
      </c>
      <c r="N18" s="53">
        <v>10</v>
      </c>
      <c r="O18" s="53">
        <v>1</v>
      </c>
      <c r="P18" s="54">
        <v>0.1</v>
      </c>
      <c r="Q18" s="53">
        <v>0</v>
      </c>
      <c r="R18" s="54">
        <v>0</v>
      </c>
      <c r="S18" s="55">
        <v>9</v>
      </c>
      <c r="T18" s="54">
        <v>0.9</v>
      </c>
    </row>
    <row r="19" spans="1:23" ht="13.5" customHeight="1">
      <c r="A19" s="59">
        <v>202010</v>
      </c>
      <c r="B19" s="53">
        <v>36</v>
      </c>
      <c r="C19" s="53">
        <v>7</v>
      </c>
      <c r="D19" s="54">
        <v>0.19444444444444439</v>
      </c>
      <c r="E19" s="53">
        <v>0</v>
      </c>
      <c r="F19" s="54">
        <v>0</v>
      </c>
      <c r="G19" s="55">
        <v>29</v>
      </c>
      <c r="H19" s="54">
        <v>0.80555555555555558</v>
      </c>
      <c r="I19" s="23"/>
      <c r="J19" s="23"/>
      <c r="K19" s="23"/>
      <c r="M19" s="59">
        <v>202010</v>
      </c>
      <c r="N19" s="53">
        <v>25</v>
      </c>
      <c r="O19" s="53">
        <v>4</v>
      </c>
      <c r="P19" s="54">
        <v>0.16</v>
      </c>
      <c r="Q19" s="53">
        <v>0</v>
      </c>
      <c r="R19" s="54">
        <v>0</v>
      </c>
      <c r="S19" s="55">
        <v>21</v>
      </c>
      <c r="T19" s="54">
        <v>0.84</v>
      </c>
    </row>
    <row r="20" spans="1:23" ht="13.5" customHeight="1">
      <c r="A20" s="59">
        <v>202020</v>
      </c>
      <c r="B20" s="53">
        <v>18</v>
      </c>
      <c r="C20" s="53">
        <v>4</v>
      </c>
      <c r="D20" s="54">
        <v>0.22222222222222221</v>
      </c>
      <c r="E20" s="53">
        <v>0</v>
      </c>
      <c r="F20" s="54">
        <v>0</v>
      </c>
      <c r="G20" s="55">
        <v>14</v>
      </c>
      <c r="H20" s="54">
        <v>0.77777777777777779</v>
      </c>
      <c r="I20" s="23"/>
      <c r="J20" s="23"/>
      <c r="K20" s="23"/>
      <c r="M20" s="59">
        <v>202020</v>
      </c>
      <c r="N20" s="53">
        <v>8</v>
      </c>
      <c r="O20" s="53">
        <v>2</v>
      </c>
      <c r="P20" s="54">
        <v>0.25</v>
      </c>
      <c r="Q20" s="53">
        <v>0</v>
      </c>
      <c r="R20" s="54">
        <v>0</v>
      </c>
      <c r="S20" s="55">
        <v>6</v>
      </c>
      <c r="T20" s="54">
        <v>0.75</v>
      </c>
    </row>
    <row r="21" spans="1:23" ht="13.5" customHeight="1">
      <c r="A21" s="59">
        <v>202110</v>
      </c>
      <c r="B21" s="53">
        <v>18</v>
      </c>
      <c r="C21" s="53">
        <v>2</v>
      </c>
      <c r="D21" s="54">
        <v>0.1111111111111111</v>
      </c>
      <c r="E21" s="53">
        <v>0</v>
      </c>
      <c r="F21" s="54">
        <v>0</v>
      </c>
      <c r="G21" s="55">
        <v>16</v>
      </c>
      <c r="H21" s="54">
        <v>0.88888888888888884</v>
      </c>
      <c r="I21" s="23"/>
      <c r="J21" s="23"/>
      <c r="K21" s="23"/>
      <c r="M21" s="59">
        <v>202110</v>
      </c>
      <c r="N21" s="53">
        <v>10</v>
      </c>
      <c r="O21" s="53">
        <v>0</v>
      </c>
      <c r="P21" s="54">
        <v>0</v>
      </c>
      <c r="Q21" s="53">
        <v>0</v>
      </c>
      <c r="R21" s="54">
        <v>0</v>
      </c>
      <c r="S21" s="55">
        <v>10</v>
      </c>
      <c r="T21" s="54">
        <v>1</v>
      </c>
    </row>
    <row r="22" spans="1:23" ht="13.5" customHeight="1">
      <c r="A22" s="59">
        <v>202120</v>
      </c>
      <c r="B22" s="53">
        <v>16</v>
      </c>
      <c r="C22" s="53">
        <v>3</v>
      </c>
      <c r="D22" s="54">
        <v>0.1875</v>
      </c>
      <c r="E22" s="53">
        <v>0</v>
      </c>
      <c r="F22" s="54">
        <v>0</v>
      </c>
      <c r="G22" s="55">
        <v>13</v>
      </c>
      <c r="H22" s="54">
        <v>0.8125</v>
      </c>
      <c r="I22" s="23"/>
      <c r="J22" s="23"/>
      <c r="K22" s="23"/>
      <c r="M22" s="59">
        <v>202120</v>
      </c>
      <c r="N22" s="53">
        <v>12</v>
      </c>
      <c r="O22" s="53">
        <v>2</v>
      </c>
      <c r="P22" s="54">
        <v>0.16666666666666671</v>
      </c>
      <c r="Q22" s="53">
        <v>0</v>
      </c>
      <c r="R22" s="54">
        <v>0</v>
      </c>
      <c r="S22" s="55">
        <v>10</v>
      </c>
      <c r="T22" s="54">
        <v>0.83333333333333337</v>
      </c>
    </row>
    <row r="23" spans="1:23" ht="13.5" customHeight="1">
      <c r="A23" s="98">
        <v>202210</v>
      </c>
      <c r="B23" s="103" cm="1">
        <f t="array" ref="B23">IF(RIGHT($A23,2)="10",_xlfn.XLOOKUP("PSI"&amp;$A23,[1]PROGRAMA!$A:$A&amp;[1]PROGRAMA!$B:$B,[1]PROGRAMA!C:C,0),_xlfn.XLOOKUP("PSI"&amp;$A23,[2]PROGRAMA!$A:$A&amp;[2]PROGRAMA!$B:$B,[2]PROGRAMA!C:C,0))</f>
        <v>36</v>
      </c>
      <c r="C23" s="103" cm="1">
        <f t="array" ref="C23">IF(RIGHT($A23,2)="10",_xlfn.XLOOKUP("PSI"&amp;$A23,[1]PROGRAMA!$A:$A&amp;[1]PROGRAMA!$B:$B,[1]PROGRAMA!D:D,0),_xlfn.XLOOKUP("PSI"&amp;$A23,[2]PROGRAMA!$A:$A&amp;[2]PROGRAMA!$B:$B,[2]PROGRAMA!D:D,0))</f>
        <v>3</v>
      </c>
      <c r="D23" s="68">
        <f>IFERROR(C23/$B23,0)</f>
        <v>8.3333333333333329E-2</v>
      </c>
      <c r="E23" s="103" cm="1">
        <f t="array" ref="E23">IF(RIGHT($A23,2)="10",_xlfn.XLOOKUP("PSI"&amp;$A23,[1]PROGRAMA!$A:$A&amp;[1]PROGRAMA!$B:$B,[1]PROGRAMA!E:E,0),_xlfn.XLOOKUP("PSI"&amp;$A23,[2]PROGRAMA!$A:$A&amp;[2]PROGRAMA!$B:$B,[2]PROGRAMA!E:E,0))</f>
        <v>0</v>
      </c>
      <c r="F23" s="68">
        <f>IFERROR(E23/$B23,0)</f>
        <v>0</v>
      </c>
      <c r="G23" s="104">
        <f>B23-C23</f>
        <v>33</v>
      </c>
      <c r="H23" s="68">
        <f>IFERROR(G23/$B23,0)</f>
        <v>0.91666666666666663</v>
      </c>
      <c r="I23" s="128"/>
      <c r="J23" s="128"/>
      <c r="K23" s="128"/>
      <c r="M23" s="98">
        <v>202210</v>
      </c>
      <c r="N23" s="103" cm="1">
        <f t="array" ref="N23">IF(RIGHT($A23,2)="10",_xlfn.XLOOKUP("PSI"&amp;$A23,'[1]PROGRAMA 123'!$A:$A&amp;'[1]PROGRAMA 123'!$B:$B,'[1]PROGRAMA 123'!C:C,0),_xlfn.XLOOKUP("PSI"&amp;$A23,'[2]PROGRAMA 123'!$A:$A&amp;'[2]PROGRAMA 123'!$B:$B,'[2]PROGRAMA 123'!C:C,0))</f>
        <v>27</v>
      </c>
      <c r="O23" s="103" cm="1">
        <f t="array" ref="O23">IF(RIGHT($A23,2)="10",_xlfn.XLOOKUP("PSI"&amp;$A23,'[1]PROGRAMA 123'!$A:$A&amp;'[1]PROGRAMA 123'!$B:$B,'[1]PROGRAMA 123'!D:D,0),_xlfn.XLOOKUP("PSI"&amp;$A23,'[2]PROGRAMA 123'!$A:$A&amp;'[2]PROGRAMA 123'!$B:$B,'[2]PROGRAMA 123'!D:D,0))</f>
        <v>1</v>
      </c>
      <c r="P23" s="68">
        <f>IFERROR(O23/$N23,0)</f>
        <v>3.7037037037037035E-2</v>
      </c>
      <c r="Q23" s="103" cm="1">
        <f t="array" ref="Q23">IF(RIGHT($A23,2)="10",_xlfn.XLOOKUP("PSI"&amp;$A23,'[1]PROGRAMA 123'!$A:$A&amp;'[1]PROGRAMA 123'!$B:$B,'[1]PROGRAMA 123'!E:E,0),_xlfn.XLOOKUP("PSI"&amp;$A23,'[2]PROGRAMA 123'!$A:$A&amp;'[2]PROGRAMA 123'!$B:$B,'[2]PROGRAMA 123'!E:E,0))</f>
        <v>0</v>
      </c>
      <c r="R23" s="68">
        <f>IFERROR(Q23/$N23,0)</f>
        <v>0</v>
      </c>
      <c r="S23" s="104">
        <f>N23-O23</f>
        <v>26</v>
      </c>
      <c r="T23" s="68">
        <f>IFERROR(S23/$N23,0)</f>
        <v>0.96296296296296291</v>
      </c>
    </row>
    <row r="24" spans="1:23" ht="13.5" customHeight="1">
      <c r="A24" s="98">
        <v>202220</v>
      </c>
      <c r="B24" s="103" cm="1">
        <f t="array" ref="B24">IF(RIGHT($A24,2)="10",_xlfn.XLOOKUP("PSI"&amp;$A24,[1]PROGRAMA!$A:$A&amp;[1]PROGRAMA!$B:$B,[1]PROGRAMA!C:C,0),_xlfn.XLOOKUP("PSI"&amp;$A24,[2]PROGRAMA!$A:$A&amp;[2]PROGRAMA!$B:$B,[2]PROGRAMA!C:C,0))</f>
        <v>26</v>
      </c>
      <c r="C24" s="103" cm="1">
        <f t="array" ref="C24">IF(RIGHT($A24,2)="10",_xlfn.XLOOKUP("PSI"&amp;$A24,[1]PROGRAMA!$A:$A&amp;[1]PROGRAMA!$B:$B,[1]PROGRAMA!D:D,0),_xlfn.XLOOKUP("PSI"&amp;$A24,[2]PROGRAMA!$A:$A&amp;[2]PROGRAMA!$B:$B,[2]PROGRAMA!D:D,0))</f>
        <v>5</v>
      </c>
      <c r="D24" s="68">
        <f>IFERROR(C24/$B24,0)</f>
        <v>0.19230769230769232</v>
      </c>
      <c r="E24" s="103" cm="1">
        <f t="array" ref="E24">IF(RIGHT($A24,2)="10",_xlfn.XLOOKUP("PSI"&amp;$A24,[1]PROGRAMA!$A:$A&amp;[1]PROGRAMA!$B:$B,[1]PROGRAMA!E:E,0),_xlfn.XLOOKUP("PSI"&amp;$A24,[2]PROGRAMA!$A:$A&amp;[2]PROGRAMA!$B:$B,[2]PROGRAMA!E:E,0))</f>
        <v>0</v>
      </c>
      <c r="F24" s="68">
        <f>IFERROR(E24/$B24,0)</f>
        <v>0</v>
      </c>
      <c r="G24" s="104">
        <f>B24-C24</f>
        <v>21</v>
      </c>
      <c r="H24" s="68">
        <f>IFERROR(G24/$B24,0)</f>
        <v>0.80769230769230771</v>
      </c>
      <c r="I24" s="128"/>
      <c r="J24" s="128"/>
      <c r="K24" s="128"/>
      <c r="M24" s="98">
        <v>202220</v>
      </c>
      <c r="N24" s="103" cm="1">
        <f t="array" ref="N24">IF(RIGHT($A24,2)="10",_xlfn.XLOOKUP("PSI"&amp;$A24,'[1]PROGRAMA 123'!$A:$A&amp;'[1]PROGRAMA 123'!$B:$B,'[1]PROGRAMA 123'!C:C,0),_xlfn.XLOOKUP("PSI"&amp;$A24,'[2]PROGRAMA 123'!$A:$A&amp;'[2]PROGRAMA 123'!$B:$B,'[2]PROGRAMA 123'!C:C,0))</f>
        <v>16</v>
      </c>
      <c r="O24" s="103" cm="1">
        <f t="array" ref="O24">IF(RIGHT($A24,2)="10",_xlfn.XLOOKUP("PSI"&amp;$A24,'[1]PROGRAMA 123'!$A:$A&amp;'[1]PROGRAMA 123'!$B:$B,'[1]PROGRAMA 123'!D:D,0),_xlfn.XLOOKUP("PSI"&amp;$A24,'[2]PROGRAMA 123'!$A:$A&amp;'[2]PROGRAMA 123'!$B:$B,'[2]PROGRAMA 123'!D:D,0))</f>
        <v>2</v>
      </c>
      <c r="P24" s="68">
        <f>IFERROR(O24/$N24,0)</f>
        <v>0.125</v>
      </c>
      <c r="Q24" s="103" cm="1">
        <f t="array" ref="Q24">IF(RIGHT($A24,2)="10",_xlfn.XLOOKUP("PSI"&amp;$A24,'[1]PROGRAMA 123'!$A:$A&amp;'[1]PROGRAMA 123'!$B:$B,'[1]PROGRAMA 123'!E:E,0),_xlfn.XLOOKUP("PSI"&amp;$A24,'[2]PROGRAMA 123'!$A:$A&amp;'[2]PROGRAMA 123'!$B:$B,'[2]PROGRAMA 123'!E:E,0))</f>
        <v>0</v>
      </c>
      <c r="R24" s="68">
        <f>IFERROR(Q24/$N24,0)</f>
        <v>0</v>
      </c>
      <c r="S24" s="104">
        <f>N24-O24</f>
        <v>14</v>
      </c>
      <c r="T24" s="68">
        <f>IFERROR(S24/$N24,0)</f>
        <v>0.875</v>
      </c>
    </row>
    <row r="25" spans="1:23" ht="13.5" customHeight="1">
      <c r="A25" s="98" t="s">
        <v>239</v>
      </c>
      <c r="B25" s="103">
        <v>32</v>
      </c>
      <c r="C25" s="103">
        <v>10</v>
      </c>
      <c r="D25" s="68">
        <v>0.3125</v>
      </c>
      <c r="E25" s="103">
        <v>0</v>
      </c>
      <c r="F25" s="68">
        <v>0</v>
      </c>
      <c r="G25" s="104">
        <v>22</v>
      </c>
      <c r="H25" s="68">
        <v>0.6875</v>
      </c>
      <c r="I25" s="128"/>
      <c r="J25" s="128"/>
      <c r="K25" s="128"/>
      <c r="M25" s="98" t="s">
        <v>239</v>
      </c>
      <c r="N25" s="103">
        <v>19</v>
      </c>
      <c r="O25" s="103">
        <v>7</v>
      </c>
      <c r="P25" s="68">
        <v>0.36842105263157893</v>
      </c>
      <c r="Q25" s="103">
        <v>0</v>
      </c>
      <c r="R25" s="68">
        <v>0</v>
      </c>
      <c r="S25" s="104">
        <v>12</v>
      </c>
      <c r="T25" s="68">
        <v>0.63157894736842102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0.21052631578947367</v>
      </c>
      <c r="B29" s="37">
        <f>+((B6*D6)+(B7*D7))/(B6+B7)</f>
        <v>0.25691428571428576</v>
      </c>
      <c r="C29" s="32">
        <f>((B8*D8)+(B9*D9))/(B8+B9)</f>
        <v>0.10805882352941176</v>
      </c>
      <c r="D29" s="32">
        <f>+((B10*D10)+(B11*D11))/(B10+B11)</f>
        <v>0.2558139534883721</v>
      </c>
      <c r="E29" s="32">
        <f>((B12*D12)+(B13*D13))/(B12+B13)</f>
        <v>0.27142857142857141</v>
      </c>
      <c r="F29" s="32">
        <f>((B14*D14)+(B15*D15))/(B14+B15)</f>
        <v>0.19354838709677419</v>
      </c>
      <c r="G29" s="32">
        <f>((B16*D16)+(B17*D17))/(B16+B17)</f>
        <v>0.19230769230769232</v>
      </c>
      <c r="H29" s="32">
        <f>((B18*D18)+(B19*D19))/(B18+B19)</f>
        <v>0.175438596491228</v>
      </c>
      <c r="I29" s="32">
        <f>((B20*D20)+(B21*D21))/(B20+B21)</f>
        <v>0.16666666666666666</v>
      </c>
      <c r="J29" s="32">
        <f>(C22+C23)/(B22+B23)</f>
        <v>0.11538461538461539</v>
      </c>
      <c r="K29" s="32">
        <f>D24</f>
        <v>0.19230769230769232</v>
      </c>
      <c r="L29" s="6"/>
      <c r="M29" s="37">
        <f>P5</f>
        <v>0.23529411764705882</v>
      </c>
      <c r="N29" s="37">
        <f>+((N6*P6)+(N7*P7))/(N6+N7)</f>
        <v>0.24979166666666663</v>
      </c>
      <c r="O29" s="32">
        <f>((N8*P8)+(N9*P9))/(N8+N9)</f>
        <v>0.11208988764044943</v>
      </c>
      <c r="P29" s="32">
        <f>+((N10*P10)+(N11*P11))/(N10+N11)</f>
        <v>0.2318840579710145</v>
      </c>
      <c r="Q29" s="32">
        <f>((N12*P12)+(N13*P13))/(N12+N13)</f>
        <v>0.22727272727272727</v>
      </c>
      <c r="R29" s="32">
        <f>((N14*P14)+(N15*P15))/(N14+N15)</f>
        <v>0.17499999999999999</v>
      </c>
      <c r="S29" s="32">
        <f>((N16*P16)+(N17*P17))/(N16+N17)</f>
        <v>0.2</v>
      </c>
      <c r="T29" s="32">
        <f>((N18*P18)+(N19*P19))/(N18+N19)</f>
        <v>0.14285714285714285</v>
      </c>
      <c r="U29" s="32">
        <f>((N20*P20)+(N21*P21))/(N20+N21)</f>
        <v>0.1111111111111111</v>
      </c>
      <c r="V29" s="32">
        <f>(O22+O23)/(N22+N23)</f>
        <v>7.6923076923076927E-2</v>
      </c>
      <c r="W29" s="32">
        <f>P24</f>
        <v>0.125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L31"/>
    <mergeCell ref="M30:V30"/>
    <mergeCell ref="M31:W31"/>
    <mergeCell ref="A1:H1"/>
    <mergeCell ref="M1:T1"/>
    <mergeCell ref="A3:H3"/>
    <mergeCell ref="M3:T3"/>
    <mergeCell ref="A2:H2"/>
    <mergeCell ref="M2:T2"/>
    <mergeCell ref="A30:J30"/>
    <mergeCell ref="M27:W27"/>
    <mergeCell ref="A27:K27"/>
  </mergeCells>
  <pageMargins left="0.7" right="0.7" top="0.75" bottom="0.75" header="0.3" footer="0.3"/>
  <pageSetup orientation="portrait" r:id="rId1"/>
  <ignoredErrors>
    <ignoredError sqref="L23:T24 E23:J24" formula="1"/>
    <ignoredError sqref="A25 M25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  <c r="L2" s="19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209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210</v>
      </c>
      <c r="N3" s="225"/>
      <c r="O3" s="225"/>
      <c r="P3" s="225"/>
      <c r="Q3" s="225"/>
      <c r="R3" s="225"/>
      <c r="S3" s="225"/>
      <c r="T3" s="226"/>
    </row>
    <row r="4" spans="1:20" ht="51">
      <c r="A4" s="60" t="s">
        <v>0</v>
      </c>
      <c r="B4" s="60" t="s">
        <v>93</v>
      </c>
      <c r="C4" s="60" t="s">
        <v>94</v>
      </c>
      <c r="D4" s="60" t="s">
        <v>95</v>
      </c>
      <c r="E4" s="60" t="s">
        <v>96</v>
      </c>
      <c r="F4" s="60" t="s">
        <v>97</v>
      </c>
      <c r="G4" s="60" t="s">
        <v>98</v>
      </c>
      <c r="H4" s="60" t="s">
        <v>99</v>
      </c>
      <c r="I4" s="136"/>
      <c r="J4" s="136"/>
      <c r="K4" s="13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>
        <v>4</v>
      </c>
      <c r="C5" s="57">
        <v>1</v>
      </c>
      <c r="D5" s="58">
        <v>0.25</v>
      </c>
      <c r="E5" s="57">
        <v>0</v>
      </c>
      <c r="F5" s="58">
        <v>0</v>
      </c>
      <c r="G5" s="57">
        <v>3</v>
      </c>
      <c r="H5" s="58">
        <v>0.75</v>
      </c>
      <c r="I5" s="125"/>
      <c r="J5" s="125"/>
      <c r="K5" s="125"/>
      <c r="M5" s="55">
        <v>201310</v>
      </c>
      <c r="N5" s="57">
        <v>3</v>
      </c>
      <c r="O5" s="57">
        <v>0</v>
      </c>
      <c r="P5" s="58">
        <v>0</v>
      </c>
      <c r="Q5" s="57">
        <v>0</v>
      </c>
      <c r="R5" s="58">
        <v>0</v>
      </c>
      <c r="S5" s="57">
        <v>3</v>
      </c>
      <c r="T5" s="58">
        <v>1</v>
      </c>
    </row>
    <row r="6" spans="1:20" ht="13.5" customHeight="1">
      <c r="A6" s="59">
        <v>201320</v>
      </c>
      <c r="B6" s="57">
        <v>4</v>
      </c>
      <c r="C6" s="57">
        <v>2</v>
      </c>
      <c r="D6" s="76">
        <v>0.5</v>
      </c>
      <c r="E6" s="57">
        <v>0</v>
      </c>
      <c r="F6" s="76">
        <v>0</v>
      </c>
      <c r="G6" s="59">
        <v>2</v>
      </c>
      <c r="H6" s="76">
        <v>0.5</v>
      </c>
      <c r="I6" s="127"/>
      <c r="J6" s="127"/>
      <c r="K6" s="127"/>
      <c r="M6" s="55">
        <v>201320</v>
      </c>
      <c r="N6" s="53">
        <v>2</v>
      </c>
      <c r="O6" s="53">
        <v>0</v>
      </c>
      <c r="P6" s="54">
        <v>0</v>
      </c>
      <c r="Q6" s="53">
        <v>0</v>
      </c>
      <c r="R6" s="54">
        <v>0</v>
      </c>
      <c r="S6" s="55">
        <v>2</v>
      </c>
      <c r="T6" s="54">
        <v>1</v>
      </c>
    </row>
    <row r="7" spans="1:20" ht="13.5" customHeight="1">
      <c r="A7" s="59">
        <v>201410</v>
      </c>
      <c r="B7" s="57">
        <v>4</v>
      </c>
      <c r="C7" s="57">
        <v>1</v>
      </c>
      <c r="D7" s="58">
        <v>0.25</v>
      </c>
      <c r="E7" s="57">
        <v>0</v>
      </c>
      <c r="F7" s="58">
        <v>0</v>
      </c>
      <c r="G7" s="57">
        <v>3</v>
      </c>
      <c r="H7" s="58">
        <v>0.75</v>
      </c>
      <c r="I7" s="125"/>
      <c r="J7" s="125"/>
      <c r="K7" s="125"/>
      <c r="M7" s="55">
        <v>201410</v>
      </c>
      <c r="N7" s="53">
        <v>4</v>
      </c>
      <c r="O7" s="53">
        <v>1</v>
      </c>
      <c r="P7" s="54">
        <v>0.25</v>
      </c>
      <c r="Q7" s="53">
        <v>0</v>
      </c>
      <c r="R7" s="54">
        <v>0</v>
      </c>
      <c r="S7" s="55">
        <v>3</v>
      </c>
      <c r="T7" s="54">
        <v>0.75</v>
      </c>
    </row>
    <row r="8" spans="1:20" ht="13.5" customHeight="1">
      <c r="A8" s="59">
        <v>201420</v>
      </c>
      <c r="B8" s="53">
        <v>4</v>
      </c>
      <c r="C8" s="53">
        <v>2</v>
      </c>
      <c r="D8" s="54">
        <v>0.5</v>
      </c>
      <c r="E8" s="53">
        <v>0</v>
      </c>
      <c r="F8" s="54">
        <v>0</v>
      </c>
      <c r="G8" s="55">
        <v>2</v>
      </c>
      <c r="H8" s="54">
        <v>0.5</v>
      </c>
      <c r="I8" s="23"/>
      <c r="J8" s="23"/>
      <c r="K8" s="23"/>
      <c r="M8" s="55">
        <v>201420</v>
      </c>
      <c r="N8" s="53" t="s">
        <v>124</v>
      </c>
      <c r="O8" s="53" t="s">
        <v>124</v>
      </c>
      <c r="P8" s="53" t="s">
        <v>124</v>
      </c>
      <c r="Q8" s="53" t="s">
        <v>124</v>
      </c>
      <c r="R8" s="53" t="s">
        <v>124</v>
      </c>
      <c r="S8" s="53" t="s">
        <v>124</v>
      </c>
      <c r="T8" s="53" t="s">
        <v>124</v>
      </c>
    </row>
    <row r="9" spans="1:20" ht="13.5" customHeight="1">
      <c r="A9" s="59">
        <v>201510</v>
      </c>
      <c r="B9" s="53">
        <v>10</v>
      </c>
      <c r="C9" s="53">
        <v>3</v>
      </c>
      <c r="D9" s="54">
        <v>0.3</v>
      </c>
      <c r="E9" s="53">
        <v>0</v>
      </c>
      <c r="F9" s="54">
        <v>0</v>
      </c>
      <c r="G9" s="55">
        <v>7</v>
      </c>
      <c r="H9" s="54">
        <v>0.7</v>
      </c>
      <c r="I9" s="23"/>
      <c r="J9" s="23"/>
      <c r="K9" s="23"/>
      <c r="M9" s="55">
        <v>201510</v>
      </c>
      <c r="N9" s="53">
        <v>6</v>
      </c>
      <c r="O9" s="53">
        <v>1</v>
      </c>
      <c r="P9" s="54">
        <v>0.16700000000000001</v>
      </c>
      <c r="Q9" s="53">
        <v>0</v>
      </c>
      <c r="R9" s="54">
        <v>0</v>
      </c>
      <c r="S9" s="55">
        <v>5</v>
      </c>
      <c r="T9" s="54">
        <v>0.83299999999999996</v>
      </c>
    </row>
    <row r="10" spans="1:20" ht="13.5" customHeight="1">
      <c r="A10" s="59">
        <v>201520</v>
      </c>
      <c r="B10" s="53">
        <v>2</v>
      </c>
      <c r="C10" s="53">
        <v>1</v>
      </c>
      <c r="D10" s="54">
        <v>0.5</v>
      </c>
      <c r="E10" s="53">
        <v>0</v>
      </c>
      <c r="F10" s="54">
        <v>0</v>
      </c>
      <c r="G10" s="55">
        <v>1</v>
      </c>
      <c r="H10" s="54">
        <v>0.5</v>
      </c>
      <c r="I10" s="23"/>
      <c r="J10" s="23"/>
      <c r="K10" s="23"/>
      <c r="M10" s="55">
        <v>201520</v>
      </c>
      <c r="N10" s="53">
        <v>2</v>
      </c>
      <c r="O10" s="53">
        <v>1</v>
      </c>
      <c r="P10" s="54">
        <v>0.5</v>
      </c>
      <c r="Q10" s="53">
        <v>0</v>
      </c>
      <c r="R10" s="54">
        <v>0</v>
      </c>
      <c r="S10" s="55">
        <v>1</v>
      </c>
      <c r="T10" s="54">
        <v>0.5</v>
      </c>
    </row>
    <row r="11" spans="1:20" ht="13.5" customHeight="1">
      <c r="A11" s="59">
        <v>201610</v>
      </c>
      <c r="B11" s="53">
        <v>5</v>
      </c>
      <c r="C11" s="53">
        <v>0</v>
      </c>
      <c r="D11" s="54">
        <v>0</v>
      </c>
      <c r="E11" s="53">
        <v>0</v>
      </c>
      <c r="F11" s="54">
        <v>0</v>
      </c>
      <c r="G11" s="55">
        <v>5</v>
      </c>
      <c r="H11" s="54">
        <v>1</v>
      </c>
      <c r="I11" s="23"/>
      <c r="J11" s="23"/>
      <c r="K11" s="23"/>
      <c r="M11" s="55">
        <v>201610</v>
      </c>
      <c r="N11" s="53">
        <v>4</v>
      </c>
      <c r="O11" s="53">
        <v>0</v>
      </c>
      <c r="P11" s="54">
        <v>0</v>
      </c>
      <c r="Q11" s="53">
        <v>0</v>
      </c>
      <c r="R11" s="54">
        <v>0</v>
      </c>
      <c r="S11" s="55">
        <v>4</v>
      </c>
      <c r="T11" s="54">
        <v>1</v>
      </c>
    </row>
    <row r="12" spans="1:20" ht="13.5" customHeight="1">
      <c r="A12" s="59">
        <v>201620</v>
      </c>
      <c r="B12" s="57">
        <v>22</v>
      </c>
      <c r="C12" s="57">
        <v>5</v>
      </c>
      <c r="D12" s="58">
        <v>0.22727272727272727</v>
      </c>
      <c r="E12" s="57">
        <v>0</v>
      </c>
      <c r="F12" s="58">
        <v>0</v>
      </c>
      <c r="G12" s="57">
        <v>17</v>
      </c>
      <c r="H12" s="58">
        <v>0.77272727272727271</v>
      </c>
      <c r="I12" s="125"/>
      <c r="J12" s="125"/>
      <c r="K12" s="125"/>
      <c r="M12" s="55">
        <v>201620</v>
      </c>
      <c r="N12" s="57">
        <v>14</v>
      </c>
      <c r="O12" s="57">
        <v>3</v>
      </c>
      <c r="P12" s="58">
        <v>0.21428571428571427</v>
      </c>
      <c r="Q12" s="57">
        <v>0</v>
      </c>
      <c r="R12" s="58">
        <v>0</v>
      </c>
      <c r="S12" s="57">
        <v>11</v>
      </c>
      <c r="T12" s="58">
        <v>0.7857142857142857</v>
      </c>
    </row>
    <row r="13" spans="1:20" ht="13.5" customHeight="1">
      <c r="A13" s="59">
        <v>201710</v>
      </c>
      <c r="B13" s="53">
        <v>18</v>
      </c>
      <c r="C13" s="53">
        <v>1</v>
      </c>
      <c r="D13" s="54">
        <v>5.5555555555555552E-2</v>
      </c>
      <c r="E13" s="53">
        <v>0</v>
      </c>
      <c r="F13" s="54">
        <v>0</v>
      </c>
      <c r="G13" s="55">
        <v>17</v>
      </c>
      <c r="H13" s="54">
        <v>0.94444444444444442</v>
      </c>
      <c r="I13" s="23"/>
      <c r="J13" s="23"/>
      <c r="K13" s="23"/>
      <c r="M13" s="55">
        <v>201710</v>
      </c>
      <c r="N13" s="53">
        <v>10</v>
      </c>
      <c r="O13" s="53">
        <v>1</v>
      </c>
      <c r="P13" s="54">
        <v>0.1</v>
      </c>
      <c r="Q13" s="53">
        <v>0</v>
      </c>
      <c r="R13" s="54">
        <v>0</v>
      </c>
      <c r="S13" s="55">
        <v>9</v>
      </c>
      <c r="T13" s="54">
        <v>0.9</v>
      </c>
    </row>
    <row r="14" spans="1:20" ht="13.5" customHeight="1">
      <c r="A14" s="59">
        <v>201720</v>
      </c>
      <c r="B14" s="53">
        <v>7</v>
      </c>
      <c r="C14" s="53">
        <v>2</v>
      </c>
      <c r="D14" s="54">
        <v>0.2857142857142857</v>
      </c>
      <c r="E14" s="53">
        <v>0</v>
      </c>
      <c r="F14" s="54">
        <v>0</v>
      </c>
      <c r="G14" s="55">
        <v>5</v>
      </c>
      <c r="H14" s="54">
        <v>0.7142857142857143</v>
      </c>
      <c r="I14" s="23"/>
      <c r="J14" s="23"/>
      <c r="K14" s="23"/>
      <c r="M14" s="55">
        <v>201720</v>
      </c>
      <c r="N14" s="53">
        <v>2</v>
      </c>
      <c r="O14" s="53">
        <v>1</v>
      </c>
      <c r="P14" s="54">
        <v>0.5</v>
      </c>
      <c r="Q14" s="53">
        <v>0</v>
      </c>
      <c r="R14" s="54">
        <v>0</v>
      </c>
      <c r="S14" s="55">
        <v>1</v>
      </c>
      <c r="T14" s="54">
        <v>0.5</v>
      </c>
    </row>
    <row r="15" spans="1:20" ht="13.5" customHeight="1">
      <c r="A15" s="59">
        <v>201810</v>
      </c>
      <c r="B15" s="53">
        <v>6</v>
      </c>
      <c r="C15" s="53">
        <v>1</v>
      </c>
      <c r="D15" s="54">
        <v>0.16666666666666666</v>
      </c>
      <c r="E15" s="53">
        <v>0</v>
      </c>
      <c r="F15" s="54">
        <v>0</v>
      </c>
      <c r="G15" s="55">
        <v>5</v>
      </c>
      <c r="H15" s="54">
        <v>0.83333333333333337</v>
      </c>
      <c r="I15" s="23"/>
      <c r="J15" s="23"/>
      <c r="K15" s="23"/>
      <c r="M15" s="55">
        <v>201810</v>
      </c>
      <c r="N15" s="53">
        <v>3</v>
      </c>
      <c r="O15" s="53">
        <v>0</v>
      </c>
      <c r="P15" s="54">
        <v>0</v>
      </c>
      <c r="Q15" s="53">
        <v>0</v>
      </c>
      <c r="R15" s="54">
        <v>0</v>
      </c>
      <c r="S15" s="55">
        <v>3</v>
      </c>
      <c r="T15" s="54">
        <v>1</v>
      </c>
    </row>
    <row r="16" spans="1:20" ht="13.5" customHeight="1">
      <c r="A16" s="59">
        <v>201820</v>
      </c>
      <c r="B16" s="53">
        <v>10</v>
      </c>
      <c r="C16" s="53">
        <v>1</v>
      </c>
      <c r="D16" s="54">
        <v>0.1</v>
      </c>
      <c r="E16" s="53">
        <v>0</v>
      </c>
      <c r="F16" s="54">
        <v>0</v>
      </c>
      <c r="G16" s="55">
        <v>9</v>
      </c>
      <c r="H16" s="54">
        <v>0.9</v>
      </c>
      <c r="I16" s="23"/>
      <c r="J16" s="23"/>
      <c r="K16" s="23"/>
      <c r="M16" s="59">
        <v>201820</v>
      </c>
      <c r="N16" s="53">
        <v>4</v>
      </c>
      <c r="O16" s="53">
        <v>1</v>
      </c>
      <c r="P16" s="54">
        <v>0.25</v>
      </c>
      <c r="Q16" s="53">
        <v>0</v>
      </c>
      <c r="R16" s="54">
        <v>0</v>
      </c>
      <c r="S16" s="55">
        <v>3</v>
      </c>
      <c r="T16" s="54">
        <v>0.75</v>
      </c>
    </row>
    <row r="17" spans="1:23" ht="13.5" customHeight="1">
      <c r="A17" s="59">
        <v>201910</v>
      </c>
      <c r="B17" s="53">
        <v>3</v>
      </c>
      <c r="C17" s="53">
        <v>0</v>
      </c>
      <c r="D17" s="54">
        <v>0</v>
      </c>
      <c r="E17" s="53">
        <v>0</v>
      </c>
      <c r="F17" s="54">
        <v>0</v>
      </c>
      <c r="G17" s="55">
        <v>3</v>
      </c>
      <c r="H17" s="54">
        <v>1</v>
      </c>
      <c r="I17" s="23"/>
      <c r="J17" s="23"/>
      <c r="K17" s="23"/>
      <c r="M17" s="59">
        <v>201910</v>
      </c>
      <c r="N17" s="53">
        <v>3</v>
      </c>
      <c r="O17" s="53">
        <v>0</v>
      </c>
      <c r="P17" s="54">
        <v>0</v>
      </c>
      <c r="Q17" s="53">
        <v>0</v>
      </c>
      <c r="R17" s="54">
        <v>0</v>
      </c>
      <c r="S17" s="55">
        <v>3</v>
      </c>
      <c r="T17" s="54">
        <v>1</v>
      </c>
    </row>
    <row r="18" spans="1:23" ht="13.5" customHeight="1">
      <c r="A18" s="59">
        <v>201920</v>
      </c>
      <c r="B18" s="53">
        <v>9</v>
      </c>
      <c r="C18" s="53">
        <v>1</v>
      </c>
      <c r="D18" s="54">
        <v>0.1111111111111111</v>
      </c>
      <c r="E18" s="53">
        <v>0</v>
      </c>
      <c r="F18" s="54">
        <v>0</v>
      </c>
      <c r="G18" s="55">
        <v>8</v>
      </c>
      <c r="H18" s="54">
        <v>0.88888888888888884</v>
      </c>
      <c r="I18" s="23"/>
      <c r="J18" s="23"/>
      <c r="K18" s="23"/>
      <c r="M18" s="59">
        <v>201920</v>
      </c>
      <c r="N18" s="53">
        <v>3</v>
      </c>
      <c r="O18" s="53">
        <v>1</v>
      </c>
      <c r="P18" s="54">
        <v>0.33333333333333331</v>
      </c>
      <c r="Q18" s="53">
        <v>0</v>
      </c>
      <c r="R18" s="54">
        <v>0</v>
      </c>
      <c r="S18" s="55">
        <v>2</v>
      </c>
      <c r="T18" s="54">
        <v>0.66666666666666663</v>
      </c>
    </row>
    <row r="19" spans="1:23" ht="13.5" customHeight="1">
      <c r="A19" s="59">
        <v>202010</v>
      </c>
      <c r="B19" s="53">
        <v>5</v>
      </c>
      <c r="C19" s="53">
        <v>1</v>
      </c>
      <c r="D19" s="54">
        <v>0.2</v>
      </c>
      <c r="E19" s="53">
        <v>0</v>
      </c>
      <c r="F19" s="54">
        <v>0</v>
      </c>
      <c r="G19" s="55">
        <v>4</v>
      </c>
      <c r="H19" s="54">
        <v>0.8</v>
      </c>
      <c r="I19" s="23"/>
      <c r="J19" s="23"/>
      <c r="K19" s="23"/>
      <c r="M19" s="59">
        <v>202010</v>
      </c>
      <c r="N19" s="53" t="s">
        <v>124</v>
      </c>
      <c r="O19" s="53" t="s">
        <v>124</v>
      </c>
      <c r="P19" s="53" t="s">
        <v>124</v>
      </c>
      <c r="Q19" s="53" t="s">
        <v>124</v>
      </c>
      <c r="R19" s="53" t="s">
        <v>124</v>
      </c>
      <c r="S19" s="53" t="s">
        <v>124</v>
      </c>
      <c r="T19" s="53" t="s">
        <v>124</v>
      </c>
    </row>
    <row r="20" spans="1:23" ht="13.5" customHeight="1">
      <c r="A20" s="59">
        <v>202020</v>
      </c>
      <c r="B20" s="53">
        <v>17</v>
      </c>
      <c r="C20" s="53">
        <v>2</v>
      </c>
      <c r="D20" s="54">
        <v>0.11764705882352941</v>
      </c>
      <c r="E20" s="53">
        <v>0</v>
      </c>
      <c r="F20" s="54">
        <v>0</v>
      </c>
      <c r="G20" s="55">
        <v>15</v>
      </c>
      <c r="H20" s="54">
        <v>0.88235294117647056</v>
      </c>
      <c r="I20" s="23"/>
      <c r="J20" s="23"/>
      <c r="K20" s="23"/>
      <c r="M20" s="59">
        <v>202020</v>
      </c>
      <c r="N20" s="53">
        <v>8</v>
      </c>
      <c r="O20" s="53">
        <v>1</v>
      </c>
      <c r="P20" s="54">
        <v>0.25</v>
      </c>
      <c r="Q20" s="53">
        <v>0</v>
      </c>
      <c r="R20" s="53">
        <v>0</v>
      </c>
      <c r="S20" s="53">
        <v>7</v>
      </c>
      <c r="T20" s="54">
        <v>0.75</v>
      </c>
    </row>
    <row r="21" spans="1:23" ht="13.5" customHeight="1">
      <c r="A21" s="59">
        <v>202110</v>
      </c>
      <c r="B21" s="53">
        <v>2</v>
      </c>
      <c r="C21" s="53">
        <v>0</v>
      </c>
      <c r="D21" s="54">
        <v>0</v>
      </c>
      <c r="E21" s="53">
        <v>0</v>
      </c>
      <c r="F21" s="54">
        <v>0</v>
      </c>
      <c r="G21" s="55">
        <v>2</v>
      </c>
      <c r="H21" s="54">
        <v>1</v>
      </c>
      <c r="I21" s="23"/>
      <c r="J21" s="23"/>
      <c r="K21" s="23"/>
      <c r="M21" s="59">
        <v>202110</v>
      </c>
      <c r="N21" s="53">
        <v>1</v>
      </c>
      <c r="O21" s="53">
        <v>0</v>
      </c>
      <c r="P21" s="54">
        <v>0</v>
      </c>
      <c r="Q21" s="53">
        <v>0</v>
      </c>
      <c r="R21" s="53">
        <v>0</v>
      </c>
      <c r="S21" s="53">
        <v>1</v>
      </c>
      <c r="T21" s="54">
        <v>1</v>
      </c>
    </row>
    <row r="22" spans="1:23" ht="13.5" customHeight="1">
      <c r="A22" s="59">
        <v>202120</v>
      </c>
      <c r="B22" s="53">
        <v>3</v>
      </c>
      <c r="C22" s="53">
        <v>0</v>
      </c>
      <c r="D22" s="54">
        <v>0</v>
      </c>
      <c r="E22" s="53">
        <v>0</v>
      </c>
      <c r="F22" s="54">
        <v>0</v>
      </c>
      <c r="G22" s="55">
        <v>3</v>
      </c>
      <c r="H22" s="54">
        <v>1</v>
      </c>
      <c r="I22" s="23"/>
      <c r="J22" s="23"/>
      <c r="K22" s="23"/>
      <c r="M22" s="59">
        <v>202120</v>
      </c>
      <c r="N22" s="53">
        <v>3</v>
      </c>
      <c r="O22" s="53">
        <v>0</v>
      </c>
      <c r="P22" s="54">
        <v>0</v>
      </c>
      <c r="Q22" s="53">
        <v>0</v>
      </c>
      <c r="R22" s="53">
        <v>0</v>
      </c>
      <c r="S22" s="53">
        <v>3</v>
      </c>
      <c r="T22" s="54">
        <v>1</v>
      </c>
    </row>
    <row r="23" spans="1:23" ht="13.5" customHeight="1">
      <c r="A23" s="98">
        <v>202210</v>
      </c>
      <c r="B23" s="103" cm="1">
        <f t="array" ref="B23">IF(RIGHT($A23,2)="10",_xlfn.XLOOKUP("SOC"&amp;$A23,[1]PROGRAMA!$A:$A&amp;[1]PROGRAMA!$B:$B,[1]PROGRAMA!C:C,0),_xlfn.XLOOKUP("SOC"&amp;$A23,[2]PROGRAMA!$A:$A&amp;[2]PROGRAMA!$B:$B,[2]PROGRAMA!C:C,0))</f>
        <v>17</v>
      </c>
      <c r="C23" s="103" cm="1">
        <f t="array" ref="C23">IF(RIGHT($A23,2)="10",_xlfn.XLOOKUP("SOC"&amp;$A23,[1]PROGRAMA!$A:$A&amp;[1]PROGRAMA!$B:$B,[1]PROGRAMA!D:D,0),_xlfn.XLOOKUP("SOC"&amp;$A23,[2]PROGRAMA!$A:$A&amp;[2]PROGRAMA!$B:$B,[2]PROGRAMA!D:D,0))</f>
        <v>3</v>
      </c>
      <c r="D23" s="68">
        <f>IFERROR(C23/$B23,0)</f>
        <v>0.17647058823529413</v>
      </c>
      <c r="E23" s="103" cm="1">
        <f t="array" ref="E23">IF(RIGHT($A23,2)="10",_xlfn.XLOOKUP("SOC"&amp;$A23,[1]PROGRAMA!$A:$A&amp;[1]PROGRAMA!$B:$B,[1]PROGRAMA!E:E,0),_xlfn.XLOOKUP("SOC"&amp;$A23,[2]PROGRAMA!$A:$A&amp;[2]PROGRAMA!$B:$B,[2]PROGRAMA!E:E,0))</f>
        <v>0</v>
      </c>
      <c r="F23" s="68">
        <f>IFERROR(E23/$B23,0)</f>
        <v>0</v>
      </c>
      <c r="G23" s="104">
        <f>B23-C23</f>
        <v>14</v>
      </c>
      <c r="H23" s="68">
        <f>IFERROR(G23/$B23,0)</f>
        <v>0.82352941176470584</v>
      </c>
      <c r="I23" s="128"/>
      <c r="J23" s="128"/>
      <c r="K23" s="128"/>
      <c r="M23" s="98">
        <v>202210</v>
      </c>
      <c r="N23" s="103" cm="1">
        <f t="array" ref="N23">IF(RIGHT($A23,2)="10",_xlfn.XLOOKUP("SOC"&amp;$A23,'[1]PROGRAMA 123'!$A:$A&amp;'[1]PROGRAMA 123'!$B:$B,'[1]PROGRAMA 123'!C:C,0),_xlfn.XLOOKUP("SOC"&amp;$A23,'[2]PROGRAMA 123'!$A:$A&amp;'[2]PROGRAMA 123'!$B:$B,'[2]PROGRAMA 123'!C:C,0))</f>
        <v>6</v>
      </c>
      <c r="O23" s="103" cm="1">
        <f t="array" ref="O23">IF(RIGHT($A23,2)="10",_xlfn.XLOOKUP("SOC"&amp;$A23,'[1]PROGRAMA 123'!$A:$A&amp;'[1]PROGRAMA 123'!$B:$B,'[1]PROGRAMA 123'!D:D,0),_xlfn.XLOOKUP("SOC"&amp;$A23,'[2]PROGRAMA 123'!$A:$A&amp;'[2]PROGRAMA 123'!$B:$B,'[2]PROGRAMA 123'!D:D,0))</f>
        <v>1</v>
      </c>
      <c r="P23" s="68">
        <f>IFERROR(O23/$N23,0)</f>
        <v>0.16666666666666666</v>
      </c>
      <c r="Q23" s="103" cm="1">
        <f t="array" ref="Q23">IF(RIGHT($A23,2)="10",_xlfn.XLOOKUP("SOC"&amp;$A23,'[1]PROGRAMA 123'!$A:$A&amp;'[1]PROGRAMA 123'!$B:$B,'[1]PROGRAMA 123'!E:E,0),_xlfn.XLOOKUP("SOC"&amp;$A23,'[2]PROGRAMA 123'!$A:$A&amp;'[2]PROGRAMA 123'!$B:$B,'[2]PROGRAMA 123'!E:E,0))</f>
        <v>0</v>
      </c>
      <c r="R23" s="68">
        <f>IFERROR(Q23/$N23,0)</f>
        <v>0</v>
      </c>
      <c r="S23" s="104">
        <f>N23-O23</f>
        <v>5</v>
      </c>
      <c r="T23" s="68">
        <f>IFERROR(S23/$N23,0)</f>
        <v>0.83333333333333337</v>
      </c>
    </row>
    <row r="24" spans="1:23" ht="13.5" customHeight="1">
      <c r="A24" s="98">
        <v>202220</v>
      </c>
      <c r="B24" s="103" cm="1">
        <f t="array" ref="B24">IF(RIGHT($A24,2)="10",_xlfn.XLOOKUP("SOC"&amp;$A24,[1]PROGRAMA!$A:$A&amp;[1]PROGRAMA!$B:$B,[1]PROGRAMA!C:C,0),_xlfn.XLOOKUP("SOC"&amp;$A24,[2]PROGRAMA!$A:$A&amp;[2]PROGRAMA!$B:$B,[2]PROGRAMA!C:C,0))</f>
        <v>3</v>
      </c>
      <c r="C24" s="103" cm="1">
        <f t="array" ref="C24">IF(RIGHT($A24,2)="10",_xlfn.XLOOKUP("SOC"&amp;$A24,[1]PROGRAMA!$A:$A&amp;[1]PROGRAMA!$B:$B,[1]PROGRAMA!D:D,0),_xlfn.XLOOKUP("SOC"&amp;$A24,[2]PROGRAMA!$A:$A&amp;[2]PROGRAMA!$B:$B,[2]PROGRAMA!D:D,0))</f>
        <v>0</v>
      </c>
      <c r="D24" s="68">
        <f>IFERROR(C24/$B24,0)</f>
        <v>0</v>
      </c>
      <c r="E24" s="103" cm="1">
        <f t="array" ref="E24">IF(RIGHT($A24,2)="10",_xlfn.XLOOKUP("SOC"&amp;$A24,[1]PROGRAMA!$A:$A&amp;[1]PROGRAMA!$B:$B,[1]PROGRAMA!E:E,0),_xlfn.XLOOKUP("SOC"&amp;$A24,[2]PROGRAMA!$A:$A&amp;[2]PROGRAMA!$B:$B,[2]PROGRAMA!E:E,0))</f>
        <v>0</v>
      </c>
      <c r="F24" s="68">
        <f>IFERROR(E24/$B24,0)</f>
        <v>0</v>
      </c>
      <c r="G24" s="104">
        <f>B24-C24</f>
        <v>3</v>
      </c>
      <c r="H24" s="68">
        <f>IFERROR(G24/$B24,0)</f>
        <v>1</v>
      </c>
      <c r="I24" s="128"/>
      <c r="J24" s="128"/>
      <c r="K24" s="128"/>
      <c r="M24" s="98">
        <v>202220</v>
      </c>
      <c r="N24" s="103" cm="1">
        <f t="array" ref="N24">IF(RIGHT($A24,2)="10",_xlfn.XLOOKUP("SOC"&amp;$A24,'[1]PROGRAMA 123'!$A:$A&amp;'[1]PROGRAMA 123'!$B:$B,'[1]PROGRAMA 123'!C:C,0),_xlfn.XLOOKUP("SOC"&amp;$A24,'[2]PROGRAMA 123'!$A:$A&amp;'[2]PROGRAMA 123'!$B:$B,'[2]PROGRAMA 123'!C:C,0))</f>
        <v>0</v>
      </c>
      <c r="O24" s="103" cm="1">
        <f t="array" ref="O24">IF(RIGHT($A24,2)="10",_xlfn.XLOOKUP("SOC"&amp;$A24,'[1]PROGRAMA 123'!$A:$A&amp;'[1]PROGRAMA 123'!$B:$B,'[1]PROGRAMA 123'!D:D,0),_xlfn.XLOOKUP("SOC"&amp;$A24,'[2]PROGRAMA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IF(RIGHT($A24,2)="10",_xlfn.XLOOKUP("SOC"&amp;$A24,'[1]PROGRAMA 123'!$A:$A&amp;'[1]PROGRAMA 123'!$B:$B,'[1]PROGRAMA 123'!E:E,0),_xlfn.XLOOKUP("SOC"&amp;$A24,'[2]PROGRAMA 123'!$A:$A&amp;'[2]PROGRAMA 123'!$B:$B,'[2]PROGRAMA 123'!E:E,0))</f>
        <v>0</v>
      </c>
      <c r="R24" s="68">
        <f>IFERROR(Q24/$N24,0)</f>
        <v>0</v>
      </c>
      <c r="S24" s="104">
        <f>N24-O24</f>
        <v>0</v>
      </c>
      <c r="T24" s="68">
        <f>IFERROR(S24/$N24,0)</f>
        <v>0</v>
      </c>
    </row>
    <row r="25" spans="1:23" ht="13.5" customHeight="1">
      <c r="A25" s="98" t="s">
        <v>239</v>
      </c>
      <c r="B25" s="103">
        <v>8</v>
      </c>
      <c r="C25" s="103">
        <v>0</v>
      </c>
      <c r="D25" s="68">
        <v>0</v>
      </c>
      <c r="E25" s="103">
        <v>0</v>
      </c>
      <c r="F25" s="68">
        <v>0</v>
      </c>
      <c r="G25" s="104">
        <v>8</v>
      </c>
      <c r="H25" s="68">
        <v>1</v>
      </c>
      <c r="I25" s="128"/>
      <c r="J25" s="128"/>
      <c r="K25" s="128"/>
      <c r="M25" s="98" t="s">
        <v>239</v>
      </c>
      <c r="N25" s="103">
        <v>7</v>
      </c>
      <c r="O25" s="103">
        <v>0</v>
      </c>
      <c r="P25" s="68">
        <v>0</v>
      </c>
      <c r="Q25" s="103">
        <v>0</v>
      </c>
      <c r="R25" s="68">
        <v>0</v>
      </c>
      <c r="S25" s="104">
        <v>7</v>
      </c>
      <c r="T25" s="68">
        <v>1</v>
      </c>
    </row>
    <row r="27" spans="1:23" ht="41.25" hidden="1" customHeight="1">
      <c r="A27" s="211" t="s">
        <v>100</v>
      </c>
      <c r="B27" s="212"/>
      <c r="C27" s="212"/>
      <c r="D27" s="212"/>
      <c r="E27" s="212"/>
      <c r="F27" s="212"/>
      <c r="G27" s="212"/>
      <c r="H27" s="212"/>
      <c r="I27" s="212"/>
      <c r="J27" s="169"/>
      <c r="K27" s="169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117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0.25</v>
      </c>
      <c r="B29" s="37">
        <f>+((B6*D6)+(B7*D7))/(B6+B7)</f>
        <v>0.375</v>
      </c>
      <c r="C29" s="32">
        <f>((B8*D8)+(B9*D9))/(B8+B9)</f>
        <v>0.35714285714285715</v>
      </c>
      <c r="D29" s="32">
        <f>+((B10*D10)+(B11*D11))/(B10+B11)</f>
        <v>0.14285714285714285</v>
      </c>
      <c r="E29" s="32">
        <f>((B12*D12)+(B13*D13))/(B12+B13)</f>
        <v>0.15</v>
      </c>
      <c r="F29" s="32">
        <f>((B14*D14)+(B15*D15))/(B14+B15)</f>
        <v>0.23076923076923078</v>
      </c>
      <c r="G29" s="32">
        <f>((B16*D16)+(B17*D17))/(B16+B17)</f>
        <v>7.6923076923076927E-2</v>
      </c>
      <c r="H29" s="32">
        <f>((B18*D18)+(B19*D19))/(B18+B19)</f>
        <v>0.14285714285714285</v>
      </c>
      <c r="I29" s="32">
        <f>((B20*D20)+(B21*D21))/(B20+B21)</f>
        <v>0.10526315789473684</v>
      </c>
      <c r="J29" s="32">
        <f>(C22+C23)/(B22+B23)</f>
        <v>0.15</v>
      </c>
      <c r="K29" s="32">
        <f>D24</f>
        <v>0</v>
      </c>
      <c r="L29" s="6"/>
      <c r="M29" s="37">
        <f>P5</f>
        <v>0</v>
      </c>
      <c r="N29" s="37">
        <f>+((N6*P6)+(N7*P7))/(N6+N7)</f>
        <v>0.16666666666666666</v>
      </c>
      <c r="O29" s="32">
        <f>P9</f>
        <v>0.16700000000000001</v>
      </c>
      <c r="P29" s="32">
        <f>+((N10*P10)+(N11*P11))/(N10+N11)</f>
        <v>0.16666666666666666</v>
      </c>
      <c r="Q29" s="32">
        <f>((N12*P12)+(N13*P13))/(N12+N13)</f>
        <v>0.16666666666666666</v>
      </c>
      <c r="R29" s="32">
        <f>((N14*P14)+(N15*P15))/(N14+N15)</f>
        <v>0.2</v>
      </c>
      <c r="S29" s="32">
        <f>((N16*P16)+(N17*P17))/(N16+N17)</f>
        <v>0.14285714285714285</v>
      </c>
      <c r="T29" s="32">
        <f>P18</f>
        <v>0.33333333333333331</v>
      </c>
      <c r="U29" s="32">
        <f>((N20*P20)+(N21*P21))/(N20+N21)</f>
        <v>0.22222222222222221</v>
      </c>
      <c r="V29" s="32">
        <f>(O22+O23)/(N22+N23)</f>
        <v>0.1111111111111111</v>
      </c>
      <c r="W29" s="32">
        <f>P24</f>
        <v>0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L31"/>
    <mergeCell ref="M30:V30"/>
    <mergeCell ref="M31:W31"/>
    <mergeCell ref="A1:H1"/>
    <mergeCell ref="M1:T1"/>
    <mergeCell ref="A3:H3"/>
    <mergeCell ref="M3:T3"/>
    <mergeCell ref="A2:H2"/>
    <mergeCell ref="M2:T2"/>
    <mergeCell ref="A27:I27"/>
    <mergeCell ref="A30:J30"/>
    <mergeCell ref="M27:W27"/>
  </mergeCells>
  <pageMargins left="0.7" right="0.7" top="0.75" bottom="0.75" header="0.3" footer="0.3"/>
  <pageSetup orientation="portrait" r:id="rId1"/>
  <ignoredErrors>
    <ignoredError sqref="L23:T24 E23:J24" formula="1"/>
    <ignoredError sqref="A25 M25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24" t="s">
        <v>211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212</v>
      </c>
      <c r="N3" s="225"/>
      <c r="O3" s="225"/>
      <c r="P3" s="225"/>
      <c r="Q3" s="225"/>
      <c r="R3" s="225"/>
      <c r="S3" s="225"/>
      <c r="T3" s="226"/>
    </row>
    <row r="4" spans="1:20" ht="51">
      <c r="A4" s="56" t="s">
        <v>0</v>
      </c>
      <c r="B4" s="56" t="s">
        <v>93</v>
      </c>
      <c r="C4" s="56" t="s">
        <v>94</v>
      </c>
      <c r="D4" s="56" t="s">
        <v>95</v>
      </c>
      <c r="E4" s="56" t="s">
        <v>96</v>
      </c>
      <c r="F4" s="56" t="s">
        <v>97</v>
      </c>
      <c r="G4" s="56" t="s">
        <v>98</v>
      </c>
      <c r="H4" s="56" t="s">
        <v>99</v>
      </c>
      <c r="I4" s="126"/>
      <c r="J4" s="126"/>
      <c r="K4" s="12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7" t="s">
        <v>124</v>
      </c>
      <c r="C10" s="57" t="s">
        <v>124</v>
      </c>
      <c r="D10" s="57" t="s">
        <v>124</v>
      </c>
      <c r="E10" s="57" t="s">
        <v>124</v>
      </c>
      <c r="F10" s="57" t="s">
        <v>124</v>
      </c>
      <c r="G10" s="57" t="s">
        <v>124</v>
      </c>
      <c r="H10" s="57" t="s">
        <v>124</v>
      </c>
      <c r="I10" s="33"/>
      <c r="J10" s="33"/>
      <c r="K10" s="33"/>
      <c r="M10" s="55">
        <v>201520</v>
      </c>
      <c r="N10" s="57" t="s">
        <v>124</v>
      </c>
      <c r="O10" s="57" t="s">
        <v>124</v>
      </c>
      <c r="P10" s="57" t="s">
        <v>124</v>
      </c>
      <c r="Q10" s="57" t="s">
        <v>124</v>
      </c>
      <c r="R10" s="57" t="s">
        <v>124</v>
      </c>
      <c r="S10" s="57" t="s">
        <v>124</v>
      </c>
      <c r="T10" s="57" t="s">
        <v>124</v>
      </c>
    </row>
    <row r="11" spans="1:20" ht="13.5" customHeight="1">
      <c r="A11" s="59">
        <v>201610</v>
      </c>
      <c r="B11" s="57" t="s">
        <v>124</v>
      </c>
      <c r="C11" s="57" t="s">
        <v>124</v>
      </c>
      <c r="D11" s="57" t="s">
        <v>124</v>
      </c>
      <c r="E11" s="57" t="s">
        <v>124</v>
      </c>
      <c r="F11" s="57" t="s">
        <v>124</v>
      </c>
      <c r="G11" s="57" t="s">
        <v>124</v>
      </c>
      <c r="H11" s="57" t="s">
        <v>124</v>
      </c>
      <c r="I11" s="33"/>
      <c r="J11" s="33"/>
      <c r="K11" s="33"/>
      <c r="M11" s="55">
        <v>201610</v>
      </c>
      <c r="N11" s="57" t="s">
        <v>124</v>
      </c>
      <c r="O11" s="57" t="s">
        <v>124</v>
      </c>
      <c r="P11" s="57" t="s">
        <v>124</v>
      </c>
      <c r="Q11" s="57" t="s">
        <v>124</v>
      </c>
      <c r="R11" s="57" t="s">
        <v>124</v>
      </c>
      <c r="S11" s="57" t="s">
        <v>124</v>
      </c>
      <c r="T11" s="57" t="s">
        <v>124</v>
      </c>
    </row>
    <row r="12" spans="1:20" ht="13.5" customHeight="1">
      <c r="A12" s="59">
        <v>201620</v>
      </c>
      <c r="B12" s="57" t="s">
        <v>124</v>
      </c>
      <c r="C12" s="57" t="s">
        <v>124</v>
      </c>
      <c r="D12" s="57" t="s">
        <v>124</v>
      </c>
      <c r="E12" s="57" t="s">
        <v>124</v>
      </c>
      <c r="F12" s="57" t="s">
        <v>124</v>
      </c>
      <c r="G12" s="57" t="s">
        <v>124</v>
      </c>
      <c r="H12" s="57" t="s">
        <v>124</v>
      </c>
      <c r="I12" s="33"/>
      <c r="J12" s="33"/>
      <c r="K12" s="33"/>
      <c r="M12" s="55">
        <v>201620</v>
      </c>
      <c r="N12" s="57" t="s">
        <v>124</v>
      </c>
      <c r="O12" s="57" t="s">
        <v>124</v>
      </c>
      <c r="P12" s="57" t="s">
        <v>124</v>
      </c>
      <c r="Q12" s="57" t="s">
        <v>124</v>
      </c>
      <c r="R12" s="57" t="s">
        <v>124</v>
      </c>
      <c r="S12" s="57" t="s">
        <v>124</v>
      </c>
      <c r="T12" s="57" t="s">
        <v>124</v>
      </c>
    </row>
    <row r="13" spans="1:20" ht="13.5" customHeight="1">
      <c r="A13" s="59">
        <v>201710</v>
      </c>
      <c r="B13" s="53">
        <v>37</v>
      </c>
      <c r="C13" s="53">
        <v>12</v>
      </c>
      <c r="D13" s="54">
        <v>0.32432432432432434</v>
      </c>
      <c r="E13" s="53">
        <v>0</v>
      </c>
      <c r="F13" s="54">
        <v>0</v>
      </c>
      <c r="G13" s="55">
        <v>25</v>
      </c>
      <c r="H13" s="54">
        <v>0.67567567567567566</v>
      </c>
      <c r="I13" s="23"/>
      <c r="J13" s="23"/>
      <c r="K13" s="23"/>
      <c r="M13" s="55">
        <v>201710</v>
      </c>
      <c r="N13" s="53">
        <v>18</v>
      </c>
      <c r="O13" s="53">
        <v>4</v>
      </c>
      <c r="P13" s="54">
        <v>0.22222222222222221</v>
      </c>
      <c r="Q13" s="53">
        <v>0</v>
      </c>
      <c r="R13" s="54">
        <v>0</v>
      </c>
      <c r="S13" s="55">
        <v>14</v>
      </c>
      <c r="T13" s="54">
        <v>0.77777777777777779</v>
      </c>
    </row>
    <row r="14" spans="1:20" ht="13.5" customHeight="1">
      <c r="A14" s="59">
        <v>201720</v>
      </c>
      <c r="B14" s="53">
        <v>39</v>
      </c>
      <c r="C14" s="53">
        <v>6</v>
      </c>
      <c r="D14" s="54">
        <v>0.15384615384615385</v>
      </c>
      <c r="E14" s="53">
        <v>0</v>
      </c>
      <c r="F14" s="54">
        <v>0</v>
      </c>
      <c r="G14" s="55">
        <v>33</v>
      </c>
      <c r="H14" s="54">
        <v>0.84615384615384615</v>
      </c>
      <c r="I14" s="23"/>
      <c r="J14" s="23"/>
      <c r="K14" s="23"/>
      <c r="M14" s="55">
        <v>201720</v>
      </c>
      <c r="N14" s="53">
        <v>23</v>
      </c>
      <c r="O14" s="53">
        <v>1</v>
      </c>
      <c r="P14" s="54">
        <v>4.3478260869565216E-2</v>
      </c>
      <c r="Q14" s="53">
        <v>0</v>
      </c>
      <c r="R14" s="54">
        <v>0</v>
      </c>
      <c r="S14" s="55">
        <v>22</v>
      </c>
      <c r="T14" s="54">
        <v>0.95652173913043481</v>
      </c>
    </row>
    <row r="15" spans="1:20" ht="13.5" customHeight="1">
      <c r="A15" s="59">
        <v>201810</v>
      </c>
      <c r="B15" s="53">
        <v>26</v>
      </c>
      <c r="C15" s="53">
        <v>2</v>
      </c>
      <c r="D15" s="54">
        <v>7.6923076923076927E-2</v>
      </c>
      <c r="E15" s="53">
        <v>0</v>
      </c>
      <c r="F15" s="54">
        <v>0</v>
      </c>
      <c r="G15" s="55">
        <v>24</v>
      </c>
      <c r="H15" s="54">
        <v>0.92307692307692313</v>
      </c>
      <c r="I15" s="23"/>
      <c r="J15" s="23"/>
      <c r="K15" s="23"/>
      <c r="M15" s="59">
        <v>201810</v>
      </c>
      <c r="N15" s="53">
        <v>11</v>
      </c>
      <c r="O15" s="53">
        <v>2</v>
      </c>
      <c r="P15" s="54">
        <v>0.18181818181818182</v>
      </c>
      <c r="Q15" s="53">
        <v>0</v>
      </c>
      <c r="R15" s="54">
        <v>0</v>
      </c>
      <c r="S15" s="55">
        <v>9</v>
      </c>
      <c r="T15" s="54">
        <v>0.81818181818181823</v>
      </c>
    </row>
    <row r="16" spans="1:20" ht="13.5" customHeight="1">
      <c r="A16" s="59">
        <v>201820</v>
      </c>
      <c r="B16" s="53">
        <v>30</v>
      </c>
      <c r="C16" s="53">
        <v>6</v>
      </c>
      <c r="D16" s="54">
        <v>0.2</v>
      </c>
      <c r="E16" s="53">
        <v>0</v>
      </c>
      <c r="F16" s="54">
        <v>0</v>
      </c>
      <c r="G16" s="55">
        <v>24</v>
      </c>
      <c r="H16" s="54">
        <v>0.8</v>
      </c>
      <c r="I16" s="23"/>
      <c r="J16" s="23"/>
      <c r="K16" s="23"/>
      <c r="M16" s="59">
        <v>201820</v>
      </c>
      <c r="N16" s="53">
        <v>11</v>
      </c>
      <c r="O16" s="53">
        <v>2</v>
      </c>
      <c r="P16" s="54">
        <v>0.18181818181818182</v>
      </c>
      <c r="Q16" s="53">
        <v>0</v>
      </c>
      <c r="R16" s="54">
        <v>0</v>
      </c>
      <c r="S16" s="55">
        <v>9</v>
      </c>
      <c r="T16" s="54">
        <v>0.81818181818181823</v>
      </c>
    </row>
    <row r="17" spans="1:23" ht="13.5" customHeight="1">
      <c r="A17" s="59">
        <v>201910</v>
      </c>
      <c r="B17" s="53">
        <v>27</v>
      </c>
      <c r="C17" s="53">
        <v>16</v>
      </c>
      <c r="D17" s="54">
        <v>0.59259259259259256</v>
      </c>
      <c r="E17" s="53">
        <v>0</v>
      </c>
      <c r="F17" s="54">
        <v>0</v>
      </c>
      <c r="G17" s="55">
        <v>11</v>
      </c>
      <c r="H17" s="54">
        <v>0.40740740740740738</v>
      </c>
      <c r="I17" s="23"/>
      <c r="J17" s="23"/>
      <c r="K17" s="23"/>
      <c r="M17" s="59">
        <v>201910</v>
      </c>
      <c r="N17" s="53">
        <v>14</v>
      </c>
      <c r="O17" s="53">
        <v>9</v>
      </c>
      <c r="P17" s="54">
        <v>0.6428571428571429</v>
      </c>
      <c r="Q17" s="53">
        <v>0</v>
      </c>
      <c r="R17" s="54">
        <v>0</v>
      </c>
      <c r="S17" s="55">
        <v>5</v>
      </c>
      <c r="T17" s="54">
        <v>0.35714285714285721</v>
      </c>
    </row>
    <row r="18" spans="1:23" ht="13.5" customHeight="1">
      <c r="A18" s="59">
        <v>201920</v>
      </c>
      <c r="B18" s="53">
        <v>21</v>
      </c>
      <c r="C18" s="53">
        <v>5</v>
      </c>
      <c r="D18" s="54">
        <v>0.23809523809523811</v>
      </c>
      <c r="E18" s="53">
        <v>0</v>
      </c>
      <c r="F18" s="54">
        <v>0</v>
      </c>
      <c r="G18" s="55">
        <v>16</v>
      </c>
      <c r="H18" s="54">
        <v>0.76190476190476186</v>
      </c>
      <c r="I18" s="23"/>
      <c r="J18" s="23"/>
      <c r="K18" s="23"/>
      <c r="M18" s="59">
        <v>201920</v>
      </c>
      <c r="N18" s="53">
        <v>5</v>
      </c>
      <c r="O18" s="53">
        <v>1</v>
      </c>
      <c r="P18" s="54">
        <v>0.2</v>
      </c>
      <c r="Q18" s="53">
        <v>0</v>
      </c>
      <c r="R18" s="54">
        <v>0</v>
      </c>
      <c r="S18" s="55">
        <v>4</v>
      </c>
      <c r="T18" s="54">
        <v>0.8</v>
      </c>
    </row>
    <row r="19" spans="1:23" ht="13.5" customHeight="1">
      <c r="A19" s="59">
        <v>202010</v>
      </c>
      <c r="B19" s="53">
        <v>32</v>
      </c>
      <c r="C19" s="53">
        <v>4</v>
      </c>
      <c r="D19" s="54">
        <v>0.125</v>
      </c>
      <c r="E19" s="53">
        <v>0</v>
      </c>
      <c r="F19" s="54">
        <v>0</v>
      </c>
      <c r="G19" s="55">
        <v>28</v>
      </c>
      <c r="H19" s="54">
        <v>0.875</v>
      </c>
      <c r="I19" s="23"/>
      <c r="J19" s="23"/>
      <c r="K19" s="23"/>
      <c r="M19" s="59">
        <v>202010</v>
      </c>
      <c r="N19" s="53">
        <v>21</v>
      </c>
      <c r="O19" s="53">
        <v>3</v>
      </c>
      <c r="P19" s="54">
        <v>0.14285714285714279</v>
      </c>
      <c r="Q19" s="53">
        <v>0</v>
      </c>
      <c r="R19" s="54">
        <v>0</v>
      </c>
      <c r="S19" s="55">
        <v>18</v>
      </c>
      <c r="T19" s="54">
        <v>0.8571428571428571</v>
      </c>
    </row>
    <row r="20" spans="1:23" ht="13.5" customHeight="1">
      <c r="A20" s="59">
        <v>202020</v>
      </c>
      <c r="B20" s="53">
        <v>21</v>
      </c>
      <c r="C20" s="53">
        <v>4</v>
      </c>
      <c r="D20" s="54">
        <v>0.19047619047619047</v>
      </c>
      <c r="E20" s="53">
        <v>0</v>
      </c>
      <c r="F20" s="54">
        <v>0</v>
      </c>
      <c r="G20" s="55">
        <v>17</v>
      </c>
      <c r="H20" s="54">
        <v>0.80952380952380953</v>
      </c>
      <c r="I20" s="23"/>
      <c r="J20" s="23"/>
      <c r="K20" s="23"/>
      <c r="M20" s="59">
        <v>202020</v>
      </c>
      <c r="N20" s="53">
        <v>5</v>
      </c>
      <c r="O20" s="53">
        <v>1</v>
      </c>
      <c r="P20" s="54">
        <v>0.2</v>
      </c>
      <c r="Q20" s="53">
        <v>0</v>
      </c>
      <c r="R20" s="54">
        <v>0</v>
      </c>
      <c r="S20" s="55">
        <v>4</v>
      </c>
      <c r="T20" s="54">
        <v>0.8</v>
      </c>
    </row>
    <row r="21" spans="1:23" ht="13.5" customHeight="1">
      <c r="A21" s="59">
        <v>202110</v>
      </c>
      <c r="B21" s="53">
        <v>25</v>
      </c>
      <c r="C21" s="53">
        <v>4</v>
      </c>
      <c r="D21" s="54">
        <v>0.16</v>
      </c>
      <c r="E21" s="53">
        <v>0</v>
      </c>
      <c r="F21" s="54">
        <v>0</v>
      </c>
      <c r="G21" s="55">
        <v>21</v>
      </c>
      <c r="H21" s="54">
        <v>0.84</v>
      </c>
      <c r="I21" s="23"/>
      <c r="J21" s="23"/>
      <c r="K21" s="23"/>
      <c r="M21" s="59">
        <v>202110</v>
      </c>
      <c r="N21" s="53">
        <v>9</v>
      </c>
      <c r="O21" s="53">
        <v>2</v>
      </c>
      <c r="P21" s="54">
        <v>0.22222222222222221</v>
      </c>
      <c r="Q21" s="53">
        <v>0</v>
      </c>
      <c r="R21" s="54">
        <v>0</v>
      </c>
      <c r="S21" s="55">
        <v>7</v>
      </c>
      <c r="T21" s="54">
        <v>0.77777777777777779</v>
      </c>
    </row>
    <row r="22" spans="1:23" ht="13.5" customHeight="1">
      <c r="A22" s="59">
        <v>202120</v>
      </c>
      <c r="B22" s="53">
        <v>26</v>
      </c>
      <c r="C22" s="53">
        <v>11</v>
      </c>
      <c r="D22" s="54">
        <v>0.42307692307692307</v>
      </c>
      <c r="E22" s="53">
        <v>0</v>
      </c>
      <c r="F22" s="54">
        <v>0</v>
      </c>
      <c r="G22" s="55">
        <v>15</v>
      </c>
      <c r="H22" s="54">
        <v>0.57692307692307687</v>
      </c>
      <c r="I22" s="23"/>
      <c r="J22" s="23"/>
      <c r="K22" s="23"/>
      <c r="M22" s="59">
        <v>202120</v>
      </c>
      <c r="N22" s="53">
        <v>10</v>
      </c>
      <c r="O22" s="53">
        <v>2</v>
      </c>
      <c r="P22" s="54">
        <v>0.2</v>
      </c>
      <c r="Q22" s="53">
        <v>0</v>
      </c>
      <c r="R22" s="54">
        <v>0</v>
      </c>
      <c r="S22" s="55">
        <v>8</v>
      </c>
      <c r="T22" s="54">
        <v>0.8</v>
      </c>
    </row>
    <row r="23" spans="1:23" ht="13.5" customHeight="1">
      <c r="A23" s="98">
        <v>202210</v>
      </c>
      <c r="B23" s="103" cm="1">
        <f t="array" ref="B23">IF(RIGHT($A23,2)="10",_xlfn.XLOOKUP("MUS"&amp;$A23,[1]PROGRAMA!$A:$A&amp;[1]PROGRAMA!$B:$B,[1]PROGRAMA!C:C,0),_xlfn.XLOOKUP("MUS"&amp;$A23,[2]PROGRAMA!$A:$A&amp;[2]PROGRAMA!$B:$B,[2]PROGRAMA!C:C,0))</f>
        <v>43</v>
      </c>
      <c r="C23" s="103" cm="1">
        <f t="array" ref="C23">IF(RIGHT($A23,2)="10",_xlfn.XLOOKUP("MUS"&amp;$A23,[1]PROGRAMA!$A:$A&amp;[1]PROGRAMA!$B:$B,[1]PROGRAMA!D:D,0),_xlfn.XLOOKUP("MUS"&amp;$A23,[2]PROGRAMA!$A:$A&amp;[2]PROGRAMA!$B:$B,[2]PROGRAMA!D:D,0))</f>
        <v>5</v>
      </c>
      <c r="D23" s="68">
        <f>IFERROR(C23/$B23,0)</f>
        <v>0.11627906976744186</v>
      </c>
      <c r="E23" s="103" cm="1">
        <f t="array" ref="E23">IF(RIGHT($A23,2)="10",_xlfn.XLOOKUP("MUS"&amp;$A23,[1]PROGRAMA!$A:$A&amp;[1]PROGRAMA!$B:$B,[1]PROGRAMA!E:E,0),_xlfn.XLOOKUP("MUS"&amp;$A23,[2]PROGRAMA!$A:$A&amp;[2]PROGRAMA!$B:$B,[2]PROGRAMA!E:E,0))</f>
        <v>0</v>
      </c>
      <c r="F23" s="68">
        <f>IFERROR(E23/$B23,0)</f>
        <v>0</v>
      </c>
      <c r="G23" s="104">
        <f>B23-C23</f>
        <v>38</v>
      </c>
      <c r="H23" s="68">
        <f>IFERROR(G23/$B23,0)</f>
        <v>0.88372093023255816</v>
      </c>
      <c r="I23" s="128"/>
      <c r="J23" s="128"/>
      <c r="K23" s="128"/>
      <c r="M23" s="98">
        <v>202210</v>
      </c>
      <c r="N23" s="103" cm="1">
        <f t="array" ref="N23">IF(RIGHT($A23,2)="10",_xlfn.XLOOKUP("MUS"&amp;$A23,'[1]PROGRAMA 123'!$A:$A&amp;'[1]PROGRAMA 123'!$B:$B,'[1]PROGRAMA 123'!C:C,0),_xlfn.XLOOKUP("MUS"&amp;$A23,'[2]PROGRAMA 123'!$A:$A&amp;'[2]PROGRAMA 123'!$B:$B,'[2]PROGRAMA 123'!C:C,0))</f>
        <v>26</v>
      </c>
      <c r="O23" s="103" cm="1">
        <f t="array" ref="O23">IF(RIGHT($A23,2)="10",_xlfn.XLOOKUP("MUS"&amp;$A23,'[1]PROGRAMA 123'!$A:$A&amp;'[1]PROGRAMA 123'!$B:$B,'[1]PROGRAMA 123'!D:D,0),_xlfn.XLOOKUP("MUS"&amp;$A23,'[2]PROGRAMA 123'!$A:$A&amp;'[2]PROGRAMA 123'!$B:$B,'[2]PROGRAMA 123'!D:D,0))</f>
        <v>4</v>
      </c>
      <c r="P23" s="68">
        <f>IFERROR(O23/$N23,0)</f>
        <v>0.15384615384615385</v>
      </c>
      <c r="Q23" s="103" cm="1">
        <f t="array" ref="Q23">IF(RIGHT($A23,2)="10",_xlfn.XLOOKUP("MUS"&amp;$A23,'[1]PROGRAMA 123'!$A:$A&amp;'[1]PROGRAMA 123'!$B:$B,'[1]PROGRAMA 123'!E:E,0),_xlfn.XLOOKUP("MUS"&amp;$A23,'[2]PROGRAMA 123'!$A:$A&amp;'[2]PROGRAMA 123'!$B:$B,'[2]PROGRAMA 123'!E:E,0))</f>
        <v>0</v>
      </c>
      <c r="R23" s="68">
        <f>IFERROR(Q23/$N23,0)</f>
        <v>0</v>
      </c>
      <c r="S23" s="104">
        <f>N23-O23</f>
        <v>22</v>
      </c>
      <c r="T23" s="68">
        <f>IFERROR(S23/$N23,0)</f>
        <v>0.84615384615384615</v>
      </c>
    </row>
    <row r="24" spans="1:23" ht="13.5" customHeight="1">
      <c r="A24" s="98">
        <v>202220</v>
      </c>
      <c r="B24" s="103" cm="1">
        <f t="array" ref="B24">IF(RIGHT($A24,2)="10",_xlfn.XLOOKUP("MUS"&amp;$A24,[1]PROGRAMA!$A:$A&amp;[1]PROGRAMA!$B:$B,[1]PROGRAMA!C:C,0),_xlfn.XLOOKUP("MUS"&amp;$A24,[2]PROGRAMA!$A:$A&amp;[2]PROGRAMA!$B:$B,[2]PROGRAMA!C:C,0))</f>
        <v>32</v>
      </c>
      <c r="C24" s="103" cm="1">
        <f t="array" ref="C24">IF(RIGHT($A24,2)="10",_xlfn.XLOOKUP("MUS"&amp;$A24,[1]PROGRAMA!$A:$A&amp;[1]PROGRAMA!$B:$B,[1]PROGRAMA!D:D,0),_xlfn.XLOOKUP("MUS"&amp;$A24,[2]PROGRAMA!$A:$A&amp;[2]PROGRAMA!$B:$B,[2]PROGRAMA!D:D,0))</f>
        <v>7</v>
      </c>
      <c r="D24" s="68">
        <f>IFERROR(C24/$B24,0)</f>
        <v>0.21875</v>
      </c>
      <c r="E24" s="103" cm="1">
        <f t="array" ref="E24">IF(RIGHT($A24,2)="10",_xlfn.XLOOKUP("MUS"&amp;$A24,[1]PROGRAMA!$A:$A&amp;[1]PROGRAMA!$B:$B,[1]PROGRAMA!E:E,0),_xlfn.XLOOKUP("MUS"&amp;$A24,[2]PROGRAMA!$A:$A&amp;[2]PROGRAMA!$B:$B,[2]PROGRAMA!E:E,0))</f>
        <v>0</v>
      </c>
      <c r="F24" s="68">
        <f>IFERROR(E24/$B24,0)</f>
        <v>0</v>
      </c>
      <c r="G24" s="104">
        <f>B24-C24</f>
        <v>25</v>
      </c>
      <c r="H24" s="68">
        <f>IFERROR(G24/$B24,0)</f>
        <v>0.78125</v>
      </c>
      <c r="I24" s="128"/>
      <c r="J24" s="128"/>
      <c r="K24" s="128"/>
      <c r="M24" s="98">
        <v>202220</v>
      </c>
      <c r="N24" s="103" cm="1">
        <f t="array" ref="N24">IF(RIGHT($A24,2)="10",_xlfn.XLOOKUP("MUS"&amp;$A24,'[1]PROGRAMA 123'!$A:$A&amp;'[1]PROGRAMA 123'!$B:$B,'[1]PROGRAMA 123'!C:C,0),_xlfn.XLOOKUP("MUS"&amp;$A24,'[2]PROGRAMA 123'!$A:$A&amp;'[2]PROGRAMA 123'!$B:$B,'[2]PROGRAMA 123'!C:C,0))</f>
        <v>17</v>
      </c>
      <c r="O24" s="103" cm="1">
        <f t="array" ref="O24">IF(RIGHT($A24,2)="10",_xlfn.XLOOKUP("MUS"&amp;$A24,'[1]PROGRAMA 123'!$A:$A&amp;'[1]PROGRAMA 123'!$B:$B,'[1]PROGRAMA 123'!D:D,0),_xlfn.XLOOKUP("MUS"&amp;$A24,'[2]PROGRAMA 123'!$A:$A&amp;'[2]PROGRAMA 123'!$B:$B,'[2]PROGRAMA 123'!D:D,0))</f>
        <v>3</v>
      </c>
      <c r="P24" s="68">
        <f>IFERROR(O24/$N24,0)</f>
        <v>0.17647058823529413</v>
      </c>
      <c r="Q24" s="103" cm="1">
        <f t="array" ref="Q24">IF(RIGHT($A24,2)="10",_xlfn.XLOOKUP("MUS"&amp;$A24,'[1]PROGRAMA 123'!$A:$A&amp;'[1]PROGRAMA 123'!$B:$B,'[1]PROGRAMA 123'!E:E,0),_xlfn.XLOOKUP("MUS"&amp;$A24,'[2]PROGRAMA 123'!$A:$A&amp;'[2]PROGRAMA 123'!$B:$B,'[2]PROGRAMA 123'!E:E,0))</f>
        <v>0</v>
      </c>
      <c r="R24" s="68">
        <f>IFERROR(Q24/$N24,0)</f>
        <v>0</v>
      </c>
      <c r="S24" s="104">
        <f>N24-O24</f>
        <v>14</v>
      </c>
      <c r="T24" s="68">
        <f>IFERROR(S24/$N24,0)</f>
        <v>0.82352941176470584</v>
      </c>
    </row>
    <row r="25" spans="1:23" ht="13.5" customHeight="1">
      <c r="A25" s="98" t="s">
        <v>239</v>
      </c>
      <c r="B25" s="103">
        <v>49</v>
      </c>
      <c r="C25" s="103">
        <v>10</v>
      </c>
      <c r="D25" s="68">
        <v>0.2040816326530612</v>
      </c>
      <c r="E25" s="103">
        <v>0</v>
      </c>
      <c r="F25" s="68">
        <v>0</v>
      </c>
      <c r="G25" s="104">
        <v>39</v>
      </c>
      <c r="H25" s="68">
        <v>0.79591836734693877</v>
      </c>
      <c r="I25" s="128"/>
      <c r="J25" s="128"/>
      <c r="K25" s="128"/>
      <c r="M25" s="98" t="s">
        <v>239</v>
      </c>
      <c r="N25" s="103">
        <v>33</v>
      </c>
      <c r="O25" s="103">
        <v>5</v>
      </c>
      <c r="P25" s="68">
        <v>0.15151515151515149</v>
      </c>
      <c r="Q25" s="103">
        <v>0</v>
      </c>
      <c r="R25" s="68">
        <v>0</v>
      </c>
      <c r="S25" s="104">
        <v>28</v>
      </c>
      <c r="T25" s="68">
        <v>0.84848484848484851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57" t="str">
        <f>D5</f>
        <v>-</v>
      </c>
      <c r="B29" s="57" t="s">
        <v>124</v>
      </c>
      <c r="C29" s="57" t="s">
        <v>124</v>
      </c>
      <c r="D29" s="57" t="s">
        <v>124</v>
      </c>
      <c r="E29" s="32">
        <f>D13</f>
        <v>0.32432432432432434</v>
      </c>
      <c r="F29" s="32">
        <f>((B14*D14)+(B15*D15))/(B14+B15)</f>
        <v>0.12307692307692308</v>
      </c>
      <c r="G29" s="32">
        <f>((B16*D16)+(B17*D17))/(B16+B17)</f>
        <v>0.38596491228070173</v>
      </c>
      <c r="H29" s="32">
        <f>((B18*D18)+(B19*D19))/(B18+B19)</f>
        <v>0.16981132075471697</v>
      </c>
      <c r="I29" s="32">
        <f>((B20*D20)+(B21*D21))/(B20+B21)</f>
        <v>0.17391304347826086</v>
      </c>
      <c r="J29" s="32">
        <f>(C22+C23)/(B22+B23)</f>
        <v>0.2318840579710145</v>
      </c>
      <c r="K29" s="32">
        <f>D24</f>
        <v>0.21875</v>
      </c>
      <c r="L29" s="6"/>
      <c r="M29" s="58" t="str">
        <f>P5</f>
        <v>-</v>
      </c>
      <c r="N29" s="57" t="s">
        <v>124</v>
      </c>
      <c r="O29" s="57" t="s">
        <v>124</v>
      </c>
      <c r="P29" s="57" t="s">
        <v>124</v>
      </c>
      <c r="Q29" s="32">
        <f>P13</f>
        <v>0.22222222222222221</v>
      </c>
      <c r="R29" s="32">
        <f>((N14*P14)+(N15*P15))/(N14+N15)</f>
        <v>8.8235294117647065E-2</v>
      </c>
      <c r="S29" s="32">
        <f>((N16*P16)+(N17*P17))/(N16+N17)</f>
        <v>0.44</v>
      </c>
      <c r="T29" s="32">
        <f>((N18*P18)+(N19*P19))/(N18+N19)</f>
        <v>0.1538461538461538</v>
      </c>
      <c r="U29" s="32">
        <f>((N20*P20)+(N21*P21))/(N20+N21)</f>
        <v>0.21428571428571427</v>
      </c>
      <c r="V29" s="32">
        <f>(O22+O23)/(N22+N23)</f>
        <v>0.16666666666666666</v>
      </c>
      <c r="W29" s="32">
        <f>P24</f>
        <v>0.17647058823529413</v>
      </c>
    </row>
    <row r="30" spans="1:23" hidden="1">
      <c r="A30" s="206" t="s">
        <v>236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236</v>
      </c>
      <c r="N30" s="206"/>
      <c r="O30" s="206"/>
      <c r="P30" s="206"/>
      <c r="Q30" s="206"/>
      <c r="R30" s="206"/>
      <c r="S30" s="206"/>
      <c r="T30" s="7"/>
    </row>
    <row r="31" spans="1:23">
      <c r="N31" s="7"/>
      <c r="O31" s="7"/>
      <c r="P31" s="7"/>
      <c r="Q31" s="7"/>
      <c r="R31" s="7"/>
      <c r="S31" s="7"/>
      <c r="T31" s="7"/>
    </row>
  </sheetData>
  <mergeCells count="8">
    <mergeCell ref="M30:S30"/>
    <mergeCell ref="A1:H1"/>
    <mergeCell ref="M1:T1"/>
    <mergeCell ref="A3:H3"/>
    <mergeCell ref="M3:T3"/>
    <mergeCell ref="A30:L30"/>
    <mergeCell ref="M27:W27"/>
    <mergeCell ref="A27:K27"/>
  </mergeCells>
  <pageMargins left="0.7" right="0.7" top="0.75" bottom="0.75" header="0.3" footer="0.3"/>
  <pageSetup orientation="portrait" r:id="rId1"/>
  <ignoredErrors>
    <ignoredError sqref="L23:T24 E23:J24" formula="1"/>
    <ignoredError sqref="M25 A25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9608-7235-48C8-B570-5858EE494B17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24" t="s">
        <v>213</v>
      </c>
      <c r="B3" s="225"/>
      <c r="C3" s="225"/>
      <c r="D3" s="225"/>
      <c r="E3" s="225"/>
      <c r="F3" s="225"/>
      <c r="G3" s="225"/>
      <c r="H3" s="226"/>
      <c r="I3" s="122"/>
      <c r="J3" s="122"/>
      <c r="K3" s="122"/>
      <c r="M3" s="224" t="s">
        <v>214</v>
      </c>
      <c r="N3" s="225"/>
      <c r="O3" s="225"/>
      <c r="P3" s="225"/>
      <c r="Q3" s="225"/>
      <c r="R3" s="225"/>
      <c r="S3" s="225"/>
      <c r="T3" s="226"/>
    </row>
    <row r="4" spans="1:20" ht="51">
      <c r="A4" s="56" t="s">
        <v>0</v>
      </c>
      <c r="B4" s="56" t="s">
        <v>93</v>
      </c>
      <c r="C4" s="56" t="s">
        <v>94</v>
      </c>
      <c r="D4" s="56" t="s">
        <v>95</v>
      </c>
      <c r="E4" s="56" t="s">
        <v>96</v>
      </c>
      <c r="F4" s="56" t="s">
        <v>97</v>
      </c>
      <c r="G4" s="56" t="s">
        <v>98</v>
      </c>
      <c r="H4" s="56" t="s">
        <v>99</v>
      </c>
      <c r="I4" s="126"/>
      <c r="J4" s="126"/>
      <c r="K4" s="12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7" t="s">
        <v>124</v>
      </c>
      <c r="C10" s="57" t="s">
        <v>124</v>
      </c>
      <c r="D10" s="57" t="s">
        <v>124</v>
      </c>
      <c r="E10" s="57" t="s">
        <v>124</v>
      </c>
      <c r="F10" s="57" t="s">
        <v>124</v>
      </c>
      <c r="G10" s="57" t="s">
        <v>124</v>
      </c>
      <c r="H10" s="57" t="s">
        <v>124</v>
      </c>
      <c r="I10" s="33"/>
      <c r="J10" s="33"/>
      <c r="K10" s="33"/>
      <c r="M10" s="55">
        <v>201520</v>
      </c>
      <c r="N10" s="57" t="s">
        <v>124</v>
      </c>
      <c r="O10" s="57" t="s">
        <v>124</v>
      </c>
      <c r="P10" s="57" t="s">
        <v>124</v>
      </c>
      <c r="Q10" s="57" t="s">
        <v>124</v>
      </c>
      <c r="R10" s="57" t="s">
        <v>124</v>
      </c>
      <c r="S10" s="57" t="s">
        <v>124</v>
      </c>
      <c r="T10" s="57" t="s">
        <v>124</v>
      </c>
    </row>
    <row r="11" spans="1:20" ht="13.5" customHeight="1">
      <c r="A11" s="59">
        <v>201610</v>
      </c>
      <c r="B11" s="57" t="s">
        <v>124</v>
      </c>
      <c r="C11" s="57" t="s">
        <v>124</v>
      </c>
      <c r="D11" s="57" t="s">
        <v>124</v>
      </c>
      <c r="E11" s="57" t="s">
        <v>124</v>
      </c>
      <c r="F11" s="57" t="s">
        <v>124</v>
      </c>
      <c r="G11" s="57" t="s">
        <v>124</v>
      </c>
      <c r="H11" s="57" t="s">
        <v>124</v>
      </c>
      <c r="I11" s="33"/>
      <c r="J11" s="33"/>
      <c r="K11" s="33"/>
      <c r="M11" s="55">
        <v>201610</v>
      </c>
      <c r="N11" s="57" t="s">
        <v>124</v>
      </c>
      <c r="O11" s="57" t="s">
        <v>124</v>
      </c>
      <c r="P11" s="57" t="s">
        <v>124</v>
      </c>
      <c r="Q11" s="57" t="s">
        <v>124</v>
      </c>
      <c r="R11" s="57" t="s">
        <v>124</v>
      </c>
      <c r="S11" s="57" t="s">
        <v>124</v>
      </c>
      <c r="T11" s="57" t="s">
        <v>124</v>
      </c>
    </row>
    <row r="12" spans="1:20" ht="13.5" customHeight="1">
      <c r="A12" s="59">
        <v>201620</v>
      </c>
      <c r="B12" s="57" t="s">
        <v>124</v>
      </c>
      <c r="C12" s="57" t="s">
        <v>124</v>
      </c>
      <c r="D12" s="57" t="s">
        <v>124</v>
      </c>
      <c r="E12" s="57" t="s">
        <v>124</v>
      </c>
      <c r="F12" s="57" t="s">
        <v>124</v>
      </c>
      <c r="G12" s="57" t="s">
        <v>124</v>
      </c>
      <c r="H12" s="57" t="s">
        <v>124</v>
      </c>
      <c r="I12" s="33"/>
      <c r="J12" s="33"/>
      <c r="K12" s="33"/>
      <c r="M12" s="55">
        <v>201620</v>
      </c>
      <c r="N12" s="57" t="s">
        <v>124</v>
      </c>
      <c r="O12" s="57" t="s">
        <v>124</v>
      </c>
      <c r="P12" s="57" t="s">
        <v>124</v>
      </c>
      <c r="Q12" s="57" t="s">
        <v>124</v>
      </c>
      <c r="R12" s="57" t="s">
        <v>124</v>
      </c>
      <c r="S12" s="57" t="s">
        <v>124</v>
      </c>
      <c r="T12" s="57" t="s">
        <v>124</v>
      </c>
    </row>
    <row r="13" spans="1:20" ht="13.5" customHeight="1">
      <c r="A13" s="59">
        <v>201710</v>
      </c>
      <c r="B13" s="57" t="s">
        <v>124</v>
      </c>
      <c r="C13" s="57" t="s">
        <v>124</v>
      </c>
      <c r="D13" s="57" t="s">
        <v>124</v>
      </c>
      <c r="E13" s="57" t="s">
        <v>124</v>
      </c>
      <c r="F13" s="57" t="s">
        <v>124</v>
      </c>
      <c r="G13" s="57" t="s">
        <v>124</v>
      </c>
      <c r="H13" s="57" t="s">
        <v>124</v>
      </c>
      <c r="I13" s="23"/>
      <c r="J13" s="23"/>
      <c r="K13" s="23"/>
      <c r="M13" s="55">
        <v>201710</v>
      </c>
      <c r="N13" s="57" t="s">
        <v>124</v>
      </c>
      <c r="O13" s="57" t="s">
        <v>124</v>
      </c>
      <c r="P13" s="57" t="s">
        <v>124</v>
      </c>
      <c r="Q13" s="57" t="s">
        <v>124</v>
      </c>
      <c r="R13" s="57" t="s">
        <v>124</v>
      </c>
      <c r="S13" s="57" t="s">
        <v>124</v>
      </c>
      <c r="T13" s="57" t="s">
        <v>124</v>
      </c>
    </row>
    <row r="14" spans="1:20" ht="13.5" customHeight="1">
      <c r="A14" s="59">
        <v>201720</v>
      </c>
      <c r="B14" s="57" t="s">
        <v>124</v>
      </c>
      <c r="C14" s="57" t="s">
        <v>124</v>
      </c>
      <c r="D14" s="57" t="s">
        <v>124</v>
      </c>
      <c r="E14" s="57" t="s">
        <v>124</v>
      </c>
      <c r="F14" s="57" t="s">
        <v>124</v>
      </c>
      <c r="G14" s="57" t="s">
        <v>124</v>
      </c>
      <c r="H14" s="57" t="s">
        <v>124</v>
      </c>
      <c r="I14" s="23"/>
      <c r="J14" s="23"/>
      <c r="K14" s="23"/>
      <c r="M14" s="55">
        <v>201720</v>
      </c>
      <c r="N14" s="57" t="s">
        <v>124</v>
      </c>
      <c r="O14" s="57" t="s">
        <v>124</v>
      </c>
      <c r="P14" s="57" t="s">
        <v>124</v>
      </c>
      <c r="Q14" s="57" t="s">
        <v>124</v>
      </c>
      <c r="R14" s="57" t="s">
        <v>124</v>
      </c>
      <c r="S14" s="57" t="s">
        <v>124</v>
      </c>
      <c r="T14" s="57" t="s">
        <v>124</v>
      </c>
    </row>
    <row r="15" spans="1:20" ht="13.5" customHeight="1">
      <c r="A15" s="59">
        <v>201810</v>
      </c>
      <c r="B15" s="57" t="s">
        <v>124</v>
      </c>
      <c r="C15" s="57" t="s">
        <v>124</v>
      </c>
      <c r="D15" s="57" t="s">
        <v>124</v>
      </c>
      <c r="E15" s="57" t="s">
        <v>124</v>
      </c>
      <c r="F15" s="57" t="s">
        <v>124</v>
      </c>
      <c r="G15" s="57" t="s">
        <v>124</v>
      </c>
      <c r="H15" s="57" t="s">
        <v>124</v>
      </c>
      <c r="I15" s="23"/>
      <c r="J15" s="23"/>
      <c r="K15" s="23"/>
      <c r="M15" s="59">
        <v>201810</v>
      </c>
      <c r="N15" s="57" t="s">
        <v>124</v>
      </c>
      <c r="O15" s="57" t="s">
        <v>124</v>
      </c>
      <c r="P15" s="57" t="s">
        <v>124</v>
      </c>
      <c r="Q15" s="57" t="s">
        <v>124</v>
      </c>
      <c r="R15" s="57" t="s">
        <v>124</v>
      </c>
      <c r="S15" s="57" t="s">
        <v>124</v>
      </c>
      <c r="T15" s="57" t="s">
        <v>124</v>
      </c>
    </row>
    <row r="16" spans="1:20" ht="13.5" customHeight="1">
      <c r="A16" s="59">
        <v>201820</v>
      </c>
      <c r="B16" s="57" t="s">
        <v>124</v>
      </c>
      <c r="C16" s="57" t="s">
        <v>124</v>
      </c>
      <c r="D16" s="57" t="s">
        <v>124</v>
      </c>
      <c r="E16" s="57" t="s">
        <v>124</v>
      </c>
      <c r="F16" s="57" t="s">
        <v>124</v>
      </c>
      <c r="G16" s="57" t="s">
        <v>124</v>
      </c>
      <c r="H16" s="57" t="s">
        <v>124</v>
      </c>
      <c r="I16" s="23"/>
      <c r="J16" s="23"/>
      <c r="K16" s="23"/>
      <c r="M16" s="59">
        <v>201820</v>
      </c>
      <c r="N16" s="57" t="s">
        <v>124</v>
      </c>
      <c r="O16" s="57" t="s">
        <v>124</v>
      </c>
      <c r="P16" s="57" t="s">
        <v>124</v>
      </c>
      <c r="Q16" s="57" t="s">
        <v>124</v>
      </c>
      <c r="R16" s="57" t="s">
        <v>124</v>
      </c>
      <c r="S16" s="57" t="s">
        <v>124</v>
      </c>
      <c r="T16" s="57" t="s">
        <v>124</v>
      </c>
    </row>
    <row r="17" spans="1:23" ht="13.5" customHeight="1">
      <c r="A17" s="59">
        <v>201910</v>
      </c>
      <c r="B17" s="57" t="s">
        <v>124</v>
      </c>
      <c r="C17" s="57" t="s">
        <v>124</v>
      </c>
      <c r="D17" s="57" t="s">
        <v>124</v>
      </c>
      <c r="E17" s="57" t="s">
        <v>124</v>
      </c>
      <c r="F17" s="57" t="s">
        <v>124</v>
      </c>
      <c r="G17" s="57" t="s">
        <v>124</v>
      </c>
      <c r="H17" s="57" t="s">
        <v>124</v>
      </c>
      <c r="I17" s="23"/>
      <c r="J17" s="23"/>
      <c r="K17" s="23"/>
      <c r="M17" s="59">
        <v>201910</v>
      </c>
      <c r="N17" s="57" t="s">
        <v>124</v>
      </c>
      <c r="O17" s="57" t="s">
        <v>124</v>
      </c>
      <c r="P17" s="57" t="s">
        <v>124</v>
      </c>
      <c r="Q17" s="57" t="s">
        <v>124</v>
      </c>
      <c r="R17" s="57" t="s">
        <v>124</v>
      </c>
      <c r="S17" s="57" t="s">
        <v>124</v>
      </c>
      <c r="T17" s="57" t="s">
        <v>124</v>
      </c>
    </row>
    <row r="18" spans="1:23" ht="13.5" customHeight="1">
      <c r="A18" s="59">
        <v>201920</v>
      </c>
      <c r="B18" s="57" t="s">
        <v>124</v>
      </c>
      <c r="C18" s="57" t="s">
        <v>124</v>
      </c>
      <c r="D18" s="57" t="s">
        <v>124</v>
      </c>
      <c r="E18" s="57" t="s">
        <v>124</v>
      </c>
      <c r="F18" s="57" t="s">
        <v>124</v>
      </c>
      <c r="G18" s="57" t="s">
        <v>124</v>
      </c>
      <c r="H18" s="57" t="s">
        <v>124</v>
      </c>
      <c r="I18" s="23"/>
      <c r="J18" s="23"/>
      <c r="K18" s="23"/>
      <c r="M18" s="59">
        <v>201920</v>
      </c>
      <c r="N18" s="57" t="s">
        <v>124</v>
      </c>
      <c r="O18" s="57" t="s">
        <v>124</v>
      </c>
      <c r="P18" s="57" t="s">
        <v>124</v>
      </c>
      <c r="Q18" s="57" t="s">
        <v>124</v>
      </c>
      <c r="R18" s="57" t="s">
        <v>124</v>
      </c>
      <c r="S18" s="57" t="s">
        <v>124</v>
      </c>
      <c r="T18" s="57" t="s">
        <v>124</v>
      </c>
    </row>
    <row r="19" spans="1:23" ht="13.5" customHeight="1">
      <c r="A19" s="59">
        <v>202010</v>
      </c>
      <c r="B19" s="57" t="s">
        <v>124</v>
      </c>
      <c r="C19" s="57" t="s">
        <v>124</v>
      </c>
      <c r="D19" s="57" t="s">
        <v>124</v>
      </c>
      <c r="E19" s="57" t="s">
        <v>124</v>
      </c>
      <c r="F19" s="57" t="s">
        <v>124</v>
      </c>
      <c r="G19" s="57" t="s">
        <v>124</v>
      </c>
      <c r="H19" s="57" t="s">
        <v>124</v>
      </c>
      <c r="I19" s="23"/>
      <c r="J19" s="23"/>
      <c r="K19" s="23"/>
      <c r="M19" s="59">
        <v>202010</v>
      </c>
      <c r="N19" s="57" t="s">
        <v>124</v>
      </c>
      <c r="O19" s="57" t="s">
        <v>124</v>
      </c>
      <c r="P19" s="57" t="s">
        <v>124</v>
      </c>
      <c r="Q19" s="57" t="s">
        <v>124</v>
      </c>
      <c r="R19" s="57" t="s">
        <v>124</v>
      </c>
      <c r="S19" s="57" t="s">
        <v>124</v>
      </c>
      <c r="T19" s="57" t="s">
        <v>124</v>
      </c>
    </row>
    <row r="20" spans="1:23" ht="13.5" customHeight="1">
      <c r="A20" s="59">
        <v>202020</v>
      </c>
      <c r="B20" s="53">
        <v>29</v>
      </c>
      <c r="C20" s="53">
        <v>3</v>
      </c>
      <c r="D20" s="54">
        <v>0.10344827586206896</v>
      </c>
      <c r="E20" s="53">
        <v>0</v>
      </c>
      <c r="F20" s="54">
        <v>0</v>
      </c>
      <c r="G20" s="55">
        <v>26</v>
      </c>
      <c r="H20" s="54">
        <v>0.89655172413793105</v>
      </c>
      <c r="I20" s="23"/>
      <c r="J20" s="23"/>
      <c r="K20" s="23"/>
      <c r="M20" s="59">
        <v>202020</v>
      </c>
      <c r="N20" s="53">
        <v>9</v>
      </c>
      <c r="O20" s="53">
        <v>0</v>
      </c>
      <c r="P20" s="54">
        <v>0</v>
      </c>
      <c r="Q20" s="53">
        <v>0</v>
      </c>
      <c r="R20" s="54">
        <v>0</v>
      </c>
      <c r="S20" s="55">
        <v>9</v>
      </c>
      <c r="T20" s="54">
        <v>1</v>
      </c>
    </row>
    <row r="21" spans="1:23" ht="13.5" customHeight="1">
      <c r="A21" s="59">
        <v>202110</v>
      </c>
      <c r="B21" s="53">
        <v>7</v>
      </c>
      <c r="C21" s="53">
        <v>3</v>
      </c>
      <c r="D21" s="54">
        <v>0.42857142857142849</v>
      </c>
      <c r="E21" s="53">
        <v>0</v>
      </c>
      <c r="F21" s="54">
        <v>0</v>
      </c>
      <c r="G21" s="55">
        <v>4</v>
      </c>
      <c r="H21" s="54">
        <v>0.5714285714285714</v>
      </c>
      <c r="I21" s="23"/>
      <c r="J21" s="23"/>
      <c r="K21" s="23"/>
      <c r="M21" s="59">
        <v>202110</v>
      </c>
      <c r="N21" s="53">
        <v>2</v>
      </c>
      <c r="O21" s="53">
        <v>1</v>
      </c>
      <c r="P21" s="54">
        <v>0.5</v>
      </c>
      <c r="Q21" s="53">
        <v>0</v>
      </c>
      <c r="R21" s="54">
        <v>0</v>
      </c>
      <c r="S21" s="55">
        <v>1</v>
      </c>
      <c r="T21" s="54">
        <v>0.5</v>
      </c>
    </row>
    <row r="22" spans="1:23" ht="13.5" customHeight="1">
      <c r="A22" s="59">
        <v>202120</v>
      </c>
      <c r="B22" s="53">
        <v>10</v>
      </c>
      <c r="C22" s="53">
        <v>0</v>
      </c>
      <c r="D22" s="54">
        <v>0</v>
      </c>
      <c r="E22" s="53">
        <v>0</v>
      </c>
      <c r="F22" s="54">
        <v>0</v>
      </c>
      <c r="G22" s="55">
        <v>10</v>
      </c>
      <c r="H22" s="54">
        <v>1</v>
      </c>
      <c r="I22" s="23"/>
      <c r="J22" s="23"/>
      <c r="K22" s="23"/>
      <c r="M22" s="59">
        <v>202120</v>
      </c>
      <c r="N22" s="53">
        <v>3</v>
      </c>
      <c r="O22" s="53">
        <v>0</v>
      </c>
      <c r="P22" s="54">
        <v>0</v>
      </c>
      <c r="Q22" s="53">
        <v>0</v>
      </c>
      <c r="R22" s="54">
        <v>0</v>
      </c>
      <c r="S22" s="55">
        <v>3</v>
      </c>
      <c r="T22" s="54">
        <v>1</v>
      </c>
    </row>
    <row r="23" spans="1:23" ht="13.5" customHeight="1">
      <c r="A23" s="98">
        <v>202210</v>
      </c>
      <c r="B23" s="103" cm="1">
        <f t="array" ref="B23">IF(RIGHT($A23,2)="10",_xlfn.XLOOKUP("COM"&amp;$A23,[1]PROGRAMA!$A:$A&amp;[1]PROGRAMA!$B:$B,[1]PROGRAMA!C:C,0),_xlfn.XLOOKUP("COM"&amp;$A23,[2]PROGRAMA!$A:$A&amp;[2]PROGRAMA!$B:$B,[2]PROGRAMA!C:C,0))</f>
        <v>39</v>
      </c>
      <c r="C23" s="103" cm="1">
        <f t="array" ref="C23">IF(RIGHT($A23,2)="10",_xlfn.XLOOKUP("COM"&amp;$A23,[1]PROGRAMA!$A:$A&amp;[1]PROGRAMA!$B:$B,[1]PROGRAMA!D:D,0),_xlfn.XLOOKUP("COM"&amp;$A23,[2]PROGRAMA!$A:$A&amp;[2]PROGRAMA!$B:$B,[2]PROGRAMA!D:D,0))</f>
        <v>3</v>
      </c>
      <c r="D23" s="38">
        <f>C23/B23</f>
        <v>7.6923076923076927E-2</v>
      </c>
      <c r="E23" s="103" cm="1">
        <f t="array" ref="E23">IF(RIGHT($A23,2)="10",_xlfn.XLOOKUP("COM"&amp;$A23,[1]PROGRAMA!$A:$A&amp;[1]PROGRAMA!$B:$B,[1]PROGRAMA!E:E,0),_xlfn.XLOOKUP("COM"&amp;$A23,[2]PROGRAMA!$A:$A&amp;[2]PROGRAMA!$B:$B,[2]PROGRAMA!E:E,0))</f>
        <v>0</v>
      </c>
      <c r="F23" s="38">
        <f>E23/B23</f>
        <v>0</v>
      </c>
      <c r="G23" s="104">
        <f>B23-C23</f>
        <v>36</v>
      </c>
      <c r="H23" s="38">
        <f>G23/B23</f>
        <v>0.92307692307692313</v>
      </c>
      <c r="I23" s="128"/>
      <c r="J23" s="128"/>
      <c r="K23" s="128"/>
      <c r="M23" s="98">
        <v>202210</v>
      </c>
      <c r="N23" s="103" cm="1">
        <f t="array" ref="N23">IF(RIGHT($A23,2)="10",_xlfn.XLOOKUP("COM"&amp;$A23,'[1]PROGRAMA 123'!$A:$A&amp;'[1]PROGRAMA 123'!$B:$B,'[1]PROGRAMA 123'!C:C,0),_xlfn.XLOOKUP("COM"&amp;$A23,'[2]PROGRAMA 123'!$A:$A&amp;'[2]PROGRAMA 123'!$B:$B,'[2]PROGRAMA 123'!C:C,0))</f>
        <v>18</v>
      </c>
      <c r="O23" s="103" cm="1">
        <f t="array" ref="O23">IF(RIGHT($A23,2)="10",_xlfn.XLOOKUP("COM"&amp;$A23,'[1]PROGRAMA 123'!$A:$A&amp;'[1]PROGRAMA 123'!$B:$B,'[1]PROGRAMA 123'!D:D,0),_xlfn.XLOOKUP("COM"&amp;$A23,'[2]PROGRAMA 123'!$A:$A&amp;'[2]PROGRAMA 123'!$B:$B,'[2]PROGRAMA 123'!D:D,0))</f>
        <v>1</v>
      </c>
      <c r="P23" s="38">
        <f>O23/N23</f>
        <v>5.5555555555555552E-2</v>
      </c>
      <c r="Q23" s="103" cm="1">
        <f t="array" ref="Q23">IF(RIGHT($A23,2)="10",_xlfn.XLOOKUP("COM"&amp;$A23,'[1]PROGRAMA 123'!$A:$A&amp;'[1]PROGRAMA 123'!$B:$B,'[1]PROGRAMA 123'!E:E,0),_xlfn.XLOOKUP("COM"&amp;$A23,'[2]PROGRAMA 123'!$A:$A&amp;'[2]PROGRAMA 123'!$B:$B,'[2]PROGRAMA 123'!E:E,0))</f>
        <v>0</v>
      </c>
      <c r="R23" s="38">
        <f>Q23/N23</f>
        <v>0</v>
      </c>
      <c r="S23" s="104">
        <f>N23-O23</f>
        <v>17</v>
      </c>
      <c r="T23" s="38">
        <f>S23/N23</f>
        <v>0.94444444444444442</v>
      </c>
    </row>
    <row r="24" spans="1:23" ht="13.5" customHeight="1">
      <c r="A24" s="98">
        <v>202220</v>
      </c>
      <c r="B24" s="103" cm="1">
        <f t="array" ref="B24">IF(RIGHT($A24,2)="10",_xlfn.XLOOKUP("COM"&amp;$A24,[1]PROGRAMA!$A:$A&amp;[1]PROGRAMA!$B:$B,[1]PROGRAMA!C:C,0),_xlfn.XLOOKUP("COM"&amp;$A24,[2]PROGRAMA!$A:$A&amp;[2]PROGRAMA!$B:$B,[2]PROGRAMA!C:C,0))</f>
        <v>15</v>
      </c>
      <c r="C24" s="103" cm="1">
        <f t="array" ref="C24">IF(RIGHT($A24,2)="10",_xlfn.XLOOKUP("COM"&amp;$A24,[1]PROGRAMA!$A:$A&amp;[1]PROGRAMA!$B:$B,[1]PROGRAMA!D:D,0),_xlfn.XLOOKUP("COM"&amp;$A24,[2]PROGRAMA!$A:$A&amp;[2]PROGRAMA!$B:$B,[2]PROGRAMA!D:D,0))</f>
        <v>5</v>
      </c>
      <c r="D24" s="38">
        <f>C24/B24</f>
        <v>0.33333333333333331</v>
      </c>
      <c r="E24" s="103" cm="1">
        <f t="array" ref="E24">IF(RIGHT($A24,2)="10",_xlfn.XLOOKUP("COM"&amp;$A24,[1]PROGRAMA!$A:$A&amp;[1]PROGRAMA!$B:$B,[1]PROGRAMA!E:E,0),_xlfn.XLOOKUP("COM"&amp;$A24,[2]PROGRAMA!$A:$A&amp;[2]PROGRAMA!$B:$B,[2]PROGRAMA!E:E,0))</f>
        <v>0</v>
      </c>
      <c r="F24" s="38">
        <f>E24/B24</f>
        <v>0</v>
      </c>
      <c r="G24" s="104">
        <f>B24-C24</f>
        <v>10</v>
      </c>
      <c r="H24" s="38">
        <f>G24/B24</f>
        <v>0.66666666666666663</v>
      </c>
      <c r="I24" s="128"/>
      <c r="J24" s="128"/>
      <c r="K24" s="128"/>
      <c r="M24" s="98">
        <v>202220</v>
      </c>
      <c r="N24" s="103" cm="1">
        <f t="array" ref="N24">IF(RIGHT($A24,2)="10",_xlfn.XLOOKUP("COM"&amp;$A24,'[1]PROGRAMA 123'!$A:$A&amp;'[1]PROGRAMA 123'!$B:$B,'[1]PROGRAMA 123'!C:C,0),_xlfn.XLOOKUP("COM"&amp;$A24,'[2]PROGRAMA 123'!$A:$A&amp;'[2]PROGRAMA 123'!$B:$B,'[2]PROGRAMA 123'!C:C,0))</f>
        <v>8</v>
      </c>
      <c r="O24" s="103" cm="1">
        <f t="array" ref="O24">IF(RIGHT($A24,2)="10",_xlfn.XLOOKUP("COM"&amp;$A24,'[1]PROGRAMA 123'!$A:$A&amp;'[1]PROGRAMA 123'!$B:$B,'[1]PROGRAMA 123'!D:D,0),_xlfn.XLOOKUP("COM"&amp;$A24,'[2]PROGRAMA 123'!$A:$A&amp;'[2]PROGRAMA 123'!$B:$B,'[2]PROGRAMA 123'!D:D,0))</f>
        <v>2</v>
      </c>
      <c r="P24" s="38">
        <f>O24/N24</f>
        <v>0.25</v>
      </c>
      <c r="Q24" s="103" cm="1">
        <f t="array" ref="Q24">IF(RIGHT($A24,2)="10",_xlfn.XLOOKUP("COM"&amp;$A24,'[1]PROGRAMA 123'!$A:$A&amp;'[1]PROGRAMA 123'!$B:$B,'[1]PROGRAMA 123'!E:E,0),_xlfn.XLOOKUP("COM"&amp;$A24,'[2]PROGRAMA 123'!$A:$A&amp;'[2]PROGRAMA 123'!$B:$B,'[2]PROGRAMA 123'!E:E,0))</f>
        <v>0</v>
      </c>
      <c r="R24" s="38">
        <f>Q24/N24</f>
        <v>0</v>
      </c>
      <c r="S24" s="104">
        <f>N24-O24</f>
        <v>6</v>
      </c>
      <c r="T24" s="38">
        <f>S24/N24</f>
        <v>0.75</v>
      </c>
    </row>
    <row r="25" spans="1:23" ht="13.5" customHeight="1">
      <c r="A25" s="98" t="s">
        <v>239</v>
      </c>
      <c r="B25" s="103">
        <v>22</v>
      </c>
      <c r="C25" s="103">
        <v>3</v>
      </c>
      <c r="D25" s="38">
        <v>0.13636363636363641</v>
      </c>
      <c r="E25" s="103">
        <v>0</v>
      </c>
      <c r="F25" s="38">
        <v>0</v>
      </c>
      <c r="G25" s="104">
        <v>19</v>
      </c>
      <c r="H25" s="38">
        <v>0.86363636363636365</v>
      </c>
      <c r="I25" s="128"/>
      <c r="J25" s="128"/>
      <c r="K25" s="128"/>
      <c r="M25" s="98" t="s">
        <v>239</v>
      </c>
      <c r="N25" s="103">
        <v>10</v>
      </c>
      <c r="O25" s="103">
        <v>3</v>
      </c>
      <c r="P25" s="38">
        <v>0.3</v>
      </c>
      <c r="Q25" s="103">
        <v>0</v>
      </c>
      <c r="R25" s="38">
        <v>0</v>
      </c>
      <c r="S25" s="104">
        <v>7</v>
      </c>
      <c r="T25" s="38">
        <v>0.7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57" t="str">
        <f>D5</f>
        <v>-</v>
      </c>
      <c r="B29" s="57" t="s">
        <v>124</v>
      </c>
      <c r="C29" s="57" t="s">
        <v>124</v>
      </c>
      <c r="D29" s="57" t="s">
        <v>124</v>
      </c>
      <c r="E29" s="32" t="str">
        <f>D13</f>
        <v>-</v>
      </c>
      <c r="F29" s="32" t="str">
        <f t="shared" ref="F29:H29" si="0">E13</f>
        <v>-</v>
      </c>
      <c r="G29" s="32" t="str">
        <f t="shared" si="0"/>
        <v>-</v>
      </c>
      <c r="H29" s="32" t="str">
        <f t="shared" si="0"/>
        <v>-</v>
      </c>
      <c r="I29" s="32">
        <f>((B20*D20)+(B21*D21))/(B20+B21)</f>
        <v>0.16666666666666666</v>
      </c>
      <c r="J29" s="32">
        <f>(C22+C23)/(B22+B23)</f>
        <v>6.1224489795918366E-2</v>
      </c>
      <c r="K29" s="32">
        <f>D24</f>
        <v>0.33333333333333331</v>
      </c>
      <c r="L29" s="6"/>
      <c r="M29" s="58" t="str">
        <f>P5</f>
        <v>-</v>
      </c>
      <c r="N29" s="57" t="s">
        <v>124</v>
      </c>
      <c r="O29" s="57" t="s">
        <v>124</v>
      </c>
      <c r="P29" s="57" t="s">
        <v>124</v>
      </c>
      <c r="Q29" s="32" t="str">
        <f>P13</f>
        <v>-</v>
      </c>
      <c r="R29" s="32" t="str">
        <f t="shared" ref="R29:T29" si="1">Q13</f>
        <v>-</v>
      </c>
      <c r="S29" s="32" t="str">
        <f t="shared" si="1"/>
        <v>-</v>
      </c>
      <c r="T29" s="32" t="str">
        <f t="shared" si="1"/>
        <v>-</v>
      </c>
      <c r="U29" s="32">
        <f>((N20*P20)+(N21*P21))/(N20+N21)</f>
        <v>9.0909090909090912E-2</v>
      </c>
      <c r="V29" s="32">
        <f>(O22+O23)/(N22+N23)</f>
        <v>4.7619047619047616E-2</v>
      </c>
      <c r="W29" s="32">
        <f>P24</f>
        <v>0.25</v>
      </c>
    </row>
    <row r="30" spans="1:23" hidden="1">
      <c r="A30" s="206" t="s">
        <v>236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236</v>
      </c>
      <c r="N30" s="206"/>
      <c r="O30" s="206"/>
      <c r="P30" s="206"/>
      <c r="Q30" s="206"/>
      <c r="R30" s="206"/>
      <c r="S30" s="206"/>
      <c r="T30" s="7"/>
    </row>
    <row r="31" spans="1:23">
      <c r="N31" s="7"/>
      <c r="O31" s="7"/>
      <c r="P31" s="7"/>
      <c r="Q31" s="7"/>
      <c r="R31" s="7"/>
      <c r="S31" s="7"/>
      <c r="T31" s="7"/>
    </row>
  </sheetData>
  <mergeCells count="8">
    <mergeCell ref="M30:S30"/>
    <mergeCell ref="A1:H1"/>
    <mergeCell ref="M1:T1"/>
    <mergeCell ref="A3:H3"/>
    <mergeCell ref="M3:T3"/>
    <mergeCell ref="A30:L30"/>
    <mergeCell ref="A27:K27"/>
    <mergeCell ref="M27:W27"/>
  </mergeCells>
  <pageMargins left="0.7" right="0.7" top="0.75" bottom="0.75" header="0.3" footer="0.3"/>
  <pageSetup orientation="portrait" r:id="rId1"/>
  <ignoredErrors>
    <ignoredError sqref="M25 A25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06"/>
      <c r="B2" s="206"/>
      <c r="C2" s="206"/>
      <c r="D2" s="206"/>
      <c r="E2" s="206"/>
      <c r="F2" s="206"/>
      <c r="G2" s="206"/>
      <c r="H2" s="206"/>
      <c r="I2" s="13"/>
      <c r="J2" s="13"/>
      <c r="K2" s="13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24" t="s">
        <v>219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220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K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3">
        <v>1</v>
      </c>
      <c r="C10" s="53">
        <v>0</v>
      </c>
      <c r="D10" s="54">
        <v>0</v>
      </c>
      <c r="E10" s="53">
        <v>0</v>
      </c>
      <c r="F10" s="54">
        <v>0</v>
      </c>
      <c r="G10" s="55">
        <v>1</v>
      </c>
      <c r="H10" s="54">
        <v>1</v>
      </c>
      <c r="I10" s="23"/>
      <c r="J10" s="23"/>
      <c r="K10" s="23"/>
      <c r="M10" s="55">
        <v>201520</v>
      </c>
      <c r="N10" s="53">
        <v>1</v>
      </c>
      <c r="O10" s="53">
        <v>0</v>
      </c>
      <c r="P10" s="54">
        <v>0</v>
      </c>
      <c r="Q10" s="53">
        <v>0</v>
      </c>
      <c r="R10" s="54">
        <v>0</v>
      </c>
      <c r="S10" s="55">
        <v>1</v>
      </c>
      <c r="T10" s="54">
        <v>1</v>
      </c>
    </row>
    <row r="11" spans="1:20" ht="13.5" customHeight="1">
      <c r="A11" s="59">
        <v>201610</v>
      </c>
      <c r="B11" s="53">
        <v>3</v>
      </c>
      <c r="C11" s="53">
        <v>0</v>
      </c>
      <c r="D11" s="54">
        <v>0</v>
      </c>
      <c r="E11" s="53">
        <v>0</v>
      </c>
      <c r="F11" s="54">
        <v>0</v>
      </c>
      <c r="G11" s="55">
        <v>3</v>
      </c>
      <c r="H11" s="54">
        <v>1</v>
      </c>
      <c r="I11" s="23"/>
      <c r="J11" s="23"/>
      <c r="K11" s="23"/>
      <c r="M11" s="55">
        <v>201610</v>
      </c>
      <c r="N11" s="53">
        <v>3</v>
      </c>
      <c r="O11" s="53">
        <v>0</v>
      </c>
      <c r="P11" s="54">
        <v>0</v>
      </c>
      <c r="Q11" s="53">
        <v>0</v>
      </c>
      <c r="R11" s="54">
        <v>0</v>
      </c>
      <c r="S11" s="55">
        <v>3</v>
      </c>
      <c r="T11" s="54">
        <v>1</v>
      </c>
    </row>
    <row r="12" spans="1:20" ht="13.5" customHeight="1">
      <c r="A12" s="59">
        <v>201620</v>
      </c>
      <c r="B12" s="57" t="s">
        <v>124</v>
      </c>
      <c r="C12" s="57" t="s">
        <v>124</v>
      </c>
      <c r="D12" s="57" t="s">
        <v>124</v>
      </c>
      <c r="E12" s="57" t="s">
        <v>124</v>
      </c>
      <c r="F12" s="57" t="s">
        <v>124</v>
      </c>
      <c r="G12" s="57" t="s">
        <v>124</v>
      </c>
      <c r="H12" s="57" t="s">
        <v>124</v>
      </c>
      <c r="I12" s="33"/>
      <c r="J12" s="33"/>
      <c r="K12" s="33"/>
      <c r="M12" s="55">
        <v>201620</v>
      </c>
      <c r="N12" s="57" t="s">
        <v>124</v>
      </c>
      <c r="O12" s="57" t="s">
        <v>124</v>
      </c>
      <c r="P12" s="57" t="s">
        <v>124</v>
      </c>
      <c r="Q12" s="57" t="s">
        <v>124</v>
      </c>
      <c r="R12" s="57" t="s">
        <v>124</v>
      </c>
      <c r="S12" s="57" t="s">
        <v>124</v>
      </c>
      <c r="T12" s="57" t="s">
        <v>124</v>
      </c>
    </row>
    <row r="13" spans="1:20" ht="13.5" customHeight="1">
      <c r="A13" s="59">
        <v>201710</v>
      </c>
      <c r="B13" s="53">
        <v>5</v>
      </c>
      <c r="C13" s="53">
        <v>1</v>
      </c>
      <c r="D13" s="54">
        <v>0.2</v>
      </c>
      <c r="E13" s="53">
        <v>0</v>
      </c>
      <c r="F13" s="54">
        <v>0</v>
      </c>
      <c r="G13" s="55">
        <v>4</v>
      </c>
      <c r="H13" s="54">
        <v>0.8</v>
      </c>
      <c r="I13" s="23"/>
      <c r="J13" s="23"/>
      <c r="K13" s="23"/>
      <c r="M13" s="55">
        <v>201710</v>
      </c>
      <c r="N13" s="53">
        <v>5</v>
      </c>
      <c r="O13" s="53">
        <v>1</v>
      </c>
      <c r="P13" s="54">
        <v>0.2</v>
      </c>
      <c r="Q13" s="53">
        <v>0</v>
      </c>
      <c r="R13" s="54">
        <v>0</v>
      </c>
      <c r="S13" s="55">
        <v>4</v>
      </c>
      <c r="T13" s="54">
        <v>0.8</v>
      </c>
    </row>
    <row r="14" spans="1:20" ht="13.5" customHeight="1">
      <c r="A14" s="59">
        <v>201720</v>
      </c>
      <c r="B14" s="57">
        <v>2</v>
      </c>
      <c r="C14" s="57">
        <v>0</v>
      </c>
      <c r="D14" s="58">
        <v>0</v>
      </c>
      <c r="E14" s="57">
        <v>0</v>
      </c>
      <c r="F14" s="58">
        <v>0</v>
      </c>
      <c r="G14" s="57">
        <v>2</v>
      </c>
      <c r="H14" s="58">
        <v>1</v>
      </c>
      <c r="I14" s="125"/>
      <c r="J14" s="125"/>
      <c r="K14" s="125"/>
      <c r="M14" s="55">
        <v>201720</v>
      </c>
      <c r="N14" s="53">
        <v>2</v>
      </c>
      <c r="O14" s="53">
        <v>0</v>
      </c>
      <c r="P14" s="54">
        <v>0</v>
      </c>
      <c r="Q14" s="53">
        <v>0</v>
      </c>
      <c r="R14" s="54">
        <v>0</v>
      </c>
      <c r="S14" s="55">
        <v>2</v>
      </c>
      <c r="T14" s="54">
        <v>1</v>
      </c>
    </row>
    <row r="15" spans="1:20" ht="13.5" customHeight="1">
      <c r="A15" s="59">
        <v>201810</v>
      </c>
      <c r="B15" s="57" t="s">
        <v>124</v>
      </c>
      <c r="C15" s="57" t="s">
        <v>124</v>
      </c>
      <c r="D15" s="57" t="s">
        <v>124</v>
      </c>
      <c r="E15" s="57" t="s">
        <v>124</v>
      </c>
      <c r="F15" s="57" t="s">
        <v>124</v>
      </c>
      <c r="G15" s="57" t="s">
        <v>124</v>
      </c>
      <c r="H15" s="57" t="s">
        <v>124</v>
      </c>
      <c r="I15" s="33"/>
      <c r="J15" s="33"/>
      <c r="K15" s="33"/>
      <c r="M15" s="55">
        <v>201810</v>
      </c>
      <c r="N15" s="57" t="s">
        <v>124</v>
      </c>
      <c r="O15" s="57" t="s">
        <v>124</v>
      </c>
      <c r="P15" s="57" t="s">
        <v>124</v>
      </c>
      <c r="Q15" s="57" t="s">
        <v>124</v>
      </c>
      <c r="R15" s="57" t="s">
        <v>124</v>
      </c>
      <c r="S15" s="57" t="s">
        <v>124</v>
      </c>
      <c r="T15" s="57" t="s">
        <v>124</v>
      </c>
    </row>
    <row r="16" spans="1:20" ht="13.5" customHeight="1">
      <c r="A16" s="59">
        <v>201820</v>
      </c>
      <c r="B16" s="57">
        <v>1</v>
      </c>
      <c r="C16" s="57">
        <v>0</v>
      </c>
      <c r="D16" s="58">
        <v>0</v>
      </c>
      <c r="E16" s="57">
        <v>0</v>
      </c>
      <c r="F16" s="58">
        <v>0</v>
      </c>
      <c r="G16" s="57">
        <v>1</v>
      </c>
      <c r="H16" s="58">
        <v>1</v>
      </c>
      <c r="I16" s="125"/>
      <c r="J16" s="125"/>
      <c r="K16" s="125"/>
      <c r="M16" s="59">
        <v>201820</v>
      </c>
      <c r="N16" s="57" t="s">
        <v>124</v>
      </c>
      <c r="O16" s="57" t="s">
        <v>124</v>
      </c>
      <c r="P16" s="57" t="s">
        <v>124</v>
      </c>
      <c r="Q16" s="57" t="s">
        <v>124</v>
      </c>
      <c r="R16" s="57" t="s">
        <v>124</v>
      </c>
      <c r="S16" s="57" t="s">
        <v>124</v>
      </c>
      <c r="T16" s="57" t="s">
        <v>124</v>
      </c>
    </row>
    <row r="17" spans="1:23" ht="13.5" customHeight="1">
      <c r="A17" s="59">
        <v>201910</v>
      </c>
      <c r="B17" s="57" t="s">
        <v>124</v>
      </c>
      <c r="C17" s="57" t="s">
        <v>124</v>
      </c>
      <c r="D17" s="57" t="s">
        <v>124</v>
      </c>
      <c r="E17" s="57" t="s">
        <v>124</v>
      </c>
      <c r="F17" s="57" t="s">
        <v>124</v>
      </c>
      <c r="G17" s="57" t="s">
        <v>124</v>
      </c>
      <c r="H17" s="57" t="s">
        <v>124</v>
      </c>
      <c r="I17" s="33"/>
      <c r="J17" s="33"/>
      <c r="K17" s="33"/>
      <c r="M17" s="59">
        <v>201910</v>
      </c>
      <c r="N17" s="57" t="s">
        <v>124</v>
      </c>
      <c r="O17" s="57" t="s">
        <v>124</v>
      </c>
      <c r="P17" s="57" t="s">
        <v>124</v>
      </c>
      <c r="Q17" s="57" t="s">
        <v>124</v>
      </c>
      <c r="R17" s="57" t="s">
        <v>124</v>
      </c>
      <c r="S17" s="57" t="s">
        <v>124</v>
      </c>
      <c r="T17" s="57" t="s">
        <v>124</v>
      </c>
    </row>
    <row r="18" spans="1:23" ht="13.5" customHeight="1">
      <c r="A18" s="59">
        <v>201920</v>
      </c>
      <c r="B18" s="57">
        <v>5</v>
      </c>
      <c r="C18" s="57">
        <v>0</v>
      </c>
      <c r="D18" s="58">
        <v>0</v>
      </c>
      <c r="E18" s="57">
        <v>0</v>
      </c>
      <c r="F18" s="58">
        <v>0</v>
      </c>
      <c r="G18" s="57">
        <v>5</v>
      </c>
      <c r="H18" s="58">
        <v>1</v>
      </c>
      <c r="I18" s="125"/>
      <c r="J18" s="125"/>
      <c r="K18" s="125"/>
      <c r="M18" s="59">
        <v>201920</v>
      </c>
      <c r="N18" s="57">
        <v>4</v>
      </c>
      <c r="O18" s="57">
        <v>0</v>
      </c>
      <c r="P18" s="54">
        <v>0</v>
      </c>
      <c r="Q18" s="57">
        <v>0</v>
      </c>
      <c r="R18" s="54">
        <v>0</v>
      </c>
      <c r="S18" s="57">
        <v>4</v>
      </c>
      <c r="T18" s="54">
        <v>1</v>
      </c>
    </row>
    <row r="19" spans="1:23" ht="13.5" customHeight="1">
      <c r="A19" s="59">
        <v>202010</v>
      </c>
      <c r="B19" s="57">
        <v>2</v>
      </c>
      <c r="C19" s="57">
        <v>2</v>
      </c>
      <c r="D19" s="58">
        <v>1</v>
      </c>
      <c r="E19" s="57">
        <v>0</v>
      </c>
      <c r="F19" s="58">
        <v>0</v>
      </c>
      <c r="G19" s="57">
        <v>1</v>
      </c>
      <c r="H19" s="58">
        <v>0</v>
      </c>
      <c r="I19" s="125"/>
      <c r="J19" s="125"/>
      <c r="K19" s="125"/>
      <c r="M19" s="59">
        <v>202010</v>
      </c>
      <c r="N19" s="57">
        <v>1</v>
      </c>
      <c r="O19" s="57">
        <v>1</v>
      </c>
      <c r="P19" s="54">
        <v>1</v>
      </c>
      <c r="Q19" s="57">
        <v>0</v>
      </c>
      <c r="R19" s="54">
        <v>0</v>
      </c>
      <c r="S19" s="57">
        <v>0</v>
      </c>
      <c r="T19" s="54">
        <v>0</v>
      </c>
    </row>
    <row r="20" spans="1:23" ht="13.5" customHeight="1">
      <c r="A20" s="59">
        <v>202020</v>
      </c>
      <c r="B20" s="57" t="s">
        <v>124</v>
      </c>
      <c r="C20" s="57" t="s">
        <v>124</v>
      </c>
      <c r="D20" s="57" t="s">
        <v>124</v>
      </c>
      <c r="E20" s="57" t="s">
        <v>124</v>
      </c>
      <c r="F20" s="57" t="s">
        <v>124</v>
      </c>
      <c r="G20" s="57" t="s">
        <v>124</v>
      </c>
      <c r="H20" s="57" t="s">
        <v>124</v>
      </c>
      <c r="I20" s="125"/>
      <c r="J20" s="125"/>
      <c r="K20" s="125"/>
      <c r="M20" s="59">
        <v>202020</v>
      </c>
      <c r="N20" s="57" t="s">
        <v>124</v>
      </c>
      <c r="O20" s="57" t="s">
        <v>124</v>
      </c>
      <c r="P20" s="57" t="s">
        <v>124</v>
      </c>
      <c r="Q20" s="57" t="s">
        <v>124</v>
      </c>
      <c r="R20" s="57" t="s">
        <v>124</v>
      </c>
      <c r="S20" s="57" t="s">
        <v>124</v>
      </c>
      <c r="T20" s="57" t="s">
        <v>124</v>
      </c>
    </row>
    <row r="21" spans="1:23" ht="13.5" customHeight="1">
      <c r="A21" s="59">
        <v>202110</v>
      </c>
      <c r="B21" s="57">
        <v>2</v>
      </c>
      <c r="C21" s="57">
        <v>2</v>
      </c>
      <c r="D21" s="58">
        <v>1</v>
      </c>
      <c r="E21" s="57">
        <v>0</v>
      </c>
      <c r="F21" s="58">
        <v>0</v>
      </c>
      <c r="G21" s="57">
        <v>0</v>
      </c>
      <c r="H21" s="58">
        <v>0</v>
      </c>
      <c r="I21" s="125"/>
      <c r="J21" s="125"/>
      <c r="K21" s="125"/>
      <c r="M21" s="59">
        <v>202110</v>
      </c>
      <c r="N21" s="57">
        <v>2</v>
      </c>
      <c r="O21" s="57">
        <v>2</v>
      </c>
      <c r="P21" s="54">
        <v>1</v>
      </c>
      <c r="Q21" s="57">
        <v>0</v>
      </c>
      <c r="R21" s="54">
        <v>0</v>
      </c>
      <c r="S21" s="57">
        <v>0</v>
      </c>
      <c r="T21" s="54">
        <v>0</v>
      </c>
    </row>
    <row r="22" spans="1:23" ht="13.5" customHeight="1">
      <c r="A22" s="59">
        <v>202120</v>
      </c>
      <c r="B22" s="57" t="s">
        <v>124</v>
      </c>
      <c r="C22" s="57" t="s">
        <v>124</v>
      </c>
      <c r="D22" s="58" t="s">
        <v>124</v>
      </c>
      <c r="E22" s="57" t="s">
        <v>124</v>
      </c>
      <c r="F22" s="58" t="s">
        <v>124</v>
      </c>
      <c r="G22" s="57" t="s">
        <v>124</v>
      </c>
      <c r="H22" s="58" t="s">
        <v>124</v>
      </c>
      <c r="I22" s="125"/>
      <c r="J22" s="125"/>
      <c r="K22" s="125"/>
      <c r="M22" s="59">
        <v>202120</v>
      </c>
      <c r="N22" s="57" t="s">
        <v>124</v>
      </c>
      <c r="O22" s="57" t="s">
        <v>124</v>
      </c>
      <c r="P22" s="57" t="s">
        <v>124</v>
      </c>
      <c r="Q22" s="57" t="s">
        <v>124</v>
      </c>
      <c r="R22" s="57" t="s">
        <v>124</v>
      </c>
      <c r="S22" s="57" t="s">
        <v>124</v>
      </c>
      <c r="T22" s="57" t="s">
        <v>124</v>
      </c>
    </row>
    <row r="23" spans="1:23" ht="13.5" customHeight="1">
      <c r="A23" s="59">
        <v>202210</v>
      </c>
      <c r="B23" s="57" cm="1">
        <f t="array" ref="B23">IF(RIGHT($A23,2)="10",_xlfn.XLOOKUP("LBP"&amp;$A23,[1]PROGRAMA!$A:$A&amp;[1]PROGRAMA!$B:$B,[1]PROGRAMA!C:C,0),_xlfn.XLOOKUP("LBP"&amp;$A23,[2]PROGRAMA!$A:$A&amp;[2]PROGRAMA!$B:$B,[2]PROGRAMA!C:C,0))</f>
        <v>3</v>
      </c>
      <c r="C23" s="57" cm="1">
        <f t="array" ref="C23">IF(RIGHT($A23,2)="10",_xlfn.XLOOKUP("LBP"&amp;$A23,[1]PROGRAMA!$A:$A&amp;[1]PROGRAMA!$B:$B,[1]PROGRAMA!D:D,0),_xlfn.XLOOKUP("LBP"&amp;$A23,[2]PROGRAMA!$A:$A&amp;[2]PROGRAMA!$B:$B,[2]PROGRAMA!D:D,0))</f>
        <v>2</v>
      </c>
      <c r="D23" s="68">
        <f>IFERROR(C23/$B23,0)</f>
        <v>0.66666666666666663</v>
      </c>
      <c r="E23" s="57" cm="1">
        <f t="array" ref="E23">IF(RIGHT($A23,2)="10",_xlfn.XLOOKUP("LBP"&amp;$A23,[1]PROGRAMA!$A:$A&amp;[1]PROGRAMA!$B:$B,[1]PROGRAMA!E:E,0),_xlfn.XLOOKUP("LBP"&amp;$A23,[2]PROGRAMA!$A:$A&amp;[2]PROGRAMA!$B:$B,[2]PROGRAMA!E:E,0))</f>
        <v>0</v>
      </c>
      <c r="F23" s="68">
        <f>IFERROR(E23/$B23,0)</f>
        <v>0</v>
      </c>
      <c r="G23" s="57">
        <f>B23-C23</f>
        <v>1</v>
      </c>
      <c r="H23" s="68">
        <f>IFERROR(G23/$B23,0)</f>
        <v>0.33333333333333331</v>
      </c>
      <c r="I23" s="128"/>
      <c r="J23" s="128"/>
      <c r="K23" s="128"/>
      <c r="M23" s="98">
        <v>202210</v>
      </c>
      <c r="N23" s="103" cm="1">
        <f t="array" ref="N23">IF(RIGHT($A23,2)="10",_xlfn.XLOOKUP("LBP"&amp;$A23,'[1]PROGRAMA 123'!$A:$A&amp;'[1]PROGRAMA 123'!$B:$B,'[1]PROGRAMA 123'!C:C,0),_xlfn.XLOOKUP("LBP"&amp;$A23,'[2]PROGRAMA 123'!$A:$A&amp;'[2]PROGRAMA 123'!$B:$B,'[2]PROGRAMA 123'!C:C,0))</f>
        <v>2</v>
      </c>
      <c r="O23" s="103" cm="1">
        <f t="array" ref="O23">IF(RIGHT($A23,2)="10",_xlfn.XLOOKUP("LBP"&amp;$A23,'[1]PROGRAMA 123'!$A:$A&amp;'[1]PROGRAMA 123'!$B:$B,'[1]PROGRAMA 123'!D:D,0),_xlfn.XLOOKUP("LBP"&amp;$A23,'[2]PROGRAMA 123'!$A:$A&amp;'[2]PROGRAMA 123'!$B:$B,'[2]PROGRAMA 123'!D:D,0))</f>
        <v>1</v>
      </c>
      <c r="P23" s="68">
        <f>IFERROR(O23/$N23,0)</f>
        <v>0.5</v>
      </c>
      <c r="Q23" s="103" cm="1">
        <f t="array" ref="Q23">IF(RIGHT($A23,2)="10",_xlfn.XLOOKUP("LBP"&amp;$A23,'[1]PROGRAMA 123'!$A:$A&amp;'[1]PROGRAMA 123'!$B:$B,'[1]PROGRAMA 123'!E:E,0),_xlfn.XLOOKUP("LBP"&amp;$A23,'[2]PROGRAMA 123'!$A:$A&amp;'[2]PROGRAMA 123'!$B:$B,'[2]PROGRAMA 123'!E:E,0))</f>
        <v>0</v>
      </c>
      <c r="R23" s="68">
        <f>IFERROR(Q23/$N23,0)</f>
        <v>0</v>
      </c>
      <c r="S23" s="104">
        <f>N23-O23</f>
        <v>1</v>
      </c>
      <c r="T23" s="68">
        <f>IFERROR(S23/$N23,0)</f>
        <v>0.5</v>
      </c>
    </row>
    <row r="24" spans="1:23" ht="13.5" customHeight="1">
      <c r="A24" s="59">
        <v>202220</v>
      </c>
      <c r="B24" s="57" cm="1">
        <f t="array" ref="B24">IF(RIGHT($A24,2)="10",_xlfn.XLOOKUP("LBP"&amp;$A24,[1]PROGRAMA!$A:$A&amp;[1]PROGRAMA!$B:$B,[1]PROGRAMA!C:C,0),_xlfn.XLOOKUP("LBP"&amp;$A24,[2]PROGRAMA!$A:$A&amp;[2]PROGRAMA!$B:$B,[2]PROGRAMA!C:C,0))</f>
        <v>1</v>
      </c>
      <c r="C24" s="57" cm="1">
        <f t="array" ref="C24">IF(RIGHT($A24,2)="10",_xlfn.XLOOKUP("LBP"&amp;$A24,[1]PROGRAMA!$A:$A&amp;[1]PROGRAMA!$B:$B,[1]PROGRAMA!D:D,0),_xlfn.XLOOKUP("LBP"&amp;$A24,[2]PROGRAMA!$A:$A&amp;[2]PROGRAMA!$B:$B,[2]PROGRAMA!D:D,0))</f>
        <v>0</v>
      </c>
      <c r="D24" s="68">
        <f>IFERROR(C24/$B24,0)</f>
        <v>0</v>
      </c>
      <c r="E24" s="57" cm="1">
        <f t="array" ref="E24">IF(RIGHT($A24,2)="10",_xlfn.XLOOKUP("LBP"&amp;$A24,[1]PROGRAMA!$A:$A&amp;[1]PROGRAMA!$B:$B,[1]PROGRAMA!E:E,0),_xlfn.XLOOKUP("LBP"&amp;$A24,[2]PROGRAMA!$A:$A&amp;[2]PROGRAMA!$B:$B,[2]PROGRAMA!E:E,0))</f>
        <v>0</v>
      </c>
      <c r="F24" s="68">
        <f>IFERROR(E24/$B24,0)</f>
        <v>0</v>
      </c>
      <c r="G24" s="57">
        <f>B24-C24</f>
        <v>1</v>
      </c>
      <c r="H24" s="68">
        <f>IFERROR(G24/$B24,0)</f>
        <v>1</v>
      </c>
      <c r="I24" s="128"/>
      <c r="J24" s="128"/>
      <c r="K24" s="128"/>
      <c r="M24" s="98">
        <v>202220</v>
      </c>
      <c r="N24" s="103" cm="1">
        <f t="array" ref="N24">IF(RIGHT($A24,2)="10",_xlfn.XLOOKUP("LBP"&amp;$A24,'[1]PROGRAMA 123'!$A:$A&amp;'[1]PROGRAMA 123'!$B:$B,'[1]PROGRAMA 123'!C:C,0),_xlfn.XLOOKUP("LBP"&amp;$A24,'[2]PROGRAMA 123'!$A:$A&amp;'[2]PROGRAMA 123'!$B:$B,'[2]PROGRAMA 123'!C:C,0))</f>
        <v>1</v>
      </c>
      <c r="O24" s="103" cm="1">
        <f t="array" ref="O24">IF(RIGHT($A24,2)="10",_xlfn.XLOOKUP("LBP"&amp;$A24,'[1]PROGRAMA 123'!$A:$A&amp;'[1]PROGRAMA 123'!$B:$B,'[1]PROGRAMA 123'!D:D,0),_xlfn.XLOOKUP("LBP"&amp;$A24,'[2]PROGRAMA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IF(RIGHT($A24,2)="10",_xlfn.XLOOKUP("LBP"&amp;$A24,'[1]PROGRAMA 123'!$A:$A&amp;'[1]PROGRAMA 123'!$B:$B,'[1]PROGRAMA 123'!E:E,0),_xlfn.XLOOKUP("LBP"&amp;$A24,'[2]PROGRAMA 123'!$A:$A&amp;'[2]PROGRAMA 123'!$B:$B,'[2]PROGRAMA 123'!E:E,0))</f>
        <v>0</v>
      </c>
      <c r="R24" s="68">
        <f>IFERROR(Q24/$N24,0)</f>
        <v>0</v>
      </c>
      <c r="S24" s="104">
        <f>N24-O24</f>
        <v>1</v>
      </c>
      <c r="T24" s="68">
        <f>IFERROR(S24/$N24,0)</f>
        <v>1</v>
      </c>
    </row>
    <row r="25" spans="1:23" ht="13.5" customHeight="1">
      <c r="A25" s="59" t="s">
        <v>239</v>
      </c>
      <c r="B25" s="57">
        <v>3</v>
      </c>
      <c r="C25" s="57">
        <v>0</v>
      </c>
      <c r="D25" s="68">
        <v>0</v>
      </c>
      <c r="E25" s="57">
        <v>0</v>
      </c>
      <c r="F25" s="68">
        <v>0</v>
      </c>
      <c r="G25" s="57">
        <v>3</v>
      </c>
      <c r="H25" s="68">
        <v>1</v>
      </c>
      <c r="I25" s="128"/>
      <c r="J25" s="128"/>
      <c r="K25" s="128"/>
      <c r="M25" s="98" t="s">
        <v>239</v>
      </c>
      <c r="N25" s="103">
        <v>1</v>
      </c>
      <c r="O25" s="103">
        <v>0</v>
      </c>
      <c r="P25" s="68">
        <v>0</v>
      </c>
      <c r="Q25" s="103">
        <v>0</v>
      </c>
      <c r="R25" s="68">
        <v>0</v>
      </c>
      <c r="S25" s="104">
        <v>1</v>
      </c>
      <c r="T25" s="68">
        <v>1</v>
      </c>
    </row>
    <row r="26" spans="1:23" s="18" customFormat="1" ht="13.5" customHeight="1">
      <c r="A26" s="21"/>
      <c r="B26" s="33"/>
      <c r="C26" s="33"/>
      <c r="D26" s="33"/>
      <c r="E26" s="33"/>
      <c r="F26" s="33"/>
      <c r="G26" s="33"/>
      <c r="H26" s="33"/>
      <c r="I26" s="33"/>
      <c r="J26" s="33"/>
      <c r="K26" s="33"/>
      <c r="M26" s="24"/>
      <c r="N26" s="33"/>
      <c r="O26" s="33"/>
      <c r="P26" s="33"/>
      <c r="Q26" s="33"/>
      <c r="R26" s="33"/>
      <c r="S26" s="33"/>
      <c r="T26" s="33"/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1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1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 t="str">
        <f>D5</f>
        <v>-</v>
      </c>
      <c r="B29" s="37" t="s">
        <v>124</v>
      </c>
      <c r="C29" s="37" t="s">
        <v>124</v>
      </c>
      <c r="D29" s="32">
        <f>+((B10*D10)+(B11*D11))/(B10+B11)</f>
        <v>0</v>
      </c>
      <c r="E29" s="32">
        <f>D13</f>
        <v>0.2</v>
      </c>
      <c r="F29" s="32">
        <f>D14</f>
        <v>0</v>
      </c>
      <c r="G29" s="117">
        <f>D16</f>
        <v>0</v>
      </c>
      <c r="H29" s="32">
        <f>((B18*D18)+(B19*D19))/(B18+B19)</f>
        <v>0.2857142857142857</v>
      </c>
      <c r="I29" s="32">
        <f>D21</f>
        <v>1</v>
      </c>
      <c r="J29" s="32">
        <f>SUM(C22:C23)/SUM(B22:B23)</f>
        <v>0.66666666666666663</v>
      </c>
      <c r="K29" s="32">
        <f>D24</f>
        <v>0</v>
      </c>
      <c r="L29" s="6"/>
      <c r="M29" s="58" t="str">
        <f>P5</f>
        <v>-</v>
      </c>
      <c r="N29" s="57" t="s">
        <v>124</v>
      </c>
      <c r="O29" s="57" t="s">
        <v>124</v>
      </c>
      <c r="P29" s="32">
        <f>+((N10*P10)+(N11*P11))/(N10+N11)</f>
        <v>0</v>
      </c>
      <c r="Q29" s="32">
        <f>P13</f>
        <v>0.2</v>
      </c>
      <c r="R29" s="32">
        <f>P14</f>
        <v>0</v>
      </c>
      <c r="S29" s="116" t="s">
        <v>124</v>
      </c>
      <c r="T29" s="32">
        <f>((N18*P18)+(N19*P19))/(N18+N19)</f>
        <v>0.2</v>
      </c>
      <c r="U29" s="32">
        <f>P21</f>
        <v>1</v>
      </c>
      <c r="V29" s="32">
        <f>SUM(O22:O23)/SUM(N22:N23)</f>
        <v>0.5</v>
      </c>
      <c r="W29" s="32">
        <f>P24</f>
        <v>0</v>
      </c>
    </row>
    <row r="30" spans="1:23" hidden="1">
      <c r="A30" s="206" t="s">
        <v>237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237</v>
      </c>
      <c r="N30" s="206"/>
      <c r="O30" s="206"/>
      <c r="P30" s="206"/>
      <c r="Q30" s="206"/>
      <c r="R30" s="206"/>
      <c r="S30" s="206"/>
      <c r="T30" s="206"/>
      <c r="U30" s="206"/>
      <c r="V30" s="206"/>
      <c r="W30" s="206"/>
    </row>
    <row r="31" spans="1:23">
      <c r="N31" s="7"/>
      <c r="O31" s="7"/>
      <c r="P31" s="7"/>
      <c r="Q31" s="7"/>
      <c r="R31" s="7"/>
      <c r="S31" s="7"/>
      <c r="T31" s="7"/>
    </row>
  </sheetData>
  <mergeCells count="9">
    <mergeCell ref="A30:L30"/>
    <mergeCell ref="M30:W30"/>
    <mergeCell ref="A1:H1"/>
    <mergeCell ref="M1:T1"/>
    <mergeCell ref="A3:H3"/>
    <mergeCell ref="A2:H2"/>
    <mergeCell ref="M3:T3"/>
    <mergeCell ref="A27:K27"/>
    <mergeCell ref="M27:W27"/>
  </mergeCells>
  <pageMargins left="0.7" right="0.7" top="0.75" bottom="0.75" header="0.3" footer="0.3"/>
  <pageSetup orientation="portrait" r:id="rId1"/>
  <ignoredErrors>
    <ignoredError sqref="L23:T24 E23:J24" formula="1"/>
    <ignoredError sqref="M25 A2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06"/>
      <c r="B2" s="206"/>
      <c r="C2" s="206"/>
      <c r="D2" s="206"/>
      <c r="E2" s="206"/>
      <c r="F2" s="206"/>
      <c r="G2" s="206"/>
      <c r="H2" s="206"/>
      <c r="I2" s="13"/>
      <c r="J2" s="13"/>
      <c r="K2" s="13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08" t="s">
        <v>221</v>
      </c>
      <c r="B3" s="208"/>
      <c r="C3" s="208"/>
      <c r="D3" s="208"/>
      <c r="E3" s="208"/>
      <c r="F3" s="208"/>
      <c r="G3" s="208"/>
      <c r="H3" s="208"/>
      <c r="I3" s="188"/>
      <c r="J3" s="188"/>
      <c r="K3" s="188"/>
      <c r="M3" s="224" t="s">
        <v>222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K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3">
        <v>1</v>
      </c>
      <c r="C10" s="53">
        <v>1</v>
      </c>
      <c r="D10" s="54">
        <v>1</v>
      </c>
      <c r="E10" s="53">
        <v>0</v>
      </c>
      <c r="F10" s="54">
        <v>0</v>
      </c>
      <c r="G10" s="55">
        <v>0</v>
      </c>
      <c r="H10" s="54">
        <v>0</v>
      </c>
      <c r="I10" s="23"/>
      <c r="J10" s="23"/>
      <c r="K10" s="23"/>
      <c r="M10" s="55">
        <v>201520</v>
      </c>
      <c r="N10" s="53">
        <v>1</v>
      </c>
      <c r="O10" s="53">
        <v>1</v>
      </c>
      <c r="P10" s="54">
        <v>1</v>
      </c>
      <c r="Q10" s="53">
        <v>0</v>
      </c>
      <c r="R10" s="54">
        <v>0</v>
      </c>
      <c r="S10" s="55">
        <v>0</v>
      </c>
      <c r="T10" s="54">
        <v>0</v>
      </c>
    </row>
    <row r="11" spans="1:20" ht="13.5" customHeight="1">
      <c r="A11" s="59">
        <v>201610</v>
      </c>
      <c r="B11" s="53">
        <v>5</v>
      </c>
      <c r="C11" s="53">
        <v>0</v>
      </c>
      <c r="D11" s="54">
        <v>0</v>
      </c>
      <c r="E11" s="53">
        <v>0</v>
      </c>
      <c r="F11" s="54">
        <v>0</v>
      </c>
      <c r="G11" s="55">
        <v>5</v>
      </c>
      <c r="H11" s="54">
        <v>1</v>
      </c>
      <c r="I11" s="23"/>
      <c r="J11" s="23"/>
      <c r="K11" s="23"/>
      <c r="M11" s="55">
        <v>201610</v>
      </c>
      <c r="N11" s="53">
        <v>5</v>
      </c>
      <c r="O11" s="53">
        <v>0</v>
      </c>
      <c r="P11" s="54">
        <v>0</v>
      </c>
      <c r="Q11" s="53">
        <v>0</v>
      </c>
      <c r="R11" s="54">
        <v>0</v>
      </c>
      <c r="S11" s="55">
        <v>5</v>
      </c>
      <c r="T11" s="54">
        <v>1</v>
      </c>
    </row>
    <row r="12" spans="1:20" ht="13.5" customHeight="1">
      <c r="A12" s="59">
        <v>201620</v>
      </c>
      <c r="B12" s="57" t="s">
        <v>124</v>
      </c>
      <c r="C12" s="57" t="s">
        <v>124</v>
      </c>
      <c r="D12" s="57" t="s">
        <v>124</v>
      </c>
      <c r="E12" s="57" t="s">
        <v>124</v>
      </c>
      <c r="F12" s="57" t="s">
        <v>124</v>
      </c>
      <c r="G12" s="57" t="s">
        <v>124</v>
      </c>
      <c r="H12" s="57" t="s">
        <v>124</v>
      </c>
      <c r="I12" s="33"/>
      <c r="J12" s="33"/>
      <c r="K12" s="33"/>
      <c r="M12" s="55">
        <v>201620</v>
      </c>
      <c r="N12" s="57" t="s">
        <v>124</v>
      </c>
      <c r="O12" s="57" t="s">
        <v>124</v>
      </c>
      <c r="P12" s="57" t="s">
        <v>124</v>
      </c>
      <c r="Q12" s="57" t="s">
        <v>124</v>
      </c>
      <c r="R12" s="57" t="s">
        <v>124</v>
      </c>
      <c r="S12" s="57" t="s">
        <v>124</v>
      </c>
      <c r="T12" s="57" t="s">
        <v>124</v>
      </c>
    </row>
    <row r="13" spans="1:20" ht="13.5" customHeight="1">
      <c r="A13" s="59">
        <v>201710</v>
      </c>
      <c r="B13" s="57" t="s">
        <v>124</v>
      </c>
      <c r="C13" s="57" t="s">
        <v>124</v>
      </c>
      <c r="D13" s="57" t="s">
        <v>124</v>
      </c>
      <c r="E13" s="57" t="s">
        <v>124</v>
      </c>
      <c r="F13" s="57" t="s">
        <v>124</v>
      </c>
      <c r="G13" s="57" t="s">
        <v>124</v>
      </c>
      <c r="H13" s="57" t="s">
        <v>124</v>
      </c>
      <c r="I13" s="33"/>
      <c r="J13" s="33"/>
      <c r="K13" s="33"/>
      <c r="M13" s="55">
        <v>201710</v>
      </c>
      <c r="N13" s="57" t="s">
        <v>124</v>
      </c>
      <c r="O13" s="57" t="s">
        <v>124</v>
      </c>
      <c r="P13" s="57" t="s">
        <v>124</v>
      </c>
      <c r="Q13" s="57" t="s">
        <v>124</v>
      </c>
      <c r="R13" s="57" t="s">
        <v>124</v>
      </c>
      <c r="S13" s="57" t="s">
        <v>124</v>
      </c>
      <c r="T13" s="57" t="s">
        <v>124</v>
      </c>
    </row>
    <row r="14" spans="1:20" ht="13.5" customHeight="1">
      <c r="A14" s="59">
        <v>201720</v>
      </c>
      <c r="B14" s="57">
        <v>1</v>
      </c>
      <c r="C14" s="57">
        <v>1</v>
      </c>
      <c r="D14" s="75">
        <v>1</v>
      </c>
      <c r="E14" s="57">
        <v>0</v>
      </c>
      <c r="F14" s="75">
        <v>0</v>
      </c>
      <c r="G14" s="57">
        <v>0</v>
      </c>
      <c r="H14" s="75">
        <v>0</v>
      </c>
      <c r="I14" s="158"/>
      <c r="J14" s="158"/>
      <c r="K14" s="158"/>
      <c r="M14" s="55">
        <v>201720</v>
      </c>
      <c r="N14" s="53">
        <v>1</v>
      </c>
      <c r="O14" s="53">
        <v>1</v>
      </c>
      <c r="P14" s="54">
        <v>1</v>
      </c>
      <c r="Q14" s="53">
        <v>0</v>
      </c>
      <c r="R14" s="54">
        <v>0</v>
      </c>
      <c r="S14" s="55">
        <v>0</v>
      </c>
      <c r="T14" s="54">
        <v>0</v>
      </c>
    </row>
    <row r="15" spans="1:20" ht="13.5" customHeight="1">
      <c r="A15" s="59">
        <v>201810</v>
      </c>
      <c r="B15" s="57">
        <v>1</v>
      </c>
      <c r="C15" s="57">
        <v>0</v>
      </c>
      <c r="D15" s="75">
        <v>0</v>
      </c>
      <c r="E15" s="57">
        <v>0</v>
      </c>
      <c r="F15" s="75">
        <v>0</v>
      </c>
      <c r="G15" s="57">
        <v>1</v>
      </c>
      <c r="H15" s="75">
        <v>1</v>
      </c>
      <c r="I15" s="158"/>
      <c r="J15" s="158"/>
      <c r="K15" s="158"/>
      <c r="M15" s="55">
        <v>201810</v>
      </c>
      <c r="N15" s="53">
        <v>1</v>
      </c>
      <c r="O15" s="53">
        <v>0</v>
      </c>
      <c r="P15" s="54">
        <v>0</v>
      </c>
      <c r="Q15" s="53">
        <v>0</v>
      </c>
      <c r="R15" s="54">
        <v>0</v>
      </c>
      <c r="S15" s="55">
        <v>1</v>
      </c>
      <c r="T15" s="54">
        <v>1</v>
      </c>
    </row>
    <row r="16" spans="1:20" ht="13.5" customHeight="1">
      <c r="A16" s="59">
        <v>201820</v>
      </c>
      <c r="B16" s="57">
        <v>1</v>
      </c>
      <c r="C16" s="57">
        <v>1</v>
      </c>
      <c r="D16" s="75">
        <v>1</v>
      </c>
      <c r="E16" s="57">
        <v>0</v>
      </c>
      <c r="F16" s="75">
        <v>0</v>
      </c>
      <c r="G16" s="57">
        <v>0</v>
      </c>
      <c r="H16" s="75">
        <v>0</v>
      </c>
      <c r="I16" s="158"/>
      <c r="J16" s="158"/>
      <c r="K16" s="158"/>
      <c r="M16" s="59">
        <v>201820</v>
      </c>
      <c r="N16" s="53">
        <v>1</v>
      </c>
      <c r="O16" s="53">
        <v>1</v>
      </c>
      <c r="P16" s="54">
        <v>1</v>
      </c>
      <c r="Q16" s="53">
        <v>0</v>
      </c>
      <c r="R16" s="54">
        <v>0</v>
      </c>
      <c r="S16" s="55">
        <v>0</v>
      </c>
      <c r="T16" s="54">
        <v>0</v>
      </c>
    </row>
    <row r="17" spans="1:23" ht="13.5" customHeight="1">
      <c r="A17" s="59">
        <v>201910</v>
      </c>
      <c r="B17" s="57">
        <v>2</v>
      </c>
      <c r="C17" s="57">
        <v>0</v>
      </c>
      <c r="D17" s="75">
        <v>0</v>
      </c>
      <c r="E17" s="57">
        <v>0</v>
      </c>
      <c r="F17" s="75">
        <v>0</v>
      </c>
      <c r="G17" s="57">
        <v>2</v>
      </c>
      <c r="H17" s="75">
        <v>1</v>
      </c>
      <c r="I17" s="158"/>
      <c r="J17" s="158"/>
      <c r="K17" s="158"/>
      <c r="M17" s="59">
        <v>201910</v>
      </c>
      <c r="N17" s="53">
        <v>2</v>
      </c>
      <c r="O17" s="53">
        <v>0</v>
      </c>
      <c r="P17" s="54">
        <v>0</v>
      </c>
      <c r="Q17" s="53">
        <v>0</v>
      </c>
      <c r="R17" s="54">
        <v>0</v>
      </c>
      <c r="S17" s="55">
        <v>2</v>
      </c>
      <c r="T17" s="54">
        <v>1</v>
      </c>
    </row>
    <row r="18" spans="1:23" ht="13.5" customHeight="1">
      <c r="A18" s="59">
        <v>201920</v>
      </c>
      <c r="B18" s="57">
        <v>1</v>
      </c>
      <c r="C18" s="57">
        <v>0</v>
      </c>
      <c r="D18" s="75">
        <v>0</v>
      </c>
      <c r="E18" s="57">
        <v>0</v>
      </c>
      <c r="F18" s="75">
        <v>0</v>
      </c>
      <c r="G18" s="57">
        <v>1</v>
      </c>
      <c r="H18" s="75">
        <v>1</v>
      </c>
      <c r="I18" s="158"/>
      <c r="J18" s="158"/>
      <c r="K18" s="158"/>
      <c r="M18" s="59">
        <v>201920</v>
      </c>
      <c r="N18" s="53">
        <v>1</v>
      </c>
      <c r="O18" s="53">
        <v>0</v>
      </c>
      <c r="P18" s="54">
        <v>0</v>
      </c>
      <c r="Q18" s="53">
        <v>0</v>
      </c>
      <c r="R18" s="54">
        <v>0</v>
      </c>
      <c r="S18" s="55">
        <v>1</v>
      </c>
      <c r="T18" s="54">
        <v>1</v>
      </c>
    </row>
    <row r="19" spans="1:23" ht="13.5" customHeight="1">
      <c r="A19" s="59">
        <v>202010</v>
      </c>
      <c r="B19" s="57">
        <v>3</v>
      </c>
      <c r="C19" s="57">
        <v>0</v>
      </c>
      <c r="D19" s="75">
        <v>0</v>
      </c>
      <c r="E19" s="57">
        <v>0</v>
      </c>
      <c r="F19" s="75">
        <v>0</v>
      </c>
      <c r="G19" s="57">
        <v>4</v>
      </c>
      <c r="H19" s="75">
        <v>1</v>
      </c>
      <c r="I19" s="158"/>
      <c r="J19" s="158"/>
      <c r="K19" s="158"/>
      <c r="M19" s="59">
        <v>202010</v>
      </c>
      <c r="N19" s="57" t="s">
        <v>124</v>
      </c>
      <c r="O19" s="57" t="s">
        <v>124</v>
      </c>
      <c r="P19" s="57" t="s">
        <v>124</v>
      </c>
      <c r="Q19" s="57" t="s">
        <v>124</v>
      </c>
      <c r="R19" s="57" t="s">
        <v>124</v>
      </c>
      <c r="S19" s="57" t="s">
        <v>124</v>
      </c>
      <c r="T19" s="57" t="s">
        <v>124</v>
      </c>
    </row>
    <row r="20" spans="1:23" ht="13.5" customHeight="1">
      <c r="A20" s="59">
        <v>202020</v>
      </c>
      <c r="B20" s="57" t="s">
        <v>124</v>
      </c>
      <c r="C20" s="57" t="s">
        <v>124</v>
      </c>
      <c r="D20" s="57" t="s">
        <v>124</v>
      </c>
      <c r="E20" s="57" t="s">
        <v>124</v>
      </c>
      <c r="F20" s="57" t="s">
        <v>124</v>
      </c>
      <c r="G20" s="57" t="s">
        <v>124</v>
      </c>
      <c r="H20" s="57" t="s">
        <v>124</v>
      </c>
      <c r="I20" s="158"/>
      <c r="J20" s="158"/>
      <c r="K20" s="158"/>
      <c r="M20" s="59">
        <v>202020</v>
      </c>
      <c r="N20" s="57" t="s">
        <v>124</v>
      </c>
      <c r="O20" s="57" t="s">
        <v>124</v>
      </c>
      <c r="P20" s="57" t="s">
        <v>124</v>
      </c>
      <c r="Q20" s="57" t="s">
        <v>124</v>
      </c>
      <c r="R20" s="57" t="s">
        <v>124</v>
      </c>
      <c r="S20" s="57" t="s">
        <v>124</v>
      </c>
      <c r="T20" s="57" t="s">
        <v>124</v>
      </c>
    </row>
    <row r="21" spans="1:23" ht="13.5" customHeight="1">
      <c r="A21" s="59">
        <v>202110</v>
      </c>
      <c r="B21" s="57">
        <v>2</v>
      </c>
      <c r="C21" s="57">
        <v>0</v>
      </c>
      <c r="D21" s="75">
        <v>0</v>
      </c>
      <c r="E21" s="57">
        <v>0</v>
      </c>
      <c r="F21" s="75">
        <v>0</v>
      </c>
      <c r="G21" s="57">
        <v>2</v>
      </c>
      <c r="H21" s="57">
        <v>100</v>
      </c>
      <c r="I21" s="158"/>
      <c r="J21" s="158"/>
      <c r="K21" s="158"/>
      <c r="M21" s="59">
        <v>202110</v>
      </c>
      <c r="N21" s="57">
        <v>1</v>
      </c>
      <c r="O21" s="57">
        <v>0</v>
      </c>
      <c r="P21" s="54">
        <v>0</v>
      </c>
      <c r="Q21" s="53">
        <v>0</v>
      </c>
      <c r="R21" s="54">
        <v>0</v>
      </c>
      <c r="S21" s="55">
        <v>1</v>
      </c>
      <c r="T21" s="54">
        <v>1</v>
      </c>
    </row>
    <row r="22" spans="1:23" ht="13.5" customHeight="1">
      <c r="A22" s="59">
        <v>202120</v>
      </c>
      <c r="B22" s="57">
        <v>4</v>
      </c>
      <c r="C22" s="57">
        <v>1</v>
      </c>
      <c r="D22" s="75">
        <v>0.25</v>
      </c>
      <c r="E22" s="57">
        <v>0</v>
      </c>
      <c r="F22" s="75">
        <v>0</v>
      </c>
      <c r="G22" s="57">
        <v>3</v>
      </c>
      <c r="H22" s="57">
        <v>0.75</v>
      </c>
      <c r="I22" s="158"/>
      <c r="J22" s="158"/>
      <c r="K22" s="158"/>
      <c r="M22" s="59">
        <v>202120</v>
      </c>
      <c r="N22" s="57">
        <v>4</v>
      </c>
      <c r="O22" s="57">
        <v>1</v>
      </c>
      <c r="P22" s="54">
        <v>0.25</v>
      </c>
      <c r="Q22" s="53">
        <v>0</v>
      </c>
      <c r="R22" s="54">
        <v>0</v>
      </c>
      <c r="S22" s="55">
        <v>3</v>
      </c>
      <c r="T22" s="54">
        <v>0.75</v>
      </c>
    </row>
    <row r="23" spans="1:23" ht="13.5" customHeight="1">
      <c r="A23" s="98">
        <v>202210</v>
      </c>
      <c r="B23" s="103" cm="1">
        <f t="array" ref="B23">IF(RIGHT($A23,2)="10",_xlfn.XLOOKUP("LAT"&amp;$A23,[1]PROGRAMA!$A:$A&amp;[1]PROGRAMA!$B:$B,[1]PROGRAMA!C:C,0),_xlfn.XLOOKUP("LAT"&amp;$A23,[2]PROGRAMA!$A:$A&amp;[2]PROGRAMA!$B:$B,[2]PROGRAMA!C:C,0))</f>
        <v>3</v>
      </c>
      <c r="C23" s="103" cm="1">
        <f t="array" ref="C23">IF(RIGHT($A23,2)="10",_xlfn.XLOOKUP("LAT"&amp;$A23,[1]PROGRAMA!$A:$A&amp;[1]PROGRAMA!$B:$B,[1]PROGRAMA!D:D,0),_xlfn.XLOOKUP("LAT"&amp;$A23,[2]PROGRAMA!$A:$A&amp;[2]PROGRAMA!$B:$B,[2]PROGRAMA!D:D,0))</f>
        <v>0</v>
      </c>
      <c r="D23" s="68">
        <f>IFERROR(C23/$B23,0)</f>
        <v>0</v>
      </c>
      <c r="E23" s="103" cm="1">
        <f t="array" ref="E23">IF(RIGHT($A23,2)="10",_xlfn.XLOOKUP("LAT"&amp;$A23,[1]PROGRAMA!$A:$A&amp;[1]PROGRAMA!$B:$B,[1]PROGRAMA!E:E,0),_xlfn.XLOOKUP("LAT"&amp;$A23,[2]PROGRAMA!$A:$A&amp;[2]PROGRAMA!$B:$B,[2]PROGRAMA!E:E,0))</f>
        <v>0</v>
      </c>
      <c r="F23" s="68">
        <f>IFERROR(E23/$B23,0)</f>
        <v>0</v>
      </c>
      <c r="G23" s="104">
        <f>B23-C23</f>
        <v>3</v>
      </c>
      <c r="H23" s="68">
        <f>IFERROR(G23/$B23,0)</f>
        <v>1</v>
      </c>
      <c r="I23" s="128"/>
      <c r="J23" s="128"/>
      <c r="K23" s="128"/>
      <c r="M23" s="98">
        <v>202210</v>
      </c>
      <c r="N23" s="103" cm="1">
        <f t="array" ref="N23">IF(RIGHT($A23,2)="10",_xlfn.XLOOKUP("LAT"&amp;$A23,'[1]PROGRAMA 123'!$A:$A&amp;'[1]PROGRAMA 123'!$B:$B,'[1]PROGRAMA 123'!C:C,0),_xlfn.XLOOKUP("LAT"&amp;$A23,'[2]PROGRAMA 123'!$A:$A&amp;'[2]PROGRAMA 123'!$B:$B,'[2]PROGRAMA 123'!C:C,0))</f>
        <v>2</v>
      </c>
      <c r="O23" s="103" cm="1">
        <f t="array" ref="O23">IF(RIGHT($A23,2)="10",_xlfn.XLOOKUP("LAT"&amp;$A23,'[1]PROGRAMA 123'!$A:$A&amp;'[1]PROGRAMA 123'!$B:$B,'[1]PROGRAMA 123'!D:D,0),_xlfn.XLOOKUP("LAT"&amp;$A23,'[2]PROGRAMA 123'!$A:$A&amp;'[2]PROGRAMA 123'!$B:$B,'[2]PROGRAMA 123'!D:D,0))</f>
        <v>0</v>
      </c>
      <c r="P23" s="68">
        <f>IFERROR(O23/$N23,0)</f>
        <v>0</v>
      </c>
      <c r="Q23" s="103" cm="1">
        <f t="array" ref="Q23">IF(RIGHT($A23,2)="10",_xlfn.XLOOKUP("LAT"&amp;$A23,'[1]PROGRAMA 123'!$A:$A&amp;'[1]PROGRAMA 123'!$B:$B,'[1]PROGRAMA 123'!E:E,0),_xlfn.XLOOKUP("LAT"&amp;$A23,'[2]PROGRAMA 123'!$A:$A&amp;'[2]PROGRAMA 123'!$B:$B,'[2]PROGRAMA 123'!E:E,0))</f>
        <v>0</v>
      </c>
      <c r="R23" s="68">
        <f>IFERROR(Q23/$N23,0)</f>
        <v>0</v>
      </c>
      <c r="S23" s="104">
        <f>N23-O23</f>
        <v>2</v>
      </c>
      <c r="T23" s="68">
        <f>IFERROR(S23/$N23,0)</f>
        <v>1</v>
      </c>
    </row>
    <row r="24" spans="1:23" ht="13.5" customHeight="1">
      <c r="A24" s="98">
        <v>202220</v>
      </c>
      <c r="B24" s="103" cm="1">
        <f t="array" ref="B24">IF(RIGHT($A24,2)="10",_xlfn.XLOOKUP("LAT"&amp;$A24,[1]PROGRAMA!$A:$A&amp;[1]PROGRAMA!$B:$B,[1]PROGRAMA!C:C,0),_xlfn.XLOOKUP("LAT"&amp;$A24,[2]PROGRAMA!$A:$A&amp;[2]PROGRAMA!$B:$B,[2]PROGRAMA!C:C,0))</f>
        <v>2</v>
      </c>
      <c r="C24" s="103" cm="1">
        <f t="array" ref="C24">IF(RIGHT($A24,2)="10",_xlfn.XLOOKUP("LAT"&amp;$A24,[1]PROGRAMA!$A:$A&amp;[1]PROGRAMA!$B:$B,[1]PROGRAMA!D:D,0),_xlfn.XLOOKUP("LAT"&amp;$A24,[2]PROGRAMA!$A:$A&amp;[2]PROGRAMA!$B:$B,[2]PROGRAMA!D:D,0))</f>
        <v>2</v>
      </c>
      <c r="D24" s="68">
        <f>IFERROR(C24/$B24,0)</f>
        <v>1</v>
      </c>
      <c r="E24" s="103" cm="1">
        <f t="array" ref="E24">IF(RIGHT($A24,2)="10",_xlfn.XLOOKUP("LAT"&amp;$A24,[1]PROGRAMA!$A:$A&amp;[1]PROGRAMA!$B:$B,[1]PROGRAMA!E:E,0),_xlfn.XLOOKUP("LAT"&amp;$A24,[2]PROGRAMA!$A:$A&amp;[2]PROGRAMA!$B:$B,[2]PROGRAMA!E:E,0))</f>
        <v>0</v>
      </c>
      <c r="F24" s="68">
        <f>IFERROR(E24/$B24,0)</f>
        <v>0</v>
      </c>
      <c r="G24" s="104">
        <f>B24-C24</f>
        <v>0</v>
      </c>
      <c r="H24" s="68">
        <f>IFERROR(G24/$B24,0)</f>
        <v>0</v>
      </c>
      <c r="I24" s="128"/>
      <c r="J24" s="128"/>
      <c r="K24" s="128"/>
      <c r="M24" s="98">
        <v>202220</v>
      </c>
      <c r="N24" s="103" cm="1">
        <f t="array" ref="N24">IF(RIGHT($A24,2)="10",_xlfn.XLOOKUP("LAT"&amp;$A24,'[1]PROGRAMA 123'!$A:$A&amp;'[1]PROGRAMA 123'!$B:$B,'[1]PROGRAMA 123'!C:C,0),_xlfn.XLOOKUP("LAT"&amp;$A24,'[2]PROGRAMA 123'!$A:$A&amp;'[2]PROGRAMA 123'!$B:$B,'[2]PROGRAMA 123'!C:C,0))</f>
        <v>1</v>
      </c>
      <c r="O24" s="103" cm="1">
        <f t="array" ref="O24">IF(RIGHT($A24,2)="10",_xlfn.XLOOKUP("LAT"&amp;$A24,'[1]PROGRAMA 123'!$A:$A&amp;'[1]PROGRAMA 123'!$B:$B,'[1]PROGRAMA 123'!D:D,0),_xlfn.XLOOKUP("LAT"&amp;$A24,'[2]PROGRAMA 123'!$A:$A&amp;'[2]PROGRAMA 123'!$B:$B,'[2]PROGRAMA 123'!D:D,0))</f>
        <v>1</v>
      </c>
      <c r="P24" s="68">
        <f>IFERROR(O24/$N24,0)</f>
        <v>1</v>
      </c>
      <c r="Q24" s="103" cm="1">
        <f t="array" ref="Q24">IF(RIGHT($A24,2)="10",_xlfn.XLOOKUP("LAT"&amp;$A24,'[1]PROGRAMA 123'!$A:$A&amp;'[1]PROGRAMA 123'!$B:$B,'[1]PROGRAMA 123'!E:E,0),_xlfn.XLOOKUP("LAT"&amp;$A24,'[2]PROGRAMA 123'!$A:$A&amp;'[2]PROGRAMA 123'!$B:$B,'[2]PROGRAMA 123'!E:E,0))</f>
        <v>0</v>
      </c>
      <c r="R24" s="68">
        <f>IFERROR(Q24/$N24,0)</f>
        <v>0</v>
      </c>
      <c r="S24" s="104">
        <f>N24-O24</f>
        <v>0</v>
      </c>
      <c r="T24" s="68">
        <f>IFERROR(S24/$N24,0)</f>
        <v>0</v>
      </c>
    </row>
    <row r="25" spans="1:23" ht="13.5" customHeight="1">
      <c r="A25" s="98" t="s">
        <v>239</v>
      </c>
      <c r="B25" s="103">
        <v>4</v>
      </c>
      <c r="C25" s="103">
        <v>1</v>
      </c>
      <c r="D25" s="68">
        <v>0.25</v>
      </c>
      <c r="E25" s="103">
        <v>0</v>
      </c>
      <c r="F25" s="68">
        <v>0</v>
      </c>
      <c r="G25" s="104">
        <v>3</v>
      </c>
      <c r="H25" s="68">
        <v>0.75</v>
      </c>
      <c r="I25" s="128"/>
      <c r="J25" s="128"/>
      <c r="K25" s="128"/>
      <c r="M25" s="98" t="s">
        <v>239</v>
      </c>
      <c r="N25" s="103">
        <v>3</v>
      </c>
      <c r="O25" s="103">
        <v>1</v>
      </c>
      <c r="P25" s="68">
        <v>0.33333333333333331</v>
      </c>
      <c r="Q25" s="103">
        <v>0</v>
      </c>
      <c r="R25" s="68">
        <v>0</v>
      </c>
      <c r="S25" s="104">
        <v>2</v>
      </c>
      <c r="T25" s="68">
        <v>0.66666666666666663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11" t="s">
        <v>114</v>
      </c>
      <c r="N27" s="212"/>
      <c r="O27" s="212"/>
      <c r="P27" s="212"/>
      <c r="Q27" s="212"/>
      <c r="R27" s="212"/>
      <c r="S27" s="212"/>
      <c r="T27" s="212"/>
      <c r="U27" s="212"/>
      <c r="V27" s="212"/>
      <c r="W27" s="212"/>
    </row>
    <row r="28" spans="1:23" ht="33" hidden="1" customHeight="1">
      <c r="A28" s="91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1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 t="str">
        <f>D5</f>
        <v>-</v>
      </c>
      <c r="B29" s="37" t="str">
        <f>E5</f>
        <v>-</v>
      </c>
      <c r="C29" s="37" t="str">
        <f>F5</f>
        <v>-</v>
      </c>
      <c r="D29" s="32">
        <f>+((B10*D10)+(B11*D11))/(B10+B11)</f>
        <v>0.16666666666666666</v>
      </c>
      <c r="E29" s="37" t="str">
        <f>H5</f>
        <v>-</v>
      </c>
      <c r="F29" s="32">
        <f>((B14*D14)+(B15*D15))/(B14+B15)</f>
        <v>0.5</v>
      </c>
      <c r="G29" s="32">
        <f>((B16*D16)+(B17*D17))/(B16+B17)</f>
        <v>0.33333333333333331</v>
      </c>
      <c r="H29" s="32">
        <f>((B18*D18)+(B19*D19))/(B18+B19)</f>
        <v>0</v>
      </c>
      <c r="I29" s="32">
        <f>D21</f>
        <v>0</v>
      </c>
      <c r="J29" s="32">
        <f>SUM(C22:C23)/SUM(B22:B23)</f>
        <v>0.14285714285714285</v>
      </c>
      <c r="K29" s="32">
        <f>D24</f>
        <v>1</v>
      </c>
      <c r="L29" s="6"/>
      <c r="M29" s="37" t="str">
        <f>P5</f>
        <v>-</v>
      </c>
      <c r="N29" s="37" t="str">
        <f>Q5</f>
        <v>-</v>
      </c>
      <c r="O29" s="37" t="str">
        <f>R5</f>
        <v>-</v>
      </c>
      <c r="P29" s="32">
        <f>+((N10*P10)+(N11*P11))/(N10+N11)</f>
        <v>0.16666666666666666</v>
      </c>
      <c r="Q29" s="37" t="str">
        <f>T5</f>
        <v>-</v>
      </c>
      <c r="R29" s="32">
        <f>((N14*P14)+(N15*P15))/(N14+N15)</f>
        <v>0.5</v>
      </c>
      <c r="S29" s="32">
        <f>((N16*P16)+(N17*P17))/(N16+N17)</f>
        <v>0.33333333333333331</v>
      </c>
      <c r="T29" s="32">
        <f>P18</f>
        <v>0</v>
      </c>
      <c r="U29" s="32">
        <f>P21</f>
        <v>0</v>
      </c>
      <c r="V29" s="32">
        <f>SUM(O22:O23)/SUM(N22:N23)</f>
        <v>0.16666666666666666</v>
      </c>
      <c r="W29" s="32">
        <f>P24</f>
        <v>1</v>
      </c>
    </row>
    <row r="30" spans="1:23" hidden="1">
      <c r="A30" s="206" t="s">
        <v>237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237</v>
      </c>
      <c r="N30" s="206"/>
      <c r="O30" s="206"/>
      <c r="P30" s="206"/>
      <c r="Q30" s="206"/>
      <c r="R30" s="206"/>
      <c r="S30" s="206"/>
      <c r="T30" s="206"/>
      <c r="U30" s="206"/>
      <c r="V30" s="206"/>
      <c r="W30" s="206"/>
    </row>
    <row r="31" spans="1:23">
      <c r="N31" s="7"/>
      <c r="O31" s="7"/>
      <c r="P31" s="7"/>
      <c r="Q31" s="7"/>
      <c r="R31" s="7"/>
      <c r="S31" s="7"/>
      <c r="T31" s="7"/>
    </row>
  </sheetData>
  <mergeCells count="9">
    <mergeCell ref="A30:L30"/>
    <mergeCell ref="M30:W30"/>
    <mergeCell ref="A1:H1"/>
    <mergeCell ref="M1:T1"/>
    <mergeCell ref="A3:H3"/>
    <mergeCell ref="A2:H2"/>
    <mergeCell ref="M3:T3"/>
    <mergeCell ref="A27:K27"/>
    <mergeCell ref="M27:W27"/>
  </mergeCells>
  <pageMargins left="0.7" right="0.7" top="0.75" bottom="0.75" header="0.3" footer="0.3"/>
  <pageSetup orientation="portrait" r:id="rId1"/>
  <ignoredErrors>
    <ignoredError sqref="D29 P29 L23:O24 Q23:Q24 S23:S24 E23:J24" formula="1"/>
    <ignoredError sqref="A25 M25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06"/>
      <c r="B2" s="206"/>
      <c r="C2" s="206"/>
      <c r="D2" s="206"/>
      <c r="E2" s="206"/>
      <c r="F2" s="206"/>
      <c r="G2" s="206"/>
      <c r="H2" s="206"/>
      <c r="I2" s="13"/>
      <c r="J2" s="13"/>
      <c r="K2" s="13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24" t="s">
        <v>223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224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K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3">
        <v>2</v>
      </c>
      <c r="C10" s="53">
        <v>0</v>
      </c>
      <c r="D10" s="54">
        <v>0</v>
      </c>
      <c r="E10" s="53">
        <v>0</v>
      </c>
      <c r="F10" s="54">
        <v>0</v>
      </c>
      <c r="G10" s="55">
        <v>2</v>
      </c>
      <c r="H10" s="54">
        <v>1</v>
      </c>
      <c r="I10" s="23"/>
      <c r="J10" s="23"/>
      <c r="K10" s="23"/>
      <c r="M10" s="55">
        <v>201520</v>
      </c>
      <c r="N10" s="53">
        <v>2</v>
      </c>
      <c r="O10" s="53">
        <v>0</v>
      </c>
      <c r="P10" s="54">
        <v>0</v>
      </c>
      <c r="Q10" s="53">
        <v>0</v>
      </c>
      <c r="R10" s="54">
        <v>0</v>
      </c>
      <c r="S10" s="55">
        <v>2</v>
      </c>
      <c r="T10" s="54">
        <v>1</v>
      </c>
    </row>
    <row r="11" spans="1:20" ht="13.5" customHeight="1">
      <c r="A11" s="59">
        <v>201610</v>
      </c>
      <c r="B11" s="53">
        <v>16</v>
      </c>
      <c r="C11" s="53">
        <v>0</v>
      </c>
      <c r="D11" s="54">
        <v>0</v>
      </c>
      <c r="E11" s="53">
        <v>0</v>
      </c>
      <c r="F11" s="54">
        <v>0</v>
      </c>
      <c r="G11" s="55">
        <v>16</v>
      </c>
      <c r="H11" s="54">
        <v>1</v>
      </c>
      <c r="I11" s="23"/>
      <c r="J11" s="23"/>
      <c r="K11" s="23"/>
      <c r="M11" s="55">
        <v>201610</v>
      </c>
      <c r="N11" s="53">
        <v>16</v>
      </c>
      <c r="O11" s="53">
        <v>0</v>
      </c>
      <c r="P11" s="54">
        <v>0</v>
      </c>
      <c r="Q11" s="53">
        <v>0</v>
      </c>
      <c r="R11" s="54">
        <v>0</v>
      </c>
      <c r="S11" s="55">
        <v>16</v>
      </c>
      <c r="T11" s="54">
        <v>1</v>
      </c>
    </row>
    <row r="12" spans="1:20" ht="13.5" customHeight="1">
      <c r="A12" s="59">
        <v>201620</v>
      </c>
      <c r="B12" s="57">
        <v>2</v>
      </c>
      <c r="C12" s="57">
        <v>0</v>
      </c>
      <c r="D12" s="58">
        <v>0</v>
      </c>
      <c r="E12" s="57">
        <v>0</v>
      </c>
      <c r="F12" s="58">
        <v>0</v>
      </c>
      <c r="G12" s="57">
        <v>2</v>
      </c>
      <c r="H12" s="58">
        <v>1</v>
      </c>
      <c r="I12" s="125"/>
      <c r="J12" s="125"/>
      <c r="K12" s="125"/>
      <c r="M12" s="55">
        <v>201620</v>
      </c>
      <c r="N12" s="57">
        <v>2</v>
      </c>
      <c r="O12" s="57">
        <v>0</v>
      </c>
      <c r="P12" s="58">
        <v>0</v>
      </c>
      <c r="Q12" s="57">
        <v>0</v>
      </c>
      <c r="R12" s="58">
        <v>0</v>
      </c>
      <c r="S12" s="57">
        <v>2</v>
      </c>
      <c r="T12" s="58">
        <v>1</v>
      </c>
    </row>
    <row r="13" spans="1:20" ht="13.5" customHeight="1">
      <c r="A13" s="59">
        <v>201710</v>
      </c>
      <c r="B13" s="53">
        <v>12</v>
      </c>
      <c r="C13" s="53">
        <v>4</v>
      </c>
      <c r="D13" s="54">
        <v>0.33333333333333331</v>
      </c>
      <c r="E13" s="53">
        <v>0</v>
      </c>
      <c r="F13" s="54">
        <v>0</v>
      </c>
      <c r="G13" s="55">
        <v>8</v>
      </c>
      <c r="H13" s="54">
        <v>0.66666666666666663</v>
      </c>
      <c r="I13" s="23"/>
      <c r="J13" s="23"/>
      <c r="K13" s="23"/>
      <c r="M13" s="55">
        <v>201710</v>
      </c>
      <c r="N13" s="53">
        <v>11</v>
      </c>
      <c r="O13" s="53">
        <v>3</v>
      </c>
      <c r="P13" s="54">
        <v>0.27272727272727271</v>
      </c>
      <c r="Q13" s="53">
        <v>0</v>
      </c>
      <c r="R13" s="54">
        <v>0</v>
      </c>
      <c r="S13" s="55">
        <v>8</v>
      </c>
      <c r="T13" s="54">
        <v>0.72727272727272729</v>
      </c>
    </row>
    <row r="14" spans="1:20" ht="13.5" customHeight="1">
      <c r="A14" s="59">
        <v>201720</v>
      </c>
      <c r="B14" s="57">
        <v>7</v>
      </c>
      <c r="C14" s="57">
        <v>1</v>
      </c>
      <c r="D14" s="75">
        <v>0.14285714285714285</v>
      </c>
      <c r="E14" s="57">
        <v>0</v>
      </c>
      <c r="F14" s="75">
        <v>0</v>
      </c>
      <c r="G14" s="57">
        <v>6</v>
      </c>
      <c r="H14" s="75">
        <v>0.8571428571428571</v>
      </c>
      <c r="I14" s="158"/>
      <c r="J14" s="158"/>
      <c r="K14" s="158"/>
      <c r="M14" s="55">
        <v>201720</v>
      </c>
      <c r="N14" s="53">
        <v>5</v>
      </c>
      <c r="O14" s="53">
        <v>1</v>
      </c>
      <c r="P14" s="54">
        <v>0.2</v>
      </c>
      <c r="Q14" s="53">
        <v>0</v>
      </c>
      <c r="R14" s="54">
        <v>0</v>
      </c>
      <c r="S14" s="55">
        <v>4</v>
      </c>
      <c r="T14" s="54">
        <v>0.8</v>
      </c>
    </row>
    <row r="15" spans="1:20" ht="13.5" customHeight="1">
      <c r="A15" s="59">
        <v>201810</v>
      </c>
      <c r="B15" s="57">
        <v>20</v>
      </c>
      <c r="C15" s="57">
        <v>4</v>
      </c>
      <c r="D15" s="75">
        <v>0.2</v>
      </c>
      <c r="E15" s="57">
        <v>0</v>
      </c>
      <c r="F15" s="75">
        <v>0</v>
      </c>
      <c r="G15" s="57">
        <v>16</v>
      </c>
      <c r="H15" s="75">
        <v>0.8</v>
      </c>
      <c r="I15" s="158"/>
      <c r="J15" s="158"/>
      <c r="K15" s="158"/>
      <c r="M15" s="55">
        <v>201810</v>
      </c>
      <c r="N15" s="53">
        <v>15</v>
      </c>
      <c r="O15" s="53">
        <v>2</v>
      </c>
      <c r="P15" s="54">
        <v>0.13333333333333333</v>
      </c>
      <c r="Q15" s="53">
        <v>0</v>
      </c>
      <c r="R15" s="54">
        <v>0</v>
      </c>
      <c r="S15" s="55">
        <v>13</v>
      </c>
      <c r="T15" s="54">
        <v>0.8666666666666667</v>
      </c>
    </row>
    <row r="16" spans="1:20" ht="13.5" customHeight="1">
      <c r="A16" s="59">
        <v>201820</v>
      </c>
      <c r="B16" s="57">
        <v>12</v>
      </c>
      <c r="C16" s="57">
        <v>4</v>
      </c>
      <c r="D16" s="75">
        <v>0.33333333333333331</v>
      </c>
      <c r="E16" s="57">
        <v>0</v>
      </c>
      <c r="F16" s="75">
        <v>0</v>
      </c>
      <c r="G16" s="57">
        <v>8</v>
      </c>
      <c r="H16" s="75">
        <v>0.66666666666666663</v>
      </c>
      <c r="I16" s="158"/>
      <c r="J16" s="158"/>
      <c r="K16" s="158"/>
      <c r="M16" s="59">
        <v>201820</v>
      </c>
      <c r="N16" s="53">
        <v>11</v>
      </c>
      <c r="O16" s="53">
        <v>3</v>
      </c>
      <c r="P16" s="54">
        <v>0.27272727272727271</v>
      </c>
      <c r="Q16" s="53">
        <v>0</v>
      </c>
      <c r="R16" s="54">
        <v>0</v>
      </c>
      <c r="S16" s="55">
        <v>8</v>
      </c>
      <c r="T16" s="54">
        <v>0.72727272727272729</v>
      </c>
    </row>
    <row r="17" spans="1:23" s="18" customFormat="1" ht="12" customHeight="1">
      <c r="A17" s="112">
        <v>201910</v>
      </c>
      <c r="B17" s="57">
        <v>19</v>
      </c>
      <c r="C17" s="57">
        <v>4</v>
      </c>
      <c r="D17" s="75">
        <v>0.2105263157894737</v>
      </c>
      <c r="E17" s="57">
        <v>0</v>
      </c>
      <c r="F17" s="75">
        <v>0</v>
      </c>
      <c r="G17" s="57">
        <v>15</v>
      </c>
      <c r="H17" s="75">
        <v>0.78947368421052633</v>
      </c>
      <c r="I17" s="158"/>
      <c r="J17" s="158"/>
      <c r="K17" s="158"/>
      <c r="M17" s="59">
        <v>201910</v>
      </c>
      <c r="N17" s="53">
        <v>14</v>
      </c>
      <c r="O17" s="53">
        <v>3</v>
      </c>
      <c r="P17" s="54">
        <v>0.2142857142857143</v>
      </c>
      <c r="Q17" s="53">
        <v>0</v>
      </c>
      <c r="R17" s="54">
        <v>0</v>
      </c>
      <c r="S17" s="55">
        <v>11</v>
      </c>
      <c r="T17" s="54">
        <v>0.7857142857142857</v>
      </c>
    </row>
    <row r="18" spans="1:23" s="18" customFormat="1" ht="12" customHeight="1">
      <c r="A18" s="112">
        <v>201920</v>
      </c>
      <c r="B18" s="57">
        <v>6</v>
      </c>
      <c r="C18" s="57">
        <v>3</v>
      </c>
      <c r="D18" s="75">
        <v>0.5</v>
      </c>
      <c r="E18" s="57">
        <v>0</v>
      </c>
      <c r="F18" s="75">
        <v>0</v>
      </c>
      <c r="G18" s="57">
        <v>3</v>
      </c>
      <c r="H18" s="75">
        <v>0.5</v>
      </c>
      <c r="I18" s="158"/>
      <c r="J18" s="158"/>
      <c r="K18" s="158"/>
      <c r="M18" s="59">
        <v>201920</v>
      </c>
      <c r="N18" s="53">
        <v>5</v>
      </c>
      <c r="O18" s="53">
        <v>2</v>
      </c>
      <c r="P18" s="54">
        <v>0.4</v>
      </c>
      <c r="Q18" s="53">
        <v>0</v>
      </c>
      <c r="R18" s="54">
        <v>0</v>
      </c>
      <c r="S18" s="55">
        <v>3</v>
      </c>
      <c r="T18" s="54">
        <v>0.6</v>
      </c>
    </row>
    <row r="19" spans="1:23" s="18" customFormat="1" ht="12" customHeight="1">
      <c r="A19" s="112">
        <v>202010</v>
      </c>
      <c r="B19" s="57">
        <v>18</v>
      </c>
      <c r="C19" s="57">
        <v>6</v>
      </c>
      <c r="D19" s="75">
        <v>0.33333333333333331</v>
      </c>
      <c r="E19" s="57">
        <v>0</v>
      </c>
      <c r="F19" s="75">
        <v>0</v>
      </c>
      <c r="G19" s="57">
        <v>12</v>
      </c>
      <c r="H19" s="75">
        <v>0.66666666666666663</v>
      </c>
      <c r="I19" s="158"/>
      <c r="J19" s="158"/>
      <c r="K19" s="158"/>
      <c r="M19" s="59">
        <v>202010</v>
      </c>
      <c r="N19" s="53">
        <v>17</v>
      </c>
      <c r="O19" s="53">
        <v>6</v>
      </c>
      <c r="P19" s="54">
        <v>0.35294117647058831</v>
      </c>
      <c r="Q19" s="53">
        <v>0</v>
      </c>
      <c r="R19" s="54">
        <v>0</v>
      </c>
      <c r="S19" s="55">
        <v>11</v>
      </c>
      <c r="T19" s="54">
        <v>0.6470588235294118</v>
      </c>
    </row>
    <row r="20" spans="1:23" s="18" customFormat="1" ht="12" customHeight="1">
      <c r="A20" s="112">
        <v>202020</v>
      </c>
      <c r="B20" s="57">
        <v>5</v>
      </c>
      <c r="C20" s="57">
        <v>1</v>
      </c>
      <c r="D20" s="75">
        <v>0.2</v>
      </c>
      <c r="E20" s="57">
        <v>0</v>
      </c>
      <c r="F20" s="75">
        <v>0</v>
      </c>
      <c r="G20" s="57">
        <v>4</v>
      </c>
      <c r="H20" s="75">
        <v>0.8</v>
      </c>
      <c r="I20" s="158"/>
      <c r="J20" s="158"/>
      <c r="K20" s="158"/>
      <c r="M20" s="59">
        <v>202020</v>
      </c>
      <c r="N20" s="53">
        <v>4</v>
      </c>
      <c r="O20" s="53">
        <v>1</v>
      </c>
      <c r="P20" s="54">
        <v>0.25</v>
      </c>
      <c r="Q20" s="53">
        <v>0</v>
      </c>
      <c r="R20" s="54">
        <v>0</v>
      </c>
      <c r="S20" s="55">
        <v>3</v>
      </c>
      <c r="T20" s="54">
        <v>0.75</v>
      </c>
    </row>
    <row r="21" spans="1:23" s="18" customFormat="1" ht="12" customHeight="1">
      <c r="A21" s="112">
        <v>202110</v>
      </c>
      <c r="B21" s="57">
        <v>16</v>
      </c>
      <c r="C21" s="57">
        <v>2</v>
      </c>
      <c r="D21" s="75">
        <v>0.125</v>
      </c>
      <c r="E21" s="57">
        <v>0</v>
      </c>
      <c r="F21" s="75">
        <v>0</v>
      </c>
      <c r="G21" s="57">
        <v>14</v>
      </c>
      <c r="H21" s="75">
        <v>0.875</v>
      </c>
      <c r="I21" s="158"/>
      <c r="J21" s="158"/>
      <c r="K21" s="158"/>
      <c r="M21" s="59">
        <v>202110</v>
      </c>
      <c r="N21" s="53">
        <v>12</v>
      </c>
      <c r="O21" s="53">
        <v>1</v>
      </c>
      <c r="P21" s="54">
        <v>8.3333333333333329E-2</v>
      </c>
      <c r="Q21" s="53">
        <v>0</v>
      </c>
      <c r="R21" s="54">
        <v>0</v>
      </c>
      <c r="S21" s="55">
        <v>11</v>
      </c>
      <c r="T21" s="54">
        <v>0.91666666666666663</v>
      </c>
    </row>
    <row r="22" spans="1:23" s="18" customFormat="1" ht="12" customHeight="1">
      <c r="A22" s="112">
        <v>202120</v>
      </c>
      <c r="B22" s="57">
        <v>9</v>
      </c>
      <c r="C22" s="57">
        <v>1</v>
      </c>
      <c r="D22" s="75">
        <v>0.1111111111111111</v>
      </c>
      <c r="E22" s="57">
        <v>0</v>
      </c>
      <c r="F22" s="75">
        <v>0</v>
      </c>
      <c r="G22" s="57">
        <v>8</v>
      </c>
      <c r="H22" s="75">
        <v>0.88888888888888884</v>
      </c>
      <c r="I22" s="158"/>
      <c r="J22" s="158"/>
      <c r="K22" s="158"/>
      <c r="M22" s="59">
        <v>202120</v>
      </c>
      <c r="N22" s="53">
        <v>7</v>
      </c>
      <c r="O22" s="53">
        <v>1</v>
      </c>
      <c r="P22" s="54">
        <v>0.14285714285714279</v>
      </c>
      <c r="Q22" s="53">
        <v>0</v>
      </c>
      <c r="R22" s="54">
        <v>0</v>
      </c>
      <c r="S22" s="55">
        <v>6</v>
      </c>
      <c r="T22" s="54">
        <v>0.8571428571428571</v>
      </c>
    </row>
    <row r="23" spans="1:23" s="18" customFormat="1" ht="12" customHeight="1">
      <c r="A23" s="98">
        <v>202210</v>
      </c>
      <c r="B23" s="103" cm="1">
        <f t="array" ref="B23">IF(RIGHT($A23,2)="10",_xlfn.XLOOKUP("LEI"&amp;$A23,[1]PROGRAMA!$A:$A&amp;[1]PROGRAMA!$B:$B,[1]PROGRAMA!C:C,0),_xlfn.XLOOKUP("LEI"&amp;$A23,[2]PROGRAMA!$A:$A&amp;[2]PROGRAMA!$B:$B,[2]PROGRAMA!C:C,0))</f>
        <v>25</v>
      </c>
      <c r="C23" s="103" cm="1">
        <f t="array" ref="C23">IF(RIGHT($A23,2)="10",_xlfn.XLOOKUP("LEI"&amp;$A23,[1]PROGRAMA!$A:$A&amp;[1]PROGRAMA!$B:$B,[1]PROGRAMA!D:D,0),_xlfn.XLOOKUP("LEI"&amp;$A23,[2]PROGRAMA!$A:$A&amp;[2]PROGRAMA!$B:$B,[2]PROGRAMA!D:D,0))</f>
        <v>4</v>
      </c>
      <c r="D23" s="68">
        <f>IFERROR(C23/$B23,0)</f>
        <v>0.16</v>
      </c>
      <c r="E23" s="103" cm="1">
        <f t="array" ref="E23">IF(RIGHT($A23,2)="10",_xlfn.XLOOKUP("LEI"&amp;$A23,[1]PROGRAMA!$A:$A&amp;[1]PROGRAMA!$B:$B,[1]PROGRAMA!E:E,0),_xlfn.XLOOKUP("LEI"&amp;$A23,[2]PROGRAMA!$A:$A&amp;[2]PROGRAMA!$B:$B,[2]PROGRAMA!E:E,0))</f>
        <v>0</v>
      </c>
      <c r="F23" s="68">
        <f>IFERROR(E23/$B23,0)</f>
        <v>0</v>
      </c>
      <c r="G23" s="104">
        <f>B23-C23</f>
        <v>21</v>
      </c>
      <c r="H23" s="68">
        <f>IFERROR(G23/$B23,0)</f>
        <v>0.84</v>
      </c>
      <c r="I23" s="128"/>
      <c r="J23" s="128"/>
      <c r="K23" s="128"/>
      <c r="L23" s="7"/>
      <c r="M23" s="98">
        <v>202210</v>
      </c>
      <c r="N23" s="103" cm="1">
        <f t="array" ref="N23">IF(RIGHT($A23,2)="10",_xlfn.XLOOKUP("LEI"&amp;$A23,'[1]PROGRAMA 123'!$A:$A&amp;'[1]PROGRAMA 123'!$B:$B,'[1]PROGRAMA 123'!C:C,0),_xlfn.XLOOKUP("LEI"&amp;$A23,'[2]PROGRAMA 123'!$A:$A&amp;'[2]PROGRAMA 123'!$B:$B,'[2]PROGRAMA 123'!C:C,0))</f>
        <v>20</v>
      </c>
      <c r="O23" s="103" cm="1">
        <f t="array" ref="O23">IF(RIGHT($A23,2)="10",_xlfn.XLOOKUP("LEI"&amp;$A23,'[1]PROGRAMA 123'!$A:$A&amp;'[1]PROGRAMA 123'!$B:$B,'[1]PROGRAMA 123'!D:D,0),_xlfn.XLOOKUP("LEI"&amp;$A23,'[2]PROGRAMA 123'!$A:$A&amp;'[2]PROGRAMA 123'!$B:$B,'[2]PROGRAMA 123'!D:D,0))</f>
        <v>3</v>
      </c>
      <c r="P23" s="68">
        <f>IFERROR(O23/$N23,0)</f>
        <v>0.15</v>
      </c>
      <c r="Q23" s="103" cm="1">
        <f t="array" ref="Q23">IF(RIGHT($A23,2)="10",_xlfn.XLOOKUP("LEI"&amp;$A23,'[1]PROGRAMA 123'!$A:$A&amp;'[1]PROGRAMA 123'!$B:$B,'[1]PROGRAMA 123'!E:E,0),_xlfn.XLOOKUP("LEI"&amp;$A23,'[2]PROGRAMA 123'!$A:$A&amp;'[2]PROGRAMA 123'!$B:$B,'[2]PROGRAMA 123'!E:E,0))</f>
        <v>0</v>
      </c>
      <c r="R23" s="68">
        <f>IFERROR(Q23/$N23,0)</f>
        <v>0</v>
      </c>
      <c r="S23" s="104">
        <f>N23-O23</f>
        <v>17</v>
      </c>
      <c r="T23" s="68">
        <f>IFERROR(S23/$N23,0)</f>
        <v>0.85</v>
      </c>
    </row>
    <row r="24" spans="1:23" s="18" customFormat="1" ht="12" customHeight="1">
      <c r="A24" s="98">
        <v>202220</v>
      </c>
      <c r="B24" s="103" cm="1">
        <f t="array" ref="B24">IF(RIGHT($A24,2)="10",_xlfn.XLOOKUP("LEI"&amp;$A24,[1]PROGRAMA!$A:$A&amp;[1]PROGRAMA!$B:$B,[1]PROGRAMA!C:C,0),_xlfn.XLOOKUP("LEI"&amp;$A24,[2]PROGRAMA!$A:$A&amp;[2]PROGRAMA!$B:$B,[2]PROGRAMA!C:C,0))</f>
        <v>16</v>
      </c>
      <c r="C24" s="103" cm="1">
        <f t="array" ref="C24">IF(RIGHT($A24,2)="10",_xlfn.XLOOKUP("LEI"&amp;$A24,[1]PROGRAMA!$A:$A&amp;[1]PROGRAMA!$B:$B,[1]PROGRAMA!D:D,0),_xlfn.XLOOKUP("LEI"&amp;$A24,[2]PROGRAMA!$A:$A&amp;[2]PROGRAMA!$B:$B,[2]PROGRAMA!D:D,0))</f>
        <v>3</v>
      </c>
      <c r="D24" s="68">
        <f>IFERROR(C24/$B24,0)</f>
        <v>0.1875</v>
      </c>
      <c r="E24" s="103" cm="1">
        <f t="array" ref="E24">IF(RIGHT($A24,2)="10",_xlfn.XLOOKUP("LEI"&amp;$A24,[1]PROGRAMA!$A:$A&amp;[1]PROGRAMA!$B:$B,[1]PROGRAMA!E:E,0),_xlfn.XLOOKUP("LEI"&amp;$A24,[2]PROGRAMA!$A:$A&amp;[2]PROGRAMA!$B:$B,[2]PROGRAMA!E:E,0))</f>
        <v>0</v>
      </c>
      <c r="F24" s="68">
        <f>IFERROR(E24/$B24,0)</f>
        <v>0</v>
      </c>
      <c r="G24" s="104">
        <f>B24-C24</f>
        <v>13</v>
      </c>
      <c r="H24" s="68">
        <f>IFERROR(G24/$B24,0)</f>
        <v>0.8125</v>
      </c>
      <c r="I24" s="128"/>
      <c r="J24" s="128"/>
      <c r="K24" s="128"/>
      <c r="L24" s="7"/>
      <c r="M24" s="98">
        <v>202220</v>
      </c>
      <c r="N24" s="103" cm="1">
        <f t="array" ref="N24">IF(RIGHT($A24,2)="10",_xlfn.XLOOKUP("LEI"&amp;$A24,'[1]PROGRAMA 123'!$A:$A&amp;'[1]PROGRAMA 123'!$B:$B,'[1]PROGRAMA 123'!C:C,0),_xlfn.XLOOKUP("LEI"&amp;$A24,'[2]PROGRAMA 123'!$A:$A&amp;'[2]PROGRAMA 123'!$B:$B,'[2]PROGRAMA 123'!C:C,0))</f>
        <v>16</v>
      </c>
      <c r="O24" s="103" cm="1">
        <f t="array" ref="O24">IF(RIGHT($A24,2)="10",_xlfn.XLOOKUP("LEI"&amp;$A24,'[1]PROGRAMA 123'!$A:$A&amp;'[1]PROGRAMA 123'!$B:$B,'[1]PROGRAMA 123'!D:D,0),_xlfn.XLOOKUP("LEI"&amp;$A24,'[2]PROGRAMA 123'!$A:$A&amp;'[2]PROGRAMA 123'!$B:$B,'[2]PROGRAMA 123'!D:D,0))</f>
        <v>3</v>
      </c>
      <c r="P24" s="68">
        <f>IFERROR(O24/$N24,0)</f>
        <v>0.1875</v>
      </c>
      <c r="Q24" s="103" cm="1">
        <f t="array" ref="Q24">IF(RIGHT($A24,2)="10",_xlfn.XLOOKUP("LEI"&amp;$A24,'[1]PROGRAMA 123'!$A:$A&amp;'[1]PROGRAMA 123'!$B:$B,'[1]PROGRAMA 123'!E:E,0),_xlfn.XLOOKUP("LEI"&amp;$A24,'[2]PROGRAMA 123'!$A:$A&amp;'[2]PROGRAMA 123'!$B:$B,'[2]PROGRAMA 123'!E:E,0))</f>
        <v>0</v>
      </c>
      <c r="R24" s="68">
        <f>IFERROR(Q24/$N24,0)</f>
        <v>0</v>
      </c>
      <c r="S24" s="104">
        <f>N24-O24</f>
        <v>13</v>
      </c>
      <c r="T24" s="68">
        <f>IFERROR(S24/$N24,0)</f>
        <v>0.8125</v>
      </c>
    </row>
    <row r="25" spans="1:23" s="18" customFormat="1" ht="12" customHeight="1">
      <c r="A25" s="98" t="s">
        <v>239</v>
      </c>
      <c r="B25" s="103">
        <v>22</v>
      </c>
      <c r="C25" s="103">
        <v>3</v>
      </c>
      <c r="D25" s="68">
        <v>0.13636363636363641</v>
      </c>
      <c r="E25" s="103">
        <v>0</v>
      </c>
      <c r="F25" s="68">
        <v>0</v>
      </c>
      <c r="G25" s="104">
        <v>19</v>
      </c>
      <c r="H25" s="68">
        <v>0.86363636363636365</v>
      </c>
      <c r="I25" s="128"/>
      <c r="J25" s="128"/>
      <c r="K25" s="128"/>
      <c r="L25" s="7"/>
      <c r="M25" s="98" t="s">
        <v>239</v>
      </c>
      <c r="N25" s="103">
        <v>13</v>
      </c>
      <c r="O25" s="103">
        <v>1</v>
      </c>
      <c r="P25" s="68">
        <v>7.6923076923076927E-2</v>
      </c>
      <c r="Q25" s="103">
        <v>0</v>
      </c>
      <c r="R25" s="68">
        <v>0</v>
      </c>
      <c r="S25" s="104">
        <v>12</v>
      </c>
      <c r="T25" s="68">
        <v>0.92307692307692313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 t="str">
        <f>D5</f>
        <v>-</v>
      </c>
      <c r="B29" s="37" t="str">
        <f>E5</f>
        <v>-</v>
      </c>
      <c r="C29" s="37" t="str">
        <f>F5</f>
        <v>-</v>
      </c>
      <c r="D29" s="32">
        <f>+((B10*D10)+(B11*D11))/(B10+B11)</f>
        <v>0</v>
      </c>
      <c r="E29" s="37" t="str">
        <f>H5</f>
        <v>-</v>
      </c>
      <c r="F29" s="32">
        <f>((B14*D14)+(B15*D15))/(B14+B15)</f>
        <v>0.18518518518518517</v>
      </c>
      <c r="G29" s="32">
        <f>((B16*D16)+(B17*D17))/(B16+B17)</f>
        <v>0.25806451612903225</v>
      </c>
      <c r="H29" s="32">
        <f>((B18*D18)+(B19*D19))/(B18+B19)</f>
        <v>0.375</v>
      </c>
      <c r="I29" s="32">
        <f>((B20*D20)+(B21*D21))/(B20+B21)</f>
        <v>0.14285714285714285</v>
      </c>
      <c r="J29" s="32">
        <f>SUM(C22:C23)/SUM(B22:B23)</f>
        <v>0.14705882352941177</v>
      </c>
      <c r="K29" s="32">
        <f>D24</f>
        <v>0.1875</v>
      </c>
      <c r="L29" s="6"/>
      <c r="M29" s="37" t="str">
        <f>P5</f>
        <v>-</v>
      </c>
      <c r="N29" s="37" t="str">
        <f>Q5</f>
        <v>-</v>
      </c>
      <c r="O29" s="37" t="str">
        <f>R5</f>
        <v>-</v>
      </c>
      <c r="P29" s="32">
        <f>+((N10*P10)+(N11*P11))/(N10+N11)</f>
        <v>0</v>
      </c>
      <c r="Q29" s="37" t="str">
        <f>T5</f>
        <v>-</v>
      </c>
      <c r="R29" s="32">
        <f>((N14*P14)+(N15*P15))/(N14+N15)</f>
        <v>0.15</v>
      </c>
      <c r="S29" s="32">
        <f>((N16*P16)+(N17*P17))/(N16+N17)</f>
        <v>0.24</v>
      </c>
      <c r="T29" s="32">
        <f>((N18*P18)+(N19*P19))/(N18+N19)</f>
        <v>0.3636363636363637</v>
      </c>
      <c r="U29" s="32">
        <f>((N20*P20)+(N21*P21))/(N20+N21)</f>
        <v>0.125</v>
      </c>
      <c r="V29" s="32">
        <f>SUM(O22:O23)/SUM(N22:N23)</f>
        <v>0.14814814814814814</v>
      </c>
      <c r="W29" s="32">
        <f>P24</f>
        <v>0.1875</v>
      </c>
    </row>
    <row r="30" spans="1:23" hidden="1">
      <c r="A30" s="206" t="s">
        <v>237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237</v>
      </c>
      <c r="N30" s="206"/>
      <c r="O30" s="206"/>
      <c r="P30" s="206"/>
      <c r="Q30" s="206"/>
      <c r="R30" s="206"/>
      <c r="S30" s="206"/>
      <c r="T30" s="206"/>
      <c r="U30" s="206"/>
      <c r="V30" s="206"/>
      <c r="W30" s="206"/>
    </row>
    <row r="31" spans="1:23">
      <c r="N31" s="7"/>
      <c r="O31" s="7"/>
      <c r="P31" s="7"/>
      <c r="Q31" s="7"/>
      <c r="R31" s="7"/>
      <c r="S31" s="7"/>
      <c r="T31" s="7"/>
    </row>
  </sheetData>
  <mergeCells count="9">
    <mergeCell ref="A30:L30"/>
    <mergeCell ref="M30:W30"/>
    <mergeCell ref="A1:H1"/>
    <mergeCell ref="M1:T1"/>
    <mergeCell ref="A3:H3"/>
    <mergeCell ref="M3:T3"/>
    <mergeCell ref="A2:H2"/>
    <mergeCell ref="M27:W27"/>
    <mergeCell ref="A27:K27"/>
  </mergeCells>
  <pageMargins left="0.7" right="0.7" top="0.75" bottom="0.75" header="0.3" footer="0.3"/>
  <pageSetup orientation="portrait" r:id="rId1"/>
  <ignoredErrors>
    <ignoredError sqref="D29 P29 L24:O24 L23:O23 Q23 S23 Q24 S24 E23:J23 E24:J24" formula="1"/>
    <ignoredError sqref="M25 A25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06"/>
      <c r="B2" s="206"/>
      <c r="C2" s="206"/>
      <c r="D2" s="206"/>
      <c r="E2" s="206"/>
      <c r="F2" s="206"/>
      <c r="G2" s="206"/>
      <c r="H2" s="206"/>
      <c r="I2" s="13"/>
      <c r="J2" s="13"/>
      <c r="K2" s="13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24" t="s">
        <v>225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226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K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7" t="s">
        <v>124</v>
      </c>
      <c r="C10" s="57" t="s">
        <v>124</v>
      </c>
      <c r="D10" s="57" t="s">
        <v>124</v>
      </c>
      <c r="E10" s="57" t="s">
        <v>124</v>
      </c>
      <c r="F10" s="57" t="s">
        <v>124</v>
      </c>
      <c r="G10" s="57" t="s">
        <v>124</v>
      </c>
      <c r="H10" s="57" t="s">
        <v>124</v>
      </c>
      <c r="I10" s="33"/>
      <c r="J10" s="33"/>
      <c r="K10" s="33"/>
      <c r="M10" s="55">
        <v>201520</v>
      </c>
      <c r="N10" s="57" t="s">
        <v>124</v>
      </c>
      <c r="O10" s="57" t="s">
        <v>124</v>
      </c>
      <c r="P10" s="57" t="s">
        <v>124</v>
      </c>
      <c r="Q10" s="57" t="s">
        <v>124</v>
      </c>
      <c r="R10" s="57" t="s">
        <v>124</v>
      </c>
      <c r="S10" s="57" t="s">
        <v>124</v>
      </c>
      <c r="T10" s="57" t="s">
        <v>124</v>
      </c>
    </row>
    <row r="11" spans="1:20" ht="13.5" customHeight="1">
      <c r="A11" s="59">
        <v>201610</v>
      </c>
      <c r="B11" s="53">
        <v>2</v>
      </c>
      <c r="C11" s="53">
        <v>0</v>
      </c>
      <c r="D11" s="54">
        <v>0</v>
      </c>
      <c r="E11" s="53">
        <v>0</v>
      </c>
      <c r="F11" s="54">
        <v>0</v>
      </c>
      <c r="G11" s="55">
        <v>2</v>
      </c>
      <c r="H11" s="54">
        <v>1</v>
      </c>
      <c r="I11" s="23"/>
      <c r="J11" s="23"/>
      <c r="K11" s="23"/>
      <c r="M11" s="55">
        <v>201610</v>
      </c>
      <c r="N11" s="53">
        <v>2</v>
      </c>
      <c r="O11" s="53">
        <v>0</v>
      </c>
      <c r="P11" s="54">
        <v>0</v>
      </c>
      <c r="Q11" s="53">
        <v>0</v>
      </c>
      <c r="R11" s="54">
        <v>0</v>
      </c>
      <c r="S11" s="55">
        <v>2</v>
      </c>
      <c r="T11" s="54">
        <v>1</v>
      </c>
    </row>
    <row r="12" spans="1:20" ht="13.5" customHeight="1">
      <c r="A12" s="59">
        <v>201620</v>
      </c>
      <c r="B12" s="57" t="s">
        <v>124</v>
      </c>
      <c r="C12" s="57" t="s">
        <v>124</v>
      </c>
      <c r="D12" s="57" t="s">
        <v>124</v>
      </c>
      <c r="E12" s="57" t="s">
        <v>124</v>
      </c>
      <c r="F12" s="57" t="s">
        <v>124</v>
      </c>
      <c r="G12" s="57" t="s">
        <v>124</v>
      </c>
      <c r="H12" s="57" t="s">
        <v>124</v>
      </c>
      <c r="I12" s="33"/>
      <c r="J12" s="33"/>
      <c r="K12" s="33"/>
      <c r="M12" s="55">
        <v>201620</v>
      </c>
      <c r="N12" s="57" t="s">
        <v>124</v>
      </c>
      <c r="O12" s="57" t="s">
        <v>124</v>
      </c>
      <c r="P12" s="57" t="s">
        <v>124</v>
      </c>
      <c r="Q12" s="57" t="s">
        <v>124</v>
      </c>
      <c r="R12" s="57" t="s">
        <v>124</v>
      </c>
      <c r="S12" s="57" t="s">
        <v>124</v>
      </c>
      <c r="T12" s="57" t="s">
        <v>124</v>
      </c>
    </row>
    <row r="13" spans="1:20" ht="13.5" customHeight="1">
      <c r="A13" s="59">
        <v>201710</v>
      </c>
      <c r="B13" s="53">
        <v>4</v>
      </c>
      <c r="C13" s="53">
        <v>0</v>
      </c>
      <c r="D13" s="54">
        <v>0</v>
      </c>
      <c r="E13" s="53">
        <v>0</v>
      </c>
      <c r="F13" s="54">
        <v>0</v>
      </c>
      <c r="G13" s="55">
        <v>4</v>
      </c>
      <c r="H13" s="54">
        <v>1</v>
      </c>
      <c r="I13" s="23"/>
      <c r="J13" s="23"/>
      <c r="K13" s="23"/>
      <c r="M13" s="55">
        <v>201710</v>
      </c>
      <c r="N13" s="53">
        <v>4</v>
      </c>
      <c r="O13" s="53">
        <v>0</v>
      </c>
      <c r="P13" s="54">
        <v>0</v>
      </c>
      <c r="Q13" s="53">
        <v>0</v>
      </c>
      <c r="R13" s="54">
        <v>0</v>
      </c>
      <c r="S13" s="55">
        <v>4</v>
      </c>
      <c r="T13" s="54">
        <v>1</v>
      </c>
    </row>
    <row r="14" spans="1:20" ht="13.5" customHeight="1">
      <c r="A14" s="59">
        <v>201720</v>
      </c>
      <c r="B14" s="57">
        <v>1</v>
      </c>
      <c r="C14" s="57">
        <v>0</v>
      </c>
      <c r="D14" s="58">
        <v>0</v>
      </c>
      <c r="E14" s="57">
        <v>0</v>
      </c>
      <c r="F14" s="58">
        <v>0</v>
      </c>
      <c r="G14" s="57">
        <v>1</v>
      </c>
      <c r="H14" s="58">
        <v>1</v>
      </c>
      <c r="I14" s="125"/>
      <c r="J14" s="125"/>
      <c r="K14" s="125"/>
      <c r="M14" s="55">
        <v>201720</v>
      </c>
      <c r="N14" s="53">
        <v>1</v>
      </c>
      <c r="O14" s="53">
        <v>0</v>
      </c>
      <c r="P14" s="54">
        <v>0</v>
      </c>
      <c r="Q14" s="53">
        <v>0</v>
      </c>
      <c r="R14" s="54">
        <v>0</v>
      </c>
      <c r="S14" s="55">
        <v>1</v>
      </c>
      <c r="T14" s="54">
        <v>1</v>
      </c>
    </row>
    <row r="15" spans="1:20" ht="13.5" customHeight="1">
      <c r="A15" s="59">
        <v>201810</v>
      </c>
      <c r="B15" s="57">
        <v>3</v>
      </c>
      <c r="C15" s="57">
        <v>0</v>
      </c>
      <c r="D15" s="58">
        <v>0</v>
      </c>
      <c r="E15" s="57">
        <v>0</v>
      </c>
      <c r="F15" s="58">
        <v>0</v>
      </c>
      <c r="G15" s="57">
        <v>3</v>
      </c>
      <c r="H15" s="58">
        <v>1</v>
      </c>
      <c r="I15" s="125"/>
      <c r="J15" s="125"/>
      <c r="K15" s="125"/>
      <c r="M15" s="59">
        <v>201810</v>
      </c>
      <c r="N15" s="53">
        <v>3</v>
      </c>
      <c r="O15" s="53">
        <v>0</v>
      </c>
      <c r="P15" s="54">
        <v>0</v>
      </c>
      <c r="Q15" s="53">
        <v>0</v>
      </c>
      <c r="R15" s="54">
        <v>0</v>
      </c>
      <c r="S15" s="55">
        <v>3</v>
      </c>
      <c r="T15" s="54">
        <v>1</v>
      </c>
    </row>
    <row r="16" spans="1:20" ht="13.5" customHeight="1">
      <c r="A16" s="59">
        <v>201820</v>
      </c>
      <c r="B16" s="57">
        <v>2</v>
      </c>
      <c r="C16" s="57">
        <v>0</v>
      </c>
      <c r="D16" s="58">
        <v>0</v>
      </c>
      <c r="E16" s="57">
        <v>0</v>
      </c>
      <c r="F16" s="58">
        <v>0</v>
      </c>
      <c r="G16" s="57">
        <v>2</v>
      </c>
      <c r="H16" s="58">
        <v>1</v>
      </c>
      <c r="I16" s="125"/>
      <c r="J16" s="125"/>
      <c r="K16" s="125"/>
      <c r="M16" s="59">
        <v>201820</v>
      </c>
      <c r="N16" s="53">
        <v>2</v>
      </c>
      <c r="O16" s="53">
        <v>0</v>
      </c>
      <c r="P16" s="54">
        <v>0</v>
      </c>
      <c r="Q16" s="53">
        <v>0</v>
      </c>
      <c r="R16" s="54">
        <v>0</v>
      </c>
      <c r="S16" s="55">
        <v>2</v>
      </c>
      <c r="T16" s="54">
        <v>1</v>
      </c>
    </row>
    <row r="17" spans="1:23" s="18" customFormat="1" ht="13.5" customHeight="1">
      <c r="A17" s="59">
        <v>201910</v>
      </c>
      <c r="B17" s="57">
        <v>1</v>
      </c>
      <c r="C17" s="57">
        <v>0</v>
      </c>
      <c r="D17" s="58">
        <v>0</v>
      </c>
      <c r="E17" s="57">
        <v>0</v>
      </c>
      <c r="F17" s="58">
        <v>0</v>
      </c>
      <c r="G17" s="57">
        <v>1</v>
      </c>
      <c r="H17" s="58">
        <v>1</v>
      </c>
      <c r="I17" s="125"/>
      <c r="J17" s="125"/>
      <c r="K17" s="125"/>
      <c r="M17" s="59">
        <v>201910</v>
      </c>
      <c r="N17" s="57" t="s">
        <v>124</v>
      </c>
      <c r="O17" s="57" t="s">
        <v>124</v>
      </c>
      <c r="P17" s="57" t="s">
        <v>124</v>
      </c>
      <c r="Q17" s="57" t="s">
        <v>124</v>
      </c>
      <c r="R17" s="57" t="s">
        <v>124</v>
      </c>
      <c r="S17" s="57" t="s">
        <v>124</v>
      </c>
      <c r="T17" s="57" t="s">
        <v>124</v>
      </c>
    </row>
    <row r="18" spans="1:23" s="18" customFormat="1" ht="13.5" customHeight="1">
      <c r="A18" s="59">
        <v>201920</v>
      </c>
      <c r="B18" s="57" t="s">
        <v>124</v>
      </c>
      <c r="C18" s="57" t="s">
        <v>124</v>
      </c>
      <c r="D18" s="57" t="s">
        <v>124</v>
      </c>
      <c r="E18" s="57" t="s">
        <v>124</v>
      </c>
      <c r="F18" s="57" t="s">
        <v>124</v>
      </c>
      <c r="G18" s="57" t="s">
        <v>124</v>
      </c>
      <c r="H18" s="57" t="s">
        <v>124</v>
      </c>
      <c r="I18" s="33"/>
      <c r="J18" s="33"/>
      <c r="K18" s="33"/>
      <c r="M18" s="59">
        <v>201920</v>
      </c>
      <c r="N18" s="57" t="s">
        <v>124</v>
      </c>
      <c r="O18" s="57" t="s">
        <v>124</v>
      </c>
      <c r="P18" s="57" t="s">
        <v>124</v>
      </c>
      <c r="Q18" s="57" t="s">
        <v>124</v>
      </c>
      <c r="R18" s="57" t="s">
        <v>124</v>
      </c>
      <c r="S18" s="57" t="s">
        <v>124</v>
      </c>
      <c r="T18" s="57" t="s">
        <v>124</v>
      </c>
    </row>
    <row r="19" spans="1:23" s="18" customFormat="1" ht="13.5" customHeight="1">
      <c r="A19" s="59">
        <v>202010</v>
      </c>
      <c r="B19" s="57">
        <v>11</v>
      </c>
      <c r="C19" s="57">
        <v>1</v>
      </c>
      <c r="D19" s="58">
        <v>9.0909090909090912E-2</v>
      </c>
      <c r="E19" s="57">
        <v>0</v>
      </c>
      <c r="F19" s="58">
        <v>0</v>
      </c>
      <c r="G19" s="57">
        <v>10</v>
      </c>
      <c r="H19" s="58">
        <v>0.90909090909090906</v>
      </c>
      <c r="I19" s="125"/>
      <c r="J19" s="125"/>
      <c r="K19" s="125"/>
      <c r="M19" s="59">
        <v>202010</v>
      </c>
      <c r="N19" s="57">
        <v>9</v>
      </c>
      <c r="O19" s="57">
        <v>1</v>
      </c>
      <c r="P19" s="54">
        <v>0.1111111111111111</v>
      </c>
      <c r="Q19" s="57">
        <v>0</v>
      </c>
      <c r="R19" s="54">
        <v>0</v>
      </c>
      <c r="S19" s="57">
        <v>8</v>
      </c>
      <c r="T19" s="54">
        <v>0.88888888888888884</v>
      </c>
    </row>
    <row r="20" spans="1:23" s="18" customFormat="1" ht="13.5" customHeight="1">
      <c r="A20" s="59">
        <v>202020</v>
      </c>
      <c r="B20" s="57">
        <v>3</v>
      </c>
      <c r="C20" s="57">
        <v>1</v>
      </c>
      <c r="D20" s="58">
        <v>0.33333333333333331</v>
      </c>
      <c r="E20" s="57">
        <v>0</v>
      </c>
      <c r="F20" s="58">
        <v>0</v>
      </c>
      <c r="G20" s="57">
        <v>2</v>
      </c>
      <c r="H20" s="58">
        <v>0.66666666666666663</v>
      </c>
      <c r="I20" s="125"/>
      <c r="J20" s="125"/>
      <c r="K20" s="125"/>
      <c r="M20" s="59">
        <v>202020</v>
      </c>
      <c r="N20" s="57">
        <v>1</v>
      </c>
      <c r="O20" s="57">
        <v>0</v>
      </c>
      <c r="P20" s="54">
        <v>0</v>
      </c>
      <c r="Q20" s="57">
        <v>0</v>
      </c>
      <c r="R20" s="54">
        <v>0</v>
      </c>
      <c r="S20" s="57">
        <v>1</v>
      </c>
      <c r="T20" s="54">
        <v>1</v>
      </c>
    </row>
    <row r="21" spans="1:23" s="18" customFormat="1" ht="13.5" customHeight="1">
      <c r="A21" s="59">
        <v>202110</v>
      </c>
      <c r="B21" s="57">
        <v>1</v>
      </c>
      <c r="C21" s="57">
        <v>0</v>
      </c>
      <c r="D21" s="58">
        <v>0</v>
      </c>
      <c r="E21" s="57">
        <v>0</v>
      </c>
      <c r="F21" s="58">
        <v>0</v>
      </c>
      <c r="G21" s="57">
        <v>1</v>
      </c>
      <c r="H21" s="58">
        <v>1</v>
      </c>
      <c r="I21" s="125"/>
      <c r="J21" s="125"/>
      <c r="K21" s="125"/>
      <c r="M21" s="59">
        <v>202110</v>
      </c>
      <c r="N21" s="57">
        <v>1</v>
      </c>
      <c r="O21" s="57">
        <v>0</v>
      </c>
      <c r="P21" s="54">
        <v>0</v>
      </c>
      <c r="Q21" s="57">
        <v>0</v>
      </c>
      <c r="R21" s="54">
        <v>0</v>
      </c>
      <c r="S21" s="57">
        <v>1</v>
      </c>
      <c r="T21" s="54">
        <v>1</v>
      </c>
    </row>
    <row r="22" spans="1:23" s="18" customFormat="1" ht="13.5" customHeight="1">
      <c r="A22" s="59">
        <v>202120</v>
      </c>
      <c r="B22" s="57">
        <v>1</v>
      </c>
      <c r="C22" s="57">
        <v>0</v>
      </c>
      <c r="D22" s="58">
        <v>0</v>
      </c>
      <c r="E22" s="57">
        <v>0</v>
      </c>
      <c r="F22" s="58">
        <v>0</v>
      </c>
      <c r="G22" s="57">
        <v>1</v>
      </c>
      <c r="H22" s="58">
        <v>1</v>
      </c>
      <c r="I22" s="125"/>
      <c r="J22" s="125"/>
      <c r="K22" s="125"/>
      <c r="M22" s="59">
        <v>202120</v>
      </c>
      <c r="N22" s="57">
        <v>1</v>
      </c>
      <c r="O22" s="57">
        <v>0</v>
      </c>
      <c r="P22" s="54">
        <v>0</v>
      </c>
      <c r="Q22" s="57">
        <v>0</v>
      </c>
      <c r="R22" s="54">
        <v>0</v>
      </c>
      <c r="S22" s="57">
        <v>1</v>
      </c>
      <c r="T22" s="54">
        <v>1</v>
      </c>
    </row>
    <row r="23" spans="1:23" s="18" customFormat="1" ht="13.5" customHeight="1">
      <c r="A23" s="98">
        <v>202210</v>
      </c>
      <c r="B23" s="103" cm="1">
        <f t="array" ref="B23">IF(RIGHT($A23,2)="10",_xlfn.XLOOKUP("LCS"&amp;$A23,[1]PROGRAMA!$A:$A&amp;[1]PROGRAMA!$B:$B,[1]PROGRAMA!C:C,0),_xlfn.XLOOKUP("LCS"&amp;$A23,[2]PROGRAMA!$A:$A&amp;[2]PROGRAMA!$B:$B,[2]PROGRAMA!C:C,0))</f>
        <v>4</v>
      </c>
      <c r="C23" s="103" cm="1">
        <f t="array" ref="C23">IF(RIGHT($A23,2)="10",_xlfn.XLOOKUP("LCS"&amp;$A23,[1]PROGRAMA!$A:$A&amp;[1]PROGRAMA!$B:$B,[1]PROGRAMA!D:D,0),_xlfn.XLOOKUP("LCS"&amp;$A23,[2]PROGRAMA!$A:$A&amp;[2]PROGRAMA!$B:$B,[2]PROGRAMA!D:D,0))</f>
        <v>0</v>
      </c>
      <c r="D23" s="68">
        <f>IFERROR(C23/$B23,0)</f>
        <v>0</v>
      </c>
      <c r="E23" s="103" cm="1">
        <f t="array" ref="E23">IF(RIGHT($A23,2)="10",_xlfn.XLOOKUP("LCS"&amp;$A23,[1]PROGRAMA!$A:$A&amp;[1]PROGRAMA!$B:$B,[1]PROGRAMA!E:E,0),_xlfn.XLOOKUP("LCS"&amp;$A23,[2]PROGRAMA!$A:$A&amp;[2]PROGRAMA!$B:$B,[2]PROGRAMA!E:E,0))</f>
        <v>0</v>
      </c>
      <c r="F23" s="68">
        <f>IFERROR(E23/$B23,0)</f>
        <v>0</v>
      </c>
      <c r="G23" s="104">
        <f>B23-C23</f>
        <v>4</v>
      </c>
      <c r="H23" s="68">
        <f>IFERROR(G23/$B23,0)</f>
        <v>1</v>
      </c>
      <c r="I23" s="128"/>
      <c r="J23" s="128"/>
      <c r="K23" s="128"/>
      <c r="L23" s="7"/>
      <c r="M23" s="98">
        <v>202210</v>
      </c>
      <c r="N23" s="103" cm="1">
        <f t="array" ref="N23">IF(RIGHT($A23,2)="10",_xlfn.XLOOKUP("LCS"&amp;$A23,'[1]PROGRAMA 123'!$A:$A&amp;'[1]PROGRAMA 123'!$B:$B,'[1]PROGRAMA 123'!C:C,0),_xlfn.XLOOKUP("LCS"&amp;$A23,'[2]PROGRAMA 123'!$A:$A&amp;'[2]PROGRAMA 123'!$B:$B,'[2]PROGRAMA 123'!C:C,0))</f>
        <v>3</v>
      </c>
      <c r="O23" s="103" cm="1">
        <f t="array" ref="O23">IF(RIGHT($A23,2)="10",_xlfn.XLOOKUP("LCS"&amp;$A23,'[1]PROGRAMA 123'!$A:$A&amp;'[1]PROGRAMA 123'!$B:$B,'[1]PROGRAMA 123'!D:D,0),_xlfn.XLOOKUP("LCS"&amp;$A23,'[2]PROGRAMA 123'!$A:$A&amp;'[2]PROGRAMA 123'!$B:$B,'[2]PROGRAMA 123'!D:D,0))</f>
        <v>0</v>
      </c>
      <c r="P23" s="68">
        <f>IFERROR(O23/$N23,0)</f>
        <v>0</v>
      </c>
      <c r="Q23" s="103" cm="1">
        <f t="array" ref="Q23">IF(RIGHT($A23,2)="10",_xlfn.XLOOKUP("LCS"&amp;$A23,'[1]PROGRAMA 123'!$A:$A&amp;'[1]PROGRAMA 123'!$B:$B,'[1]PROGRAMA 123'!E:E,0),_xlfn.XLOOKUP("LCS"&amp;$A23,'[2]PROGRAMA 123'!$A:$A&amp;'[2]PROGRAMA 123'!$B:$B,'[2]PROGRAMA 123'!E:E,0))</f>
        <v>0</v>
      </c>
      <c r="R23" s="68">
        <f>IFERROR(Q23/$N23,0)</f>
        <v>0</v>
      </c>
      <c r="S23" s="104">
        <f>N23-O23</f>
        <v>3</v>
      </c>
      <c r="T23" s="68">
        <f>IFERROR(S23/$N23,0)</f>
        <v>1</v>
      </c>
    </row>
    <row r="24" spans="1:23" s="18" customFormat="1" ht="13.5" customHeight="1">
      <c r="A24" s="98">
        <v>202220</v>
      </c>
      <c r="B24" s="103" cm="1">
        <f t="array" ref="B24">IF(RIGHT($A24,2)="10",_xlfn.XLOOKUP("LCS"&amp;$A24,[1]PROGRAMA!$A:$A&amp;[1]PROGRAMA!$B:$B,[1]PROGRAMA!C:C,0),_xlfn.XLOOKUP("LCS"&amp;$A24,[2]PROGRAMA!$A:$A&amp;[2]PROGRAMA!$B:$B,[2]PROGRAMA!C:C,0))</f>
        <v>2</v>
      </c>
      <c r="C24" s="103" cm="1">
        <f t="array" ref="C24">IF(RIGHT($A24,2)="10",_xlfn.XLOOKUP("LCS"&amp;$A24,[1]PROGRAMA!$A:$A&amp;[1]PROGRAMA!$B:$B,[1]PROGRAMA!D:D,0),_xlfn.XLOOKUP("LCS"&amp;$A24,[2]PROGRAMA!$A:$A&amp;[2]PROGRAMA!$B:$B,[2]PROGRAMA!D:D,0))</f>
        <v>0</v>
      </c>
      <c r="D24" s="68">
        <f>IFERROR(C24/$B24,0)</f>
        <v>0</v>
      </c>
      <c r="E24" s="103" cm="1">
        <f t="array" ref="E24">IF(RIGHT($A24,2)="10",_xlfn.XLOOKUP("LCS"&amp;$A24,[1]PROGRAMA!$A:$A&amp;[1]PROGRAMA!$B:$B,[1]PROGRAMA!E:E,0),_xlfn.XLOOKUP("LCS"&amp;$A24,[2]PROGRAMA!$A:$A&amp;[2]PROGRAMA!$B:$B,[2]PROGRAMA!E:E,0))</f>
        <v>0</v>
      </c>
      <c r="F24" s="68">
        <f>IFERROR(E24/$B24,0)</f>
        <v>0</v>
      </c>
      <c r="G24" s="104">
        <f>B24-C24</f>
        <v>2</v>
      </c>
      <c r="H24" s="68">
        <f>IFERROR(G24/$B24,0)</f>
        <v>1</v>
      </c>
      <c r="I24" s="128"/>
      <c r="J24" s="128"/>
      <c r="K24" s="128"/>
      <c r="L24" s="7"/>
      <c r="M24" s="98">
        <v>202220</v>
      </c>
      <c r="N24" s="103" cm="1">
        <f t="array" ref="N24">IF(RIGHT($A24,2)="10",_xlfn.XLOOKUP("LCS"&amp;$A24,'[1]PROGRAMA 123'!$A:$A&amp;'[1]PROGRAMA 123'!$B:$B,'[1]PROGRAMA 123'!C:C,0),_xlfn.XLOOKUP("LCS"&amp;$A24,'[2]PROGRAMA 123'!$A:$A&amp;'[2]PROGRAMA 123'!$B:$B,'[2]PROGRAMA 123'!C:C,0))</f>
        <v>2</v>
      </c>
      <c r="O24" s="103" cm="1">
        <f t="array" ref="O24">IF(RIGHT($A24,2)="10",_xlfn.XLOOKUP("LCS"&amp;$A24,'[1]PROGRAMA 123'!$A:$A&amp;'[1]PROGRAMA 123'!$B:$B,'[1]PROGRAMA 123'!D:D,0),_xlfn.XLOOKUP("LCS"&amp;$A24,'[2]PROGRAMA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IF(RIGHT($A24,2)="10",_xlfn.XLOOKUP("LCS"&amp;$A24,'[1]PROGRAMA 123'!$A:$A&amp;'[1]PROGRAMA 123'!$B:$B,'[1]PROGRAMA 123'!E:E,0),_xlfn.XLOOKUP("LCS"&amp;$A24,'[2]PROGRAMA 123'!$A:$A&amp;'[2]PROGRAMA 123'!$B:$B,'[2]PROGRAMA 123'!E:E,0))</f>
        <v>0</v>
      </c>
      <c r="R24" s="68">
        <f>IFERROR(Q24/$N24,0)</f>
        <v>0</v>
      </c>
      <c r="S24" s="104">
        <f>N24-O24</f>
        <v>2</v>
      </c>
      <c r="T24" s="68">
        <f>IFERROR(S24/$N24,0)</f>
        <v>1</v>
      </c>
    </row>
    <row r="25" spans="1:23" s="18" customFormat="1" ht="13.5" customHeight="1">
      <c r="A25" s="98" t="s">
        <v>239</v>
      </c>
      <c r="B25" s="103">
        <v>4</v>
      </c>
      <c r="C25" s="103">
        <v>0</v>
      </c>
      <c r="D25" s="68">
        <v>0</v>
      </c>
      <c r="E25" s="103">
        <v>0</v>
      </c>
      <c r="F25" s="68">
        <v>0</v>
      </c>
      <c r="G25" s="104">
        <v>4</v>
      </c>
      <c r="H25" s="68">
        <v>1</v>
      </c>
      <c r="I25" s="128"/>
      <c r="J25" s="128"/>
      <c r="K25" s="128"/>
      <c r="L25" s="7"/>
      <c r="M25" s="98" t="s">
        <v>239</v>
      </c>
      <c r="N25" s="103">
        <v>4</v>
      </c>
      <c r="O25" s="103">
        <v>0</v>
      </c>
      <c r="P25" s="68">
        <v>0</v>
      </c>
      <c r="Q25" s="103">
        <v>0</v>
      </c>
      <c r="R25" s="68">
        <v>0</v>
      </c>
      <c r="S25" s="104">
        <v>4</v>
      </c>
      <c r="T25" s="68">
        <v>1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 t="str">
        <f>D5</f>
        <v>-</v>
      </c>
      <c r="B29" s="37" t="str">
        <f>E5</f>
        <v>-</v>
      </c>
      <c r="C29" s="37" t="str">
        <f>F5</f>
        <v>-</v>
      </c>
      <c r="D29" s="32">
        <f>D11</f>
        <v>0</v>
      </c>
      <c r="E29" s="37" t="str">
        <f>H5</f>
        <v>-</v>
      </c>
      <c r="F29" s="32">
        <f>((B14*D14)+(B15*D15))/(B14+B15)</f>
        <v>0</v>
      </c>
      <c r="G29" s="32">
        <f>((B16*D16)+(B17*D17))/(B16+B17)</f>
        <v>0</v>
      </c>
      <c r="H29" s="32">
        <f>D19</f>
        <v>9.0909090909090912E-2</v>
      </c>
      <c r="I29" s="32">
        <f>((B20*D20)+(B21*D21))/(B20+B21)</f>
        <v>0.25</v>
      </c>
      <c r="J29" s="32">
        <f>SUM(C22:C23)/SUM(B22:B23)</f>
        <v>0</v>
      </c>
      <c r="K29" s="32">
        <f>D24</f>
        <v>0</v>
      </c>
      <c r="L29" s="6"/>
      <c r="M29" s="37" t="str">
        <f>P5</f>
        <v>-</v>
      </c>
      <c r="N29" s="37" t="str">
        <f>Q5</f>
        <v>-</v>
      </c>
      <c r="O29" s="37" t="str">
        <f>R5</f>
        <v>-</v>
      </c>
      <c r="P29" s="32">
        <f>P11</f>
        <v>0</v>
      </c>
      <c r="Q29" s="37" t="str">
        <f>T5</f>
        <v>-</v>
      </c>
      <c r="R29" s="32">
        <f>((N14*P14)+(N15*P15))/(N14+N15)</f>
        <v>0</v>
      </c>
      <c r="S29" s="117">
        <f>P16</f>
        <v>0</v>
      </c>
      <c r="T29" s="32">
        <f>P19</f>
        <v>0.1111111111111111</v>
      </c>
      <c r="U29" s="32">
        <f>((N20*P20)+(N21*P21))/(N20+N21)</f>
        <v>0</v>
      </c>
      <c r="V29" s="32">
        <f>SUM(O22:O23)/SUM(N22:N23)</f>
        <v>0</v>
      </c>
      <c r="W29" s="32">
        <f>P24</f>
        <v>0</v>
      </c>
    </row>
    <row r="30" spans="1:23" hidden="1">
      <c r="A30" s="206" t="s">
        <v>237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237</v>
      </c>
      <c r="N30" s="206"/>
      <c r="O30" s="206"/>
      <c r="P30" s="206"/>
      <c r="Q30" s="206"/>
      <c r="R30" s="206"/>
      <c r="S30" s="206"/>
      <c r="T30" s="7"/>
    </row>
    <row r="31" spans="1:23">
      <c r="N31" s="7"/>
      <c r="O31" s="7"/>
      <c r="P31" s="7"/>
      <c r="Q31" s="7"/>
      <c r="R31" s="7"/>
      <c r="S31" s="7"/>
      <c r="T31" s="7"/>
    </row>
  </sheetData>
  <mergeCells count="9">
    <mergeCell ref="A1:H1"/>
    <mergeCell ref="M1:T1"/>
    <mergeCell ref="M30:S30"/>
    <mergeCell ref="A3:H3"/>
    <mergeCell ref="A2:H2"/>
    <mergeCell ref="M3:T3"/>
    <mergeCell ref="A30:L30"/>
    <mergeCell ref="M27:W27"/>
    <mergeCell ref="A27:K27"/>
  </mergeCells>
  <pageMargins left="0.7" right="0.7" top="0.75" bottom="0.75" header="0.3" footer="0.3"/>
  <pageSetup orientation="portrait" r:id="rId1"/>
  <ignoredErrors>
    <ignoredError sqref="D29 P29 L23:O24 Q23:Q24 S23:S24 E23:J24" formula="1"/>
    <ignoredError sqref="M25:T25 A25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06"/>
      <c r="B2" s="206"/>
      <c r="C2" s="206"/>
      <c r="D2" s="206"/>
      <c r="E2" s="206"/>
      <c r="F2" s="206"/>
      <c r="G2" s="206"/>
      <c r="H2" s="206"/>
      <c r="I2" s="13"/>
      <c r="J2" s="13"/>
      <c r="K2" s="13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24" t="s">
        <v>227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228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K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7" t="s">
        <v>124</v>
      </c>
      <c r="C10" s="57" t="s">
        <v>124</v>
      </c>
      <c r="D10" s="57" t="s">
        <v>124</v>
      </c>
      <c r="E10" s="57" t="s">
        <v>124</v>
      </c>
      <c r="F10" s="57" t="s">
        <v>124</v>
      </c>
      <c r="G10" s="57" t="s">
        <v>124</v>
      </c>
      <c r="H10" s="57" t="s">
        <v>124</v>
      </c>
      <c r="I10" s="33"/>
      <c r="J10" s="33"/>
      <c r="K10" s="33"/>
      <c r="M10" s="55">
        <v>201520</v>
      </c>
      <c r="N10" s="57" t="s">
        <v>124</v>
      </c>
      <c r="O10" s="57" t="s">
        <v>124</v>
      </c>
      <c r="P10" s="57" t="s">
        <v>124</v>
      </c>
      <c r="Q10" s="57" t="s">
        <v>124</v>
      </c>
      <c r="R10" s="57" t="s">
        <v>124</v>
      </c>
      <c r="S10" s="57" t="s">
        <v>124</v>
      </c>
      <c r="T10" s="57" t="s">
        <v>124</v>
      </c>
    </row>
    <row r="11" spans="1:20" ht="13.5" customHeight="1">
      <c r="A11" s="59">
        <v>201610</v>
      </c>
      <c r="B11" s="53">
        <v>4</v>
      </c>
      <c r="C11" s="53">
        <v>1</v>
      </c>
      <c r="D11" s="54">
        <v>0.25</v>
      </c>
      <c r="E11" s="53">
        <v>0</v>
      </c>
      <c r="F11" s="54">
        <v>0</v>
      </c>
      <c r="G11" s="55">
        <v>3</v>
      </c>
      <c r="H11" s="54">
        <v>0.75</v>
      </c>
      <c r="I11" s="23"/>
      <c r="J11" s="23"/>
      <c r="K11" s="23"/>
      <c r="M11" s="55">
        <v>201610</v>
      </c>
      <c r="N11" s="53">
        <v>4</v>
      </c>
      <c r="O11" s="53">
        <v>1</v>
      </c>
      <c r="P11" s="54">
        <v>0.25</v>
      </c>
      <c r="Q11" s="53">
        <v>0</v>
      </c>
      <c r="R11" s="54">
        <v>0</v>
      </c>
      <c r="S11" s="55">
        <v>3</v>
      </c>
      <c r="T11" s="54">
        <v>0.75</v>
      </c>
    </row>
    <row r="12" spans="1:20" ht="13.5" customHeight="1">
      <c r="A12" s="59">
        <v>201620</v>
      </c>
      <c r="B12" s="57">
        <v>2</v>
      </c>
      <c r="C12" s="57">
        <v>0</v>
      </c>
      <c r="D12" s="58">
        <v>0</v>
      </c>
      <c r="E12" s="57">
        <v>0</v>
      </c>
      <c r="F12" s="58">
        <v>0</v>
      </c>
      <c r="G12" s="57">
        <v>2</v>
      </c>
      <c r="H12" s="58">
        <v>1</v>
      </c>
      <c r="I12" s="125"/>
      <c r="J12" s="125"/>
      <c r="K12" s="125"/>
      <c r="M12" s="55">
        <v>201620</v>
      </c>
      <c r="N12" s="57">
        <v>2</v>
      </c>
      <c r="O12" s="57">
        <v>0</v>
      </c>
      <c r="P12" s="58">
        <v>0</v>
      </c>
      <c r="Q12" s="57">
        <v>0</v>
      </c>
      <c r="R12" s="58">
        <v>0</v>
      </c>
      <c r="S12" s="57">
        <v>2</v>
      </c>
      <c r="T12" s="58">
        <v>1</v>
      </c>
    </row>
    <row r="13" spans="1:20" ht="13.5" customHeight="1">
      <c r="A13" s="59">
        <v>201710</v>
      </c>
      <c r="B13" s="53">
        <v>2</v>
      </c>
      <c r="C13" s="53">
        <v>0</v>
      </c>
      <c r="D13" s="54">
        <v>0</v>
      </c>
      <c r="E13" s="53">
        <v>0</v>
      </c>
      <c r="F13" s="54">
        <v>0</v>
      </c>
      <c r="G13" s="55">
        <v>2</v>
      </c>
      <c r="H13" s="54">
        <v>1</v>
      </c>
      <c r="I13" s="23"/>
      <c r="J13" s="23"/>
      <c r="K13" s="23"/>
      <c r="M13" s="55">
        <v>201710</v>
      </c>
      <c r="N13" s="53">
        <v>2</v>
      </c>
      <c r="O13" s="53">
        <v>0</v>
      </c>
      <c r="P13" s="54">
        <v>0</v>
      </c>
      <c r="Q13" s="53">
        <v>0</v>
      </c>
      <c r="R13" s="54">
        <v>0</v>
      </c>
      <c r="S13" s="55">
        <v>2</v>
      </c>
      <c r="T13" s="54">
        <v>1</v>
      </c>
    </row>
    <row r="14" spans="1:20" ht="13.5" customHeight="1">
      <c r="A14" s="59">
        <v>201720</v>
      </c>
      <c r="B14" s="57">
        <v>2</v>
      </c>
      <c r="C14" s="57">
        <v>2</v>
      </c>
      <c r="D14" s="58">
        <v>1</v>
      </c>
      <c r="E14" s="57">
        <v>0</v>
      </c>
      <c r="F14" s="58">
        <v>0</v>
      </c>
      <c r="G14" s="57">
        <v>0</v>
      </c>
      <c r="H14" s="58">
        <v>0</v>
      </c>
      <c r="I14" s="125"/>
      <c r="J14" s="125"/>
      <c r="K14" s="125"/>
      <c r="M14" s="55">
        <v>201720</v>
      </c>
      <c r="N14" s="53">
        <v>2</v>
      </c>
      <c r="O14" s="53">
        <v>2</v>
      </c>
      <c r="P14" s="54">
        <v>1</v>
      </c>
      <c r="Q14" s="53">
        <v>0</v>
      </c>
      <c r="R14" s="54">
        <v>0</v>
      </c>
      <c r="S14" s="55">
        <v>0</v>
      </c>
      <c r="T14" s="54">
        <v>0</v>
      </c>
    </row>
    <row r="15" spans="1:20" ht="13.5" customHeight="1">
      <c r="A15" s="59">
        <v>201810</v>
      </c>
      <c r="B15" s="57">
        <v>2</v>
      </c>
      <c r="C15" s="57">
        <v>0</v>
      </c>
      <c r="D15" s="58">
        <v>0</v>
      </c>
      <c r="E15" s="57">
        <v>0</v>
      </c>
      <c r="F15" s="58">
        <v>0</v>
      </c>
      <c r="G15" s="57">
        <v>2</v>
      </c>
      <c r="H15" s="58">
        <v>1</v>
      </c>
      <c r="I15" s="125"/>
      <c r="J15" s="125"/>
      <c r="K15" s="125"/>
      <c r="M15" s="55">
        <v>201810</v>
      </c>
      <c r="N15" s="53">
        <v>2</v>
      </c>
      <c r="O15" s="53">
        <v>0</v>
      </c>
      <c r="P15" s="54">
        <v>0</v>
      </c>
      <c r="Q15" s="53">
        <v>0</v>
      </c>
      <c r="R15" s="54">
        <v>0</v>
      </c>
      <c r="S15" s="55">
        <v>2</v>
      </c>
      <c r="T15" s="54">
        <v>1</v>
      </c>
    </row>
    <row r="16" spans="1:20" ht="13.5" customHeight="1">
      <c r="A16" s="59">
        <v>201820</v>
      </c>
      <c r="B16" s="57" t="s">
        <v>124</v>
      </c>
      <c r="C16" s="57" t="s">
        <v>124</v>
      </c>
      <c r="D16" s="57" t="s">
        <v>124</v>
      </c>
      <c r="E16" s="57" t="s">
        <v>124</v>
      </c>
      <c r="F16" s="57" t="s">
        <v>124</v>
      </c>
      <c r="G16" s="57" t="s">
        <v>124</v>
      </c>
      <c r="H16" s="57" t="s">
        <v>124</v>
      </c>
      <c r="I16" s="33"/>
      <c r="J16" s="33"/>
      <c r="K16" s="33"/>
      <c r="M16" s="59">
        <v>201820</v>
      </c>
      <c r="N16" s="57" t="s">
        <v>124</v>
      </c>
      <c r="O16" s="57" t="s">
        <v>124</v>
      </c>
      <c r="P16" s="57" t="s">
        <v>124</v>
      </c>
      <c r="Q16" s="57" t="s">
        <v>124</v>
      </c>
      <c r="R16" s="57" t="s">
        <v>124</v>
      </c>
      <c r="S16" s="57" t="s">
        <v>124</v>
      </c>
      <c r="T16" s="57" t="s">
        <v>124</v>
      </c>
    </row>
    <row r="17" spans="1:23" s="18" customFormat="1" ht="13.5" customHeight="1">
      <c r="A17" s="59">
        <v>201910</v>
      </c>
      <c r="B17" s="57" t="s">
        <v>124</v>
      </c>
      <c r="C17" s="57" t="s">
        <v>124</v>
      </c>
      <c r="D17" s="57" t="s">
        <v>124</v>
      </c>
      <c r="E17" s="57" t="s">
        <v>124</v>
      </c>
      <c r="F17" s="57" t="s">
        <v>124</v>
      </c>
      <c r="G17" s="57" t="s">
        <v>124</v>
      </c>
      <c r="H17" s="57" t="s">
        <v>124</v>
      </c>
      <c r="I17" s="33"/>
      <c r="J17" s="33"/>
      <c r="K17" s="33"/>
      <c r="M17" s="59">
        <v>201910</v>
      </c>
      <c r="N17" s="57" t="s">
        <v>124</v>
      </c>
      <c r="O17" s="57" t="s">
        <v>124</v>
      </c>
      <c r="P17" s="57" t="s">
        <v>124</v>
      </c>
      <c r="Q17" s="57" t="s">
        <v>124</v>
      </c>
      <c r="R17" s="57" t="s">
        <v>124</v>
      </c>
      <c r="S17" s="57" t="s">
        <v>124</v>
      </c>
      <c r="T17" s="57" t="s">
        <v>124</v>
      </c>
    </row>
    <row r="18" spans="1:23" s="18" customFormat="1" ht="13.5" customHeight="1">
      <c r="A18" s="59">
        <v>201920</v>
      </c>
      <c r="B18" s="57">
        <v>2</v>
      </c>
      <c r="C18" s="57">
        <v>0</v>
      </c>
      <c r="D18" s="58">
        <v>0</v>
      </c>
      <c r="E18" s="57">
        <v>0</v>
      </c>
      <c r="F18" s="58">
        <v>0</v>
      </c>
      <c r="G18" s="57">
        <v>2</v>
      </c>
      <c r="H18" s="58">
        <v>1</v>
      </c>
      <c r="I18" s="125"/>
      <c r="J18" s="125"/>
      <c r="K18" s="125"/>
      <c r="M18" s="59">
        <v>201920</v>
      </c>
      <c r="N18" s="57">
        <v>2</v>
      </c>
      <c r="O18" s="57">
        <v>0</v>
      </c>
      <c r="P18" s="54">
        <v>0</v>
      </c>
      <c r="Q18" s="57">
        <v>0</v>
      </c>
      <c r="R18" s="54">
        <v>0</v>
      </c>
      <c r="S18" s="57">
        <v>2</v>
      </c>
      <c r="T18" s="54">
        <v>1</v>
      </c>
    </row>
    <row r="19" spans="1:23" s="18" customFormat="1" ht="13.5" customHeight="1">
      <c r="A19" s="59">
        <v>202010</v>
      </c>
      <c r="B19" s="57">
        <v>3</v>
      </c>
      <c r="C19" s="57">
        <v>2</v>
      </c>
      <c r="D19" s="58">
        <v>0.66666666666666663</v>
      </c>
      <c r="E19" s="57">
        <v>0</v>
      </c>
      <c r="F19" s="58">
        <v>0</v>
      </c>
      <c r="G19" s="57">
        <v>1</v>
      </c>
      <c r="H19" s="58">
        <v>0.33333333333333331</v>
      </c>
      <c r="I19" s="125"/>
      <c r="J19" s="125"/>
      <c r="K19" s="125"/>
      <c r="M19" s="59">
        <v>202010</v>
      </c>
      <c r="N19" s="57">
        <v>1</v>
      </c>
      <c r="O19" s="57">
        <v>1</v>
      </c>
      <c r="P19" s="54">
        <v>1</v>
      </c>
      <c r="Q19" s="57">
        <v>0</v>
      </c>
      <c r="R19" s="54">
        <v>0</v>
      </c>
      <c r="S19" s="57">
        <v>0</v>
      </c>
      <c r="T19" s="54">
        <v>0</v>
      </c>
    </row>
    <row r="20" spans="1:23" s="18" customFormat="1" ht="13.5" customHeight="1">
      <c r="A20" s="59">
        <v>202020</v>
      </c>
      <c r="B20" s="57" t="s">
        <v>124</v>
      </c>
      <c r="C20" s="57" t="s">
        <v>124</v>
      </c>
      <c r="D20" s="57" t="s">
        <v>124</v>
      </c>
      <c r="E20" s="57" t="s">
        <v>124</v>
      </c>
      <c r="F20" s="57" t="s">
        <v>124</v>
      </c>
      <c r="G20" s="57" t="s">
        <v>124</v>
      </c>
      <c r="H20" s="57" t="s">
        <v>124</v>
      </c>
      <c r="I20" s="125"/>
      <c r="J20" s="125"/>
      <c r="K20" s="125"/>
      <c r="M20" s="59">
        <v>202020</v>
      </c>
      <c r="N20" s="57" t="s">
        <v>124</v>
      </c>
      <c r="O20" s="57" t="s">
        <v>124</v>
      </c>
      <c r="P20" s="57" t="s">
        <v>124</v>
      </c>
      <c r="Q20" s="57" t="s">
        <v>124</v>
      </c>
      <c r="R20" s="57" t="s">
        <v>124</v>
      </c>
      <c r="S20" s="57" t="s">
        <v>124</v>
      </c>
      <c r="T20" s="57" t="s">
        <v>124</v>
      </c>
    </row>
    <row r="21" spans="1:23" s="18" customFormat="1" ht="13.5" customHeight="1">
      <c r="A21" s="59">
        <v>202110</v>
      </c>
      <c r="B21" s="57" t="s">
        <v>124</v>
      </c>
      <c r="C21" s="57" t="s">
        <v>124</v>
      </c>
      <c r="D21" s="57" t="s">
        <v>124</v>
      </c>
      <c r="E21" s="57" t="s">
        <v>124</v>
      </c>
      <c r="F21" s="57" t="s">
        <v>124</v>
      </c>
      <c r="G21" s="57" t="s">
        <v>124</v>
      </c>
      <c r="H21" s="57" t="s">
        <v>124</v>
      </c>
      <c r="I21" s="125"/>
      <c r="J21" s="125"/>
      <c r="K21" s="125"/>
      <c r="M21" s="59">
        <v>202110</v>
      </c>
      <c r="N21" s="57" t="s">
        <v>124</v>
      </c>
      <c r="O21" s="57" t="s">
        <v>124</v>
      </c>
      <c r="P21" s="57" t="s">
        <v>124</v>
      </c>
      <c r="Q21" s="57" t="s">
        <v>124</v>
      </c>
      <c r="R21" s="57" t="s">
        <v>124</v>
      </c>
      <c r="S21" s="57" t="s">
        <v>124</v>
      </c>
      <c r="T21" s="57" t="s">
        <v>124</v>
      </c>
    </row>
    <row r="22" spans="1:23" s="18" customFormat="1" ht="13.5" customHeight="1">
      <c r="A22" s="59">
        <v>202120</v>
      </c>
      <c r="B22" s="57">
        <v>2</v>
      </c>
      <c r="C22" s="57">
        <v>0</v>
      </c>
      <c r="D22" s="58">
        <v>0</v>
      </c>
      <c r="E22" s="57">
        <v>0</v>
      </c>
      <c r="F22" s="58">
        <v>0</v>
      </c>
      <c r="G22" s="57">
        <v>2</v>
      </c>
      <c r="H22" s="58">
        <v>1</v>
      </c>
      <c r="I22" s="125"/>
      <c r="J22" s="125"/>
      <c r="K22" s="125"/>
      <c r="M22" s="59">
        <v>202120</v>
      </c>
      <c r="N22" s="57">
        <v>2</v>
      </c>
      <c r="O22" s="57">
        <v>0</v>
      </c>
      <c r="P22" s="54">
        <v>0</v>
      </c>
      <c r="Q22" s="57">
        <v>0</v>
      </c>
      <c r="R22" s="54">
        <v>0</v>
      </c>
      <c r="S22" s="57">
        <v>2</v>
      </c>
      <c r="T22" s="54">
        <v>1</v>
      </c>
    </row>
    <row r="23" spans="1:23" s="18" customFormat="1" ht="13.5" customHeight="1">
      <c r="A23" s="98">
        <v>202210</v>
      </c>
      <c r="B23" s="103" cm="1">
        <f t="array" ref="B23">IF(RIGHT($A23,2)="10",_xlfn.XLOOKUP("LCN"&amp;$A23,[1]PROGRAMA!$A:$A&amp;[1]PROGRAMA!$B:$B,[1]PROGRAMA!C:C,0),_xlfn.XLOOKUP("LCN"&amp;$A23,[2]PROGRAMA!$A:$A&amp;[2]PROGRAMA!$B:$B,[2]PROGRAMA!C:C,0))</f>
        <v>0</v>
      </c>
      <c r="C23" s="103" cm="1">
        <f t="array" ref="C23">IF(RIGHT($A23,2)="10",_xlfn.XLOOKUP("LCN"&amp;$A23,[1]PROGRAMA!$A:$A&amp;[1]PROGRAMA!$B:$B,[1]PROGRAMA!D:D,0),_xlfn.XLOOKUP("LCN"&amp;$A23,[2]PROGRAMA!$A:$A&amp;[2]PROGRAMA!$B:$B,[2]PROGRAMA!D:D,0))</f>
        <v>0</v>
      </c>
      <c r="D23" s="68">
        <f>IFERROR(C23/$B23,0)</f>
        <v>0</v>
      </c>
      <c r="E23" s="103" cm="1">
        <f t="array" ref="E23">IF(RIGHT($A23,2)="10",_xlfn.XLOOKUP("LCN"&amp;$A23,[1]PROGRAMA!$A:$A&amp;[1]PROGRAMA!$B:$B,[1]PROGRAMA!E:E,0),_xlfn.XLOOKUP("LCN"&amp;$A23,[2]PROGRAMA!$A:$A&amp;[2]PROGRAMA!$B:$B,[2]PROGRAMA!E:E,0))</f>
        <v>0</v>
      </c>
      <c r="F23" s="68">
        <f>IFERROR(E23/$B23,0)</f>
        <v>0</v>
      </c>
      <c r="G23" s="104">
        <f>B23-C23</f>
        <v>0</v>
      </c>
      <c r="H23" s="68">
        <f>IFERROR(G23/$B23,0)</f>
        <v>0</v>
      </c>
      <c r="I23" s="128"/>
      <c r="J23" s="128"/>
      <c r="K23" s="128"/>
      <c r="L23" s="7"/>
      <c r="M23" s="98">
        <v>202210</v>
      </c>
      <c r="N23" s="103" cm="1">
        <f t="array" ref="N23">IF(RIGHT($A23,2)="10",_xlfn.XLOOKUP("LCN"&amp;$A23,'[1]PROGRAMA 123'!$A:$A&amp;'[1]PROGRAMA 123'!$B:$B,'[1]PROGRAMA 123'!C:C,0),_xlfn.XLOOKUP("LCN"&amp;$A23,'[2]PROGRAMA 123'!$A:$A&amp;'[2]PROGRAMA 123'!$B:$B,'[2]PROGRAMA 123'!C:C,0))</f>
        <v>0</v>
      </c>
      <c r="O23" s="103" cm="1">
        <f t="array" ref="O23">IF(RIGHT($A23,2)="10",_xlfn.XLOOKUP("LCN"&amp;$A23,'[1]PROGRAMA 123'!$A:$A&amp;'[1]PROGRAMA 123'!$B:$B,'[1]PROGRAMA 123'!D:D,0),_xlfn.XLOOKUP("LCN"&amp;$A23,'[2]PROGRAMA 123'!$A:$A&amp;'[2]PROGRAMA 123'!$B:$B,'[2]PROGRAMA 123'!D:D,0))</f>
        <v>0</v>
      </c>
      <c r="P23" s="68">
        <f>IFERROR(O23/$N23,0)</f>
        <v>0</v>
      </c>
      <c r="Q23" s="103" cm="1">
        <f t="array" ref="Q23">IF(RIGHT($A23,2)="10",_xlfn.XLOOKUP("LCN"&amp;$A23,'[1]PROGRAMA 123'!$A:$A&amp;'[1]PROGRAMA 123'!$B:$B,'[1]PROGRAMA 123'!E:E,0),_xlfn.XLOOKUP("LCN"&amp;$A23,'[2]PROGRAMA 123'!$A:$A&amp;'[2]PROGRAMA 123'!$B:$B,'[2]PROGRAMA 123'!E:E,0))</f>
        <v>0</v>
      </c>
      <c r="R23" s="68">
        <f>IFERROR(Q23/$N23,0)</f>
        <v>0</v>
      </c>
      <c r="S23" s="104">
        <f>N23-O23</f>
        <v>0</v>
      </c>
      <c r="T23" s="68">
        <f>IFERROR(S23/$N23,0)</f>
        <v>0</v>
      </c>
    </row>
    <row r="24" spans="1:23" s="18" customFormat="1" ht="13.5" customHeight="1">
      <c r="A24" s="98">
        <v>202220</v>
      </c>
      <c r="B24" s="103" cm="1">
        <f t="array" ref="B24">IF(RIGHT($A24,2)="10",_xlfn.XLOOKUP("LCN"&amp;$A24,[1]PROGRAMA!$A:$A&amp;[1]PROGRAMA!$B:$B,[1]PROGRAMA!C:C,0),_xlfn.XLOOKUP("LCN"&amp;$A24,[2]PROGRAMA!$A:$A&amp;[2]PROGRAMA!$B:$B,[2]PROGRAMA!C:C,0))</f>
        <v>3</v>
      </c>
      <c r="C24" s="103" cm="1">
        <f t="array" ref="C24">IF(RIGHT($A24,2)="10",_xlfn.XLOOKUP("LCN"&amp;$A24,[1]PROGRAMA!$A:$A&amp;[1]PROGRAMA!$B:$B,[1]PROGRAMA!D:D,0),_xlfn.XLOOKUP("LCN"&amp;$A24,[2]PROGRAMA!$A:$A&amp;[2]PROGRAMA!$B:$B,[2]PROGRAMA!D:D,0))</f>
        <v>1</v>
      </c>
      <c r="D24" s="68">
        <f>IFERROR(C24/$B24,0)</f>
        <v>0.33333333333333331</v>
      </c>
      <c r="E24" s="103" cm="1">
        <f t="array" ref="E24">IF(RIGHT($A24,2)="10",_xlfn.XLOOKUP("LCN"&amp;$A24,[1]PROGRAMA!$A:$A&amp;[1]PROGRAMA!$B:$B,[1]PROGRAMA!E:E,0),_xlfn.XLOOKUP("LCN"&amp;$A24,[2]PROGRAMA!$A:$A&amp;[2]PROGRAMA!$B:$B,[2]PROGRAMA!E:E,0))</f>
        <v>0</v>
      </c>
      <c r="F24" s="68">
        <f>IFERROR(E24/$B24,0)</f>
        <v>0</v>
      </c>
      <c r="G24" s="104">
        <f>B24-C24</f>
        <v>2</v>
      </c>
      <c r="H24" s="68">
        <f>IFERROR(G24/$B24,0)</f>
        <v>0.66666666666666663</v>
      </c>
      <c r="I24" s="128"/>
      <c r="J24" s="128"/>
      <c r="K24" s="128"/>
      <c r="L24" s="7"/>
      <c r="M24" s="98">
        <v>202220</v>
      </c>
      <c r="N24" s="103" cm="1">
        <f t="array" ref="N24">IF(RIGHT($A24,2)="10",_xlfn.XLOOKUP("LCN"&amp;$A24,'[1]PROGRAMA 123'!$A:$A&amp;'[1]PROGRAMA 123'!$B:$B,'[1]PROGRAMA 123'!C:C,0),_xlfn.XLOOKUP("LCN"&amp;$A24,'[2]PROGRAMA 123'!$A:$A&amp;'[2]PROGRAMA 123'!$B:$B,'[2]PROGRAMA 123'!C:C,0))</f>
        <v>3</v>
      </c>
      <c r="O24" s="103" cm="1">
        <f t="array" ref="O24">IF(RIGHT($A24,2)="10",_xlfn.XLOOKUP("LCN"&amp;$A24,'[1]PROGRAMA 123'!$A:$A&amp;'[1]PROGRAMA 123'!$B:$B,'[1]PROGRAMA 123'!D:D,0),_xlfn.XLOOKUP("LCN"&amp;$A24,'[2]PROGRAMA 123'!$A:$A&amp;'[2]PROGRAMA 123'!$B:$B,'[2]PROGRAMA 123'!D:D,0))</f>
        <v>1</v>
      </c>
      <c r="P24" s="68">
        <f>IFERROR(O24/$N24,0)</f>
        <v>0.33333333333333331</v>
      </c>
      <c r="Q24" s="103" cm="1">
        <f t="array" ref="Q24">IF(RIGHT($A24,2)="10",_xlfn.XLOOKUP("LCN"&amp;$A24,'[1]PROGRAMA 123'!$A:$A&amp;'[1]PROGRAMA 123'!$B:$B,'[1]PROGRAMA 123'!E:E,0),_xlfn.XLOOKUP("LCN"&amp;$A24,'[2]PROGRAMA 123'!$A:$A&amp;'[2]PROGRAMA 123'!$B:$B,'[2]PROGRAMA 123'!E:E,0))</f>
        <v>0</v>
      </c>
      <c r="R24" s="68">
        <f>IFERROR(Q24/$N24,0)</f>
        <v>0</v>
      </c>
      <c r="S24" s="104">
        <f>N24-O24</f>
        <v>2</v>
      </c>
      <c r="T24" s="68">
        <f>IFERROR(S24/$N24,0)</f>
        <v>0.66666666666666663</v>
      </c>
    </row>
    <row r="25" spans="1:23" s="18" customFormat="1" ht="13.5" customHeight="1">
      <c r="A25" s="98">
        <v>202310</v>
      </c>
      <c r="B25" s="57" t="s">
        <v>124</v>
      </c>
      <c r="C25" s="57" t="s">
        <v>124</v>
      </c>
      <c r="D25" s="57" t="s">
        <v>124</v>
      </c>
      <c r="E25" s="57" t="s">
        <v>124</v>
      </c>
      <c r="F25" s="57" t="s">
        <v>124</v>
      </c>
      <c r="G25" s="57" t="s">
        <v>124</v>
      </c>
      <c r="H25" s="57" t="s">
        <v>124</v>
      </c>
      <c r="I25" s="128"/>
      <c r="J25" s="128"/>
      <c r="K25" s="128"/>
      <c r="L25" s="7"/>
      <c r="M25" s="98">
        <v>202310</v>
      </c>
      <c r="N25" s="57" t="s">
        <v>124</v>
      </c>
      <c r="O25" s="57" t="s">
        <v>124</v>
      </c>
      <c r="P25" s="57" t="s">
        <v>124</v>
      </c>
      <c r="Q25" s="57" t="s">
        <v>124</v>
      </c>
      <c r="R25" s="57" t="s">
        <v>124</v>
      </c>
      <c r="S25" s="57" t="s">
        <v>124</v>
      </c>
      <c r="T25" s="57" t="s">
        <v>124</v>
      </c>
    </row>
    <row r="27" spans="1:23" ht="33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 t="str">
        <f>D5</f>
        <v>-</v>
      </c>
      <c r="B29" s="37" t="str">
        <f>E5</f>
        <v>-</v>
      </c>
      <c r="C29" s="37" t="str">
        <f>F5</f>
        <v>-</v>
      </c>
      <c r="D29" s="37" t="str">
        <f>G5</f>
        <v>-</v>
      </c>
      <c r="E29" s="32">
        <f>((B12*D12)+(B13*D13))/(B12+B13)</f>
        <v>0</v>
      </c>
      <c r="F29" s="32">
        <f>((B14*D14)+(B15*D15))/(B14+B15)</f>
        <v>0.5</v>
      </c>
      <c r="G29" s="116" t="s">
        <v>124</v>
      </c>
      <c r="H29" s="32">
        <f>((B18*D18)+(B19*D19))/(B18+B19)</f>
        <v>0.4</v>
      </c>
      <c r="I29" s="32" t="str">
        <f>D21</f>
        <v>-</v>
      </c>
      <c r="J29" s="32">
        <f>SUM(C22:C23)/SUM(B22:B23)</f>
        <v>0</v>
      </c>
      <c r="K29" s="32">
        <f>D24</f>
        <v>0.33333333333333331</v>
      </c>
      <c r="L29" s="6"/>
      <c r="M29" s="37" t="str">
        <f>P5</f>
        <v>-</v>
      </c>
      <c r="N29" s="37" t="str">
        <f>Q5</f>
        <v>-</v>
      </c>
      <c r="O29" s="37" t="str">
        <f>R5</f>
        <v>-</v>
      </c>
      <c r="P29" s="37" t="str">
        <f>S5</f>
        <v>-</v>
      </c>
      <c r="Q29" s="32">
        <f>((N12*P12)+(N13*P13))/(N12+N13)</f>
        <v>0</v>
      </c>
      <c r="R29" s="32">
        <f>((N14*P14)+(N15*P15))/(N14+N15)</f>
        <v>0.5</v>
      </c>
      <c r="S29" s="116" t="s">
        <v>124</v>
      </c>
      <c r="T29" s="32">
        <f>((N18*P18)+(N19*P19))/(N18+N19)</f>
        <v>0.33333333333333331</v>
      </c>
      <c r="U29" s="32" t="str">
        <f>P20</f>
        <v>-</v>
      </c>
      <c r="V29" s="32">
        <f>SUM(O22:O23)/SUM(N22:N23)</f>
        <v>0</v>
      </c>
      <c r="W29" s="32">
        <f>P24</f>
        <v>0.33333333333333331</v>
      </c>
    </row>
    <row r="30" spans="1:23" hidden="1">
      <c r="A30" s="206" t="s">
        <v>237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237</v>
      </c>
      <c r="N30" s="206"/>
      <c r="O30" s="206"/>
      <c r="P30" s="206"/>
      <c r="Q30" s="206"/>
      <c r="R30" s="206"/>
      <c r="S30" s="206"/>
      <c r="T30" s="206"/>
      <c r="U30" s="206"/>
      <c r="V30" s="206"/>
      <c r="W30" s="206"/>
    </row>
    <row r="31" spans="1:23" hidden="1">
      <c r="N31" s="7"/>
      <c r="O31" s="7"/>
      <c r="P31" s="7"/>
      <c r="Q31" s="7"/>
      <c r="R31" s="7"/>
      <c r="S31" s="7"/>
      <c r="T31" s="7"/>
    </row>
  </sheetData>
  <mergeCells count="9">
    <mergeCell ref="A30:L30"/>
    <mergeCell ref="M30:W30"/>
    <mergeCell ref="A1:H1"/>
    <mergeCell ref="M1:T1"/>
    <mergeCell ref="A3:H3"/>
    <mergeCell ref="A2:H2"/>
    <mergeCell ref="M3:T3"/>
    <mergeCell ref="A27:K27"/>
    <mergeCell ref="M27:W27"/>
  </mergeCells>
  <pageMargins left="0.7" right="0.7" top="0.75" bottom="0.75" header="0.3" footer="0.3"/>
  <pageSetup orientation="portrait" r:id="rId1"/>
  <ignoredErrors>
    <ignoredError sqref="L23:O24 Q23:Q24 S23:S24 E23:J24" formula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92D050"/>
  </sheetPr>
  <dimension ref="A1:W31"/>
  <sheetViews>
    <sheetView showGridLines="0" zoomScaleNormal="100" workbookViewId="0">
      <selection sqref="A1:H1"/>
    </sheetView>
  </sheetViews>
  <sheetFormatPr baseColWidth="10" defaultColWidth="11.44140625" defaultRowHeight="10.199999999999999"/>
  <cols>
    <col min="1" max="1" width="11.88671875" style="29" customWidth="1"/>
    <col min="2" max="11" width="10.44140625" style="28" customWidth="1"/>
    <col min="12" max="12" width="11.44140625" style="28"/>
    <col min="13" max="20" width="11.44140625" style="30"/>
    <col min="21" max="16384" width="11.44140625" style="28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37"/>
      <c r="B2" s="237"/>
      <c r="C2" s="237"/>
      <c r="D2" s="237"/>
      <c r="E2" s="237"/>
      <c r="F2" s="237"/>
      <c r="G2" s="237"/>
      <c r="H2" s="237"/>
      <c r="I2" s="124"/>
      <c r="J2" s="124"/>
      <c r="K2" s="124"/>
      <c r="L2" s="31"/>
      <c r="M2" s="31"/>
      <c r="N2" s="31"/>
      <c r="O2" s="31"/>
      <c r="P2" s="31"/>
      <c r="Q2" s="31"/>
      <c r="R2" s="31"/>
      <c r="S2" s="31"/>
      <c r="T2" s="31"/>
    </row>
    <row r="3" spans="1:20">
      <c r="A3" s="234" t="s">
        <v>229</v>
      </c>
      <c r="B3" s="235"/>
      <c r="C3" s="235"/>
      <c r="D3" s="235"/>
      <c r="E3" s="235"/>
      <c r="F3" s="235"/>
      <c r="G3" s="235"/>
      <c r="H3" s="236"/>
      <c r="I3" s="201"/>
      <c r="J3" s="201"/>
      <c r="K3" s="201"/>
      <c r="M3" s="238" t="s">
        <v>230</v>
      </c>
      <c r="N3" s="238"/>
      <c r="O3" s="238"/>
      <c r="P3" s="238"/>
      <c r="Q3" s="238"/>
      <c r="R3" s="238"/>
      <c r="S3" s="238"/>
      <c r="T3" s="238"/>
    </row>
    <row r="4" spans="1:20" ht="30.6">
      <c r="A4" s="82" t="s">
        <v>0</v>
      </c>
      <c r="B4" s="82" t="s">
        <v>1</v>
      </c>
      <c r="C4" s="82" t="s">
        <v>131</v>
      </c>
      <c r="D4" s="82" t="s">
        <v>132</v>
      </c>
      <c r="E4" s="82" t="s">
        <v>133</v>
      </c>
      <c r="F4" s="82" t="s">
        <v>134</v>
      </c>
      <c r="G4" s="82" t="s">
        <v>135</v>
      </c>
      <c r="H4" s="82" t="s">
        <v>136</v>
      </c>
      <c r="I4" s="162"/>
      <c r="J4" s="162"/>
      <c r="K4" s="162"/>
      <c r="M4" s="82" t="s">
        <v>0</v>
      </c>
      <c r="N4" s="82" t="s">
        <v>1</v>
      </c>
      <c r="O4" s="82" t="s">
        <v>131</v>
      </c>
      <c r="P4" s="82" t="s">
        <v>132</v>
      </c>
      <c r="Q4" s="82" t="s">
        <v>133</v>
      </c>
      <c r="R4" s="82" t="s">
        <v>134</v>
      </c>
      <c r="S4" s="82" t="s">
        <v>135</v>
      </c>
      <c r="T4" s="82" t="s">
        <v>136</v>
      </c>
    </row>
    <row r="5" spans="1:20" ht="13.5" customHeight="1">
      <c r="A5" s="118">
        <v>201310</v>
      </c>
      <c r="B5" s="80" t="s">
        <v>124</v>
      </c>
      <c r="C5" s="80" t="s">
        <v>124</v>
      </c>
      <c r="D5" s="80" t="s">
        <v>124</v>
      </c>
      <c r="E5" s="80" t="s">
        <v>124</v>
      </c>
      <c r="F5" s="80" t="s">
        <v>124</v>
      </c>
      <c r="G5" s="80" t="s">
        <v>124</v>
      </c>
      <c r="H5" s="80" t="s">
        <v>124</v>
      </c>
      <c r="I5" s="159"/>
      <c r="J5" s="159"/>
      <c r="K5" s="159"/>
      <c r="M5" s="85">
        <v>201310</v>
      </c>
      <c r="N5" s="80" t="s">
        <v>124</v>
      </c>
      <c r="O5" s="80" t="s">
        <v>124</v>
      </c>
      <c r="P5" s="80" t="s">
        <v>124</v>
      </c>
      <c r="Q5" s="80" t="s">
        <v>124</v>
      </c>
      <c r="R5" s="80" t="s">
        <v>124</v>
      </c>
      <c r="S5" s="80" t="s">
        <v>124</v>
      </c>
      <c r="T5" s="80" t="s">
        <v>124</v>
      </c>
    </row>
    <row r="6" spans="1:20" ht="13.5" customHeight="1">
      <c r="A6" s="118">
        <v>201320</v>
      </c>
      <c r="B6" s="80" t="s">
        <v>124</v>
      </c>
      <c r="C6" s="80" t="s">
        <v>124</v>
      </c>
      <c r="D6" s="80" t="s">
        <v>124</v>
      </c>
      <c r="E6" s="80" t="s">
        <v>124</v>
      </c>
      <c r="F6" s="80" t="s">
        <v>124</v>
      </c>
      <c r="G6" s="80" t="s">
        <v>124</v>
      </c>
      <c r="H6" s="80" t="s">
        <v>124</v>
      </c>
      <c r="I6" s="159"/>
      <c r="J6" s="159"/>
      <c r="K6" s="159"/>
      <c r="M6" s="85">
        <v>201320</v>
      </c>
      <c r="N6" s="80" t="s">
        <v>124</v>
      </c>
      <c r="O6" s="80" t="s">
        <v>124</v>
      </c>
      <c r="P6" s="80" t="s">
        <v>124</v>
      </c>
      <c r="Q6" s="80" t="s">
        <v>124</v>
      </c>
      <c r="R6" s="80" t="s">
        <v>124</v>
      </c>
      <c r="S6" s="80" t="s">
        <v>124</v>
      </c>
      <c r="T6" s="80" t="s">
        <v>124</v>
      </c>
    </row>
    <row r="7" spans="1:20" ht="13.5" customHeight="1">
      <c r="A7" s="118">
        <v>201410</v>
      </c>
      <c r="B7" s="80" t="s">
        <v>124</v>
      </c>
      <c r="C7" s="80" t="s">
        <v>124</v>
      </c>
      <c r="D7" s="80" t="s">
        <v>124</v>
      </c>
      <c r="E7" s="80" t="s">
        <v>124</v>
      </c>
      <c r="F7" s="80" t="s">
        <v>124</v>
      </c>
      <c r="G7" s="80" t="s">
        <v>124</v>
      </c>
      <c r="H7" s="80" t="s">
        <v>124</v>
      </c>
      <c r="I7" s="159"/>
      <c r="J7" s="159"/>
      <c r="K7" s="159"/>
      <c r="M7" s="85">
        <v>201410</v>
      </c>
      <c r="N7" s="80" t="s">
        <v>124</v>
      </c>
      <c r="O7" s="80" t="s">
        <v>124</v>
      </c>
      <c r="P7" s="80" t="s">
        <v>124</v>
      </c>
      <c r="Q7" s="80" t="s">
        <v>124</v>
      </c>
      <c r="R7" s="80" t="s">
        <v>124</v>
      </c>
      <c r="S7" s="80" t="s">
        <v>124</v>
      </c>
      <c r="T7" s="80" t="s">
        <v>124</v>
      </c>
    </row>
    <row r="8" spans="1:20" ht="13.5" customHeight="1">
      <c r="A8" s="118">
        <v>201420</v>
      </c>
      <c r="B8" s="80" t="s">
        <v>124</v>
      </c>
      <c r="C8" s="80" t="s">
        <v>124</v>
      </c>
      <c r="D8" s="80" t="s">
        <v>124</v>
      </c>
      <c r="E8" s="80" t="s">
        <v>124</v>
      </c>
      <c r="F8" s="80" t="s">
        <v>124</v>
      </c>
      <c r="G8" s="80" t="s">
        <v>124</v>
      </c>
      <c r="H8" s="80" t="s">
        <v>124</v>
      </c>
      <c r="I8" s="159"/>
      <c r="J8" s="159"/>
      <c r="K8" s="159"/>
      <c r="M8" s="85">
        <v>201420</v>
      </c>
      <c r="N8" s="80" t="s">
        <v>124</v>
      </c>
      <c r="O8" s="80" t="s">
        <v>124</v>
      </c>
      <c r="P8" s="80" t="s">
        <v>124</v>
      </c>
      <c r="Q8" s="80" t="s">
        <v>124</v>
      </c>
      <c r="R8" s="80" t="s">
        <v>124</v>
      </c>
      <c r="S8" s="80" t="s">
        <v>124</v>
      </c>
      <c r="T8" s="80" t="s">
        <v>124</v>
      </c>
    </row>
    <row r="9" spans="1:20" ht="13.5" customHeight="1">
      <c r="A9" s="118">
        <v>201510</v>
      </c>
      <c r="B9" s="80" t="s">
        <v>124</v>
      </c>
      <c r="C9" s="80" t="s">
        <v>124</v>
      </c>
      <c r="D9" s="80" t="s">
        <v>124</v>
      </c>
      <c r="E9" s="80" t="s">
        <v>124</v>
      </c>
      <c r="F9" s="80" t="s">
        <v>124</v>
      </c>
      <c r="G9" s="80" t="s">
        <v>124</v>
      </c>
      <c r="H9" s="80" t="s">
        <v>124</v>
      </c>
      <c r="I9" s="159"/>
      <c r="J9" s="159"/>
      <c r="K9" s="159"/>
      <c r="M9" s="85">
        <v>201510</v>
      </c>
      <c r="N9" s="80" t="s">
        <v>124</v>
      </c>
      <c r="O9" s="80" t="s">
        <v>124</v>
      </c>
      <c r="P9" s="80" t="s">
        <v>124</v>
      </c>
      <c r="Q9" s="80" t="s">
        <v>124</v>
      </c>
      <c r="R9" s="80" t="s">
        <v>124</v>
      </c>
      <c r="S9" s="80" t="s">
        <v>124</v>
      </c>
      <c r="T9" s="80" t="s">
        <v>124</v>
      </c>
    </row>
    <row r="10" spans="1:20" ht="13.5" customHeight="1">
      <c r="A10" s="118">
        <v>201520</v>
      </c>
      <c r="B10" s="80" t="s">
        <v>124</v>
      </c>
      <c r="C10" s="80" t="s">
        <v>124</v>
      </c>
      <c r="D10" s="80" t="s">
        <v>124</v>
      </c>
      <c r="E10" s="80" t="s">
        <v>124</v>
      </c>
      <c r="F10" s="80" t="s">
        <v>124</v>
      </c>
      <c r="G10" s="80" t="s">
        <v>124</v>
      </c>
      <c r="H10" s="80" t="s">
        <v>124</v>
      </c>
      <c r="I10" s="159"/>
      <c r="J10" s="159"/>
      <c r="K10" s="159"/>
      <c r="M10" s="85">
        <v>201520</v>
      </c>
      <c r="N10" s="80" t="s">
        <v>124</v>
      </c>
      <c r="O10" s="80" t="s">
        <v>124</v>
      </c>
      <c r="P10" s="80" t="s">
        <v>124</v>
      </c>
      <c r="Q10" s="80" t="s">
        <v>124</v>
      </c>
      <c r="R10" s="80" t="s">
        <v>124</v>
      </c>
      <c r="S10" s="80" t="s">
        <v>124</v>
      </c>
      <c r="T10" s="80" t="s">
        <v>124</v>
      </c>
    </row>
    <row r="11" spans="1:20" ht="13.5" customHeight="1">
      <c r="A11" s="118">
        <v>201610</v>
      </c>
      <c r="B11" s="83">
        <v>7</v>
      </c>
      <c r="C11" s="83">
        <v>1</v>
      </c>
      <c r="D11" s="84">
        <v>0.14285714285714285</v>
      </c>
      <c r="E11" s="83">
        <v>0</v>
      </c>
      <c r="F11" s="84">
        <v>0</v>
      </c>
      <c r="G11" s="85">
        <v>6</v>
      </c>
      <c r="H11" s="84">
        <v>0.8571428571428571</v>
      </c>
      <c r="I11" s="161"/>
      <c r="J11" s="161"/>
      <c r="K11" s="161"/>
      <c r="M11" s="85">
        <v>201610</v>
      </c>
      <c r="N11" s="83">
        <v>7</v>
      </c>
      <c r="O11" s="83">
        <v>1</v>
      </c>
      <c r="P11" s="84">
        <v>0.14285714285714285</v>
      </c>
      <c r="Q11" s="83">
        <v>0</v>
      </c>
      <c r="R11" s="84">
        <v>0</v>
      </c>
      <c r="S11" s="85">
        <v>6</v>
      </c>
      <c r="T11" s="84">
        <v>0.8571428571428571</v>
      </c>
    </row>
    <row r="12" spans="1:20" ht="13.5" customHeight="1">
      <c r="A12" s="118">
        <v>201620</v>
      </c>
      <c r="B12" s="80">
        <v>6</v>
      </c>
      <c r="C12" s="80">
        <v>2</v>
      </c>
      <c r="D12" s="81">
        <v>0.33333333333333331</v>
      </c>
      <c r="E12" s="80">
        <v>0</v>
      </c>
      <c r="F12" s="81">
        <v>0</v>
      </c>
      <c r="G12" s="80">
        <v>4</v>
      </c>
      <c r="H12" s="81">
        <v>0.66666666666666663</v>
      </c>
      <c r="I12" s="160"/>
      <c r="J12" s="160"/>
      <c r="K12" s="160"/>
      <c r="M12" s="85">
        <v>201620</v>
      </c>
      <c r="N12" s="80">
        <v>5</v>
      </c>
      <c r="O12" s="80">
        <v>1</v>
      </c>
      <c r="P12" s="81">
        <v>0.2</v>
      </c>
      <c r="Q12" s="80">
        <v>0</v>
      </c>
      <c r="R12" s="81">
        <v>0</v>
      </c>
      <c r="S12" s="80">
        <v>4</v>
      </c>
      <c r="T12" s="81">
        <v>0.8</v>
      </c>
    </row>
    <row r="13" spans="1:20" ht="13.5" customHeight="1">
      <c r="A13" s="118">
        <v>201710</v>
      </c>
      <c r="B13" s="83">
        <v>2</v>
      </c>
      <c r="C13" s="83">
        <v>0</v>
      </c>
      <c r="D13" s="84">
        <v>0</v>
      </c>
      <c r="E13" s="83">
        <v>0</v>
      </c>
      <c r="F13" s="84">
        <v>0</v>
      </c>
      <c r="G13" s="85">
        <v>2</v>
      </c>
      <c r="H13" s="84">
        <v>1</v>
      </c>
      <c r="I13" s="161"/>
      <c r="J13" s="161"/>
      <c r="K13" s="161"/>
      <c r="M13" s="85">
        <v>201710</v>
      </c>
      <c r="N13" s="83">
        <v>2</v>
      </c>
      <c r="O13" s="83">
        <v>0</v>
      </c>
      <c r="P13" s="84">
        <v>0</v>
      </c>
      <c r="Q13" s="83">
        <v>0</v>
      </c>
      <c r="R13" s="84">
        <v>0</v>
      </c>
      <c r="S13" s="85">
        <v>2</v>
      </c>
      <c r="T13" s="84">
        <v>1</v>
      </c>
    </row>
    <row r="14" spans="1:20" ht="13.5" customHeight="1">
      <c r="A14" s="118">
        <v>201720</v>
      </c>
      <c r="B14" s="80">
        <v>1</v>
      </c>
      <c r="C14" s="80">
        <v>0</v>
      </c>
      <c r="D14" s="81">
        <v>0</v>
      </c>
      <c r="E14" s="80">
        <v>0</v>
      </c>
      <c r="F14" s="81">
        <v>0</v>
      </c>
      <c r="G14" s="80">
        <v>1</v>
      </c>
      <c r="H14" s="81">
        <v>1</v>
      </c>
      <c r="I14" s="160"/>
      <c r="J14" s="160"/>
      <c r="K14" s="160"/>
      <c r="M14" s="85">
        <v>201720</v>
      </c>
      <c r="N14" s="83">
        <v>1</v>
      </c>
      <c r="O14" s="83">
        <v>0</v>
      </c>
      <c r="P14" s="84">
        <v>0</v>
      </c>
      <c r="Q14" s="83">
        <v>0</v>
      </c>
      <c r="R14" s="84">
        <v>0</v>
      </c>
      <c r="S14" s="85">
        <v>1</v>
      </c>
      <c r="T14" s="84">
        <v>1</v>
      </c>
    </row>
    <row r="15" spans="1:20" ht="13.5" customHeight="1">
      <c r="A15" s="118">
        <v>201810</v>
      </c>
      <c r="B15" s="80">
        <v>3</v>
      </c>
      <c r="C15" s="80">
        <v>0</v>
      </c>
      <c r="D15" s="81">
        <v>0</v>
      </c>
      <c r="E15" s="80">
        <v>0</v>
      </c>
      <c r="F15" s="81">
        <v>0</v>
      </c>
      <c r="G15" s="80">
        <v>3</v>
      </c>
      <c r="H15" s="81">
        <v>1</v>
      </c>
      <c r="I15" s="160"/>
      <c r="J15" s="160"/>
      <c r="K15" s="160"/>
      <c r="M15" s="85">
        <v>201810</v>
      </c>
      <c r="N15" s="83">
        <v>2</v>
      </c>
      <c r="O15" s="83">
        <v>0</v>
      </c>
      <c r="P15" s="84">
        <v>0</v>
      </c>
      <c r="Q15" s="83">
        <v>0</v>
      </c>
      <c r="R15" s="84">
        <v>0</v>
      </c>
      <c r="S15" s="85">
        <v>2</v>
      </c>
      <c r="T15" s="84">
        <v>1</v>
      </c>
    </row>
    <row r="16" spans="1:20" ht="13.5" customHeight="1">
      <c r="A16" s="118">
        <v>201820</v>
      </c>
      <c r="B16" s="80" t="s">
        <v>124</v>
      </c>
      <c r="C16" s="80" t="s">
        <v>124</v>
      </c>
      <c r="D16" s="80" t="s">
        <v>124</v>
      </c>
      <c r="E16" s="80" t="s">
        <v>124</v>
      </c>
      <c r="F16" s="80" t="s">
        <v>124</v>
      </c>
      <c r="G16" s="80" t="s">
        <v>124</v>
      </c>
      <c r="H16" s="80" t="s">
        <v>124</v>
      </c>
      <c r="I16" s="159"/>
      <c r="J16" s="159"/>
      <c r="K16" s="159"/>
      <c r="M16" s="118">
        <v>201820</v>
      </c>
      <c r="N16" s="80" t="s">
        <v>124</v>
      </c>
      <c r="O16" s="80" t="s">
        <v>124</v>
      </c>
      <c r="P16" s="80" t="s">
        <v>124</v>
      </c>
      <c r="Q16" s="80" t="s">
        <v>124</v>
      </c>
      <c r="R16" s="80" t="s">
        <v>124</v>
      </c>
      <c r="S16" s="80" t="s">
        <v>124</v>
      </c>
      <c r="T16" s="80" t="s">
        <v>124</v>
      </c>
    </row>
    <row r="17" spans="1:23" s="34" customFormat="1" ht="13.5" customHeight="1">
      <c r="A17" s="118" t="s">
        <v>8</v>
      </c>
      <c r="B17" s="80">
        <v>1</v>
      </c>
      <c r="C17" s="80">
        <v>0</v>
      </c>
      <c r="D17" s="81">
        <v>0</v>
      </c>
      <c r="E17" s="80">
        <v>0</v>
      </c>
      <c r="F17" s="81">
        <v>0</v>
      </c>
      <c r="G17" s="80">
        <v>1</v>
      </c>
      <c r="H17" s="81">
        <v>1</v>
      </c>
      <c r="I17" s="160"/>
      <c r="J17" s="160"/>
      <c r="K17" s="160"/>
      <c r="M17" s="85">
        <v>201910</v>
      </c>
      <c r="N17" s="83">
        <v>1</v>
      </c>
      <c r="O17" s="83">
        <v>0</v>
      </c>
      <c r="P17" s="84">
        <v>0</v>
      </c>
      <c r="Q17" s="83">
        <v>0</v>
      </c>
      <c r="R17" s="84">
        <v>0</v>
      </c>
      <c r="S17" s="85">
        <v>1</v>
      </c>
      <c r="T17" s="84">
        <v>1</v>
      </c>
    </row>
    <row r="18" spans="1:23" s="34" customFormat="1" ht="13.5" customHeight="1">
      <c r="A18" s="118">
        <v>201920</v>
      </c>
      <c r="B18" s="80">
        <v>2</v>
      </c>
      <c r="C18" s="80">
        <v>0</v>
      </c>
      <c r="D18" s="81">
        <v>0</v>
      </c>
      <c r="E18" s="80">
        <v>0</v>
      </c>
      <c r="F18" s="81">
        <v>0</v>
      </c>
      <c r="G18" s="80">
        <v>2</v>
      </c>
      <c r="H18" s="81">
        <v>1</v>
      </c>
      <c r="I18" s="160"/>
      <c r="J18" s="160"/>
      <c r="K18" s="160"/>
      <c r="M18" s="85">
        <v>201920</v>
      </c>
      <c r="N18" s="83">
        <v>1</v>
      </c>
      <c r="O18" s="83">
        <v>0</v>
      </c>
      <c r="P18" s="84">
        <v>0</v>
      </c>
      <c r="Q18" s="83">
        <v>0</v>
      </c>
      <c r="R18" s="84">
        <v>0</v>
      </c>
      <c r="S18" s="85">
        <v>1</v>
      </c>
      <c r="T18" s="84">
        <v>1</v>
      </c>
    </row>
    <row r="19" spans="1:23" s="34" customFormat="1" ht="13.5" customHeight="1">
      <c r="A19" s="118">
        <v>202010</v>
      </c>
      <c r="B19" s="80">
        <v>4</v>
      </c>
      <c r="C19" s="80">
        <v>3</v>
      </c>
      <c r="D19" s="81">
        <v>0.75</v>
      </c>
      <c r="E19" s="80">
        <v>0</v>
      </c>
      <c r="F19" s="81">
        <v>0</v>
      </c>
      <c r="G19" s="80">
        <v>1</v>
      </c>
      <c r="H19" s="81">
        <v>0.25</v>
      </c>
      <c r="I19" s="160"/>
      <c r="J19" s="160"/>
      <c r="K19" s="160"/>
      <c r="M19" s="85">
        <v>202010</v>
      </c>
      <c r="N19" s="83">
        <v>3</v>
      </c>
      <c r="O19" s="83">
        <v>2</v>
      </c>
      <c r="P19" s="84">
        <v>0.66666666666666663</v>
      </c>
      <c r="Q19" s="83">
        <v>0</v>
      </c>
      <c r="R19" s="84">
        <v>0</v>
      </c>
      <c r="S19" s="85">
        <v>1</v>
      </c>
      <c r="T19" s="84">
        <v>0.33333333333333331</v>
      </c>
    </row>
    <row r="20" spans="1:23" s="34" customFormat="1" ht="13.5" customHeight="1">
      <c r="A20" s="118">
        <v>202020</v>
      </c>
      <c r="B20" s="80">
        <v>3</v>
      </c>
      <c r="C20" s="80">
        <v>0</v>
      </c>
      <c r="D20" s="81">
        <v>0</v>
      </c>
      <c r="E20" s="80">
        <v>0</v>
      </c>
      <c r="F20" s="81">
        <v>0</v>
      </c>
      <c r="G20" s="80">
        <v>3</v>
      </c>
      <c r="H20" s="81">
        <v>1</v>
      </c>
      <c r="I20" s="160"/>
      <c r="J20" s="160"/>
      <c r="K20" s="160"/>
      <c r="M20" s="85">
        <v>202020</v>
      </c>
      <c r="N20" s="83">
        <v>2</v>
      </c>
      <c r="O20" s="83">
        <v>0</v>
      </c>
      <c r="P20" s="84">
        <v>0</v>
      </c>
      <c r="Q20" s="83">
        <v>0</v>
      </c>
      <c r="R20" s="84">
        <v>0</v>
      </c>
      <c r="S20" s="85">
        <v>2</v>
      </c>
      <c r="T20" s="84">
        <v>1</v>
      </c>
    </row>
    <row r="21" spans="1:23" s="34" customFormat="1" ht="13.5" customHeight="1">
      <c r="A21" s="118">
        <v>202110</v>
      </c>
      <c r="B21" s="80">
        <v>2</v>
      </c>
      <c r="C21" s="80">
        <v>0</v>
      </c>
      <c r="D21" s="81">
        <v>0</v>
      </c>
      <c r="E21" s="80">
        <v>0</v>
      </c>
      <c r="F21" s="81">
        <v>0</v>
      </c>
      <c r="G21" s="80">
        <v>2</v>
      </c>
      <c r="H21" s="81">
        <v>1</v>
      </c>
      <c r="I21" s="160"/>
      <c r="J21" s="160"/>
      <c r="K21" s="160"/>
      <c r="M21" s="85">
        <v>202110</v>
      </c>
      <c r="N21" s="83">
        <v>2</v>
      </c>
      <c r="O21" s="83">
        <v>0</v>
      </c>
      <c r="P21" s="84">
        <v>0</v>
      </c>
      <c r="Q21" s="83">
        <v>0</v>
      </c>
      <c r="R21" s="84">
        <v>0</v>
      </c>
      <c r="S21" s="85">
        <v>2</v>
      </c>
      <c r="T21" s="84">
        <v>1</v>
      </c>
    </row>
    <row r="22" spans="1:23" s="34" customFormat="1" ht="13.5" customHeight="1">
      <c r="A22" s="118">
        <v>202120</v>
      </c>
      <c r="B22" s="80">
        <v>2</v>
      </c>
      <c r="C22" s="80">
        <v>0</v>
      </c>
      <c r="D22" s="81">
        <v>0</v>
      </c>
      <c r="E22" s="80">
        <v>0</v>
      </c>
      <c r="F22" s="81">
        <v>0</v>
      </c>
      <c r="G22" s="80">
        <v>2</v>
      </c>
      <c r="H22" s="81">
        <v>1</v>
      </c>
      <c r="I22" s="160"/>
      <c r="J22" s="160"/>
      <c r="K22" s="160"/>
      <c r="M22" s="85">
        <v>202120</v>
      </c>
      <c r="N22" s="83">
        <v>1</v>
      </c>
      <c r="O22" s="83">
        <v>0</v>
      </c>
      <c r="P22" s="84">
        <v>0</v>
      </c>
      <c r="Q22" s="83">
        <v>0</v>
      </c>
      <c r="R22" s="84">
        <v>0</v>
      </c>
      <c r="S22" s="85">
        <v>1</v>
      </c>
      <c r="T22" s="84">
        <v>1</v>
      </c>
    </row>
    <row r="23" spans="1:23" s="34" customFormat="1" ht="13.5" customHeight="1">
      <c r="A23" s="98">
        <v>202210</v>
      </c>
      <c r="B23" s="103" cm="1">
        <f t="array" ref="B23">IF(RIGHT($A23,2)="10",_xlfn.XLOOKUP("LYL"&amp;$A23,[1]PROGRAMA!$A:$A&amp;[1]PROGRAMA!$B:$B,[1]PROGRAMA!C:C,0),_xlfn.XLOOKUP("LYL"&amp;$A23,[2]PROGRAMA!$A:$A&amp;[2]PROGRAMA!$B:$B,[2]PROGRAMA!C:C,0))</f>
        <v>11</v>
      </c>
      <c r="C23" s="103" cm="1">
        <f t="array" ref="C23">IF(RIGHT($A23,2)="10",_xlfn.XLOOKUP("LYL"&amp;$A23,[1]PROGRAMA!$A:$A&amp;[1]PROGRAMA!$B:$B,[1]PROGRAMA!D:D,0),_xlfn.XLOOKUP("LYL"&amp;$A23,[2]PROGRAMA!$A:$A&amp;[2]PROGRAMA!$B:$B,[2]PROGRAMA!D:D,0))</f>
        <v>4</v>
      </c>
      <c r="D23" s="68">
        <f>IFERROR(C23/$B23,0)</f>
        <v>0.36363636363636365</v>
      </c>
      <c r="E23" s="103" cm="1">
        <f t="array" ref="E23">IF(RIGHT($A23,2)="10",_xlfn.XLOOKUP("LYL"&amp;$A23,[1]PROGRAMA!$A:$A&amp;[1]PROGRAMA!$B:$B,[1]PROGRAMA!E:E,0),_xlfn.XLOOKUP("LYL"&amp;$A23,[2]PROGRAMA!$A:$A&amp;[2]PROGRAMA!$B:$B,[2]PROGRAMA!E:E,0))</f>
        <v>0</v>
      </c>
      <c r="F23" s="68">
        <f>IFERROR(E23/$B23,0)</f>
        <v>0</v>
      </c>
      <c r="G23" s="104">
        <f>B23-C23</f>
        <v>7</v>
      </c>
      <c r="H23" s="68">
        <f>IFERROR(G23/$B23,0)</f>
        <v>0.63636363636363635</v>
      </c>
      <c r="I23" s="128"/>
      <c r="J23" s="128"/>
      <c r="K23" s="128"/>
      <c r="L23" s="7"/>
      <c r="M23" s="98">
        <v>202210</v>
      </c>
      <c r="N23" s="103" cm="1">
        <f t="array" ref="N23">IF(RIGHT($A23,2)="10",_xlfn.XLOOKUP("LYL"&amp;$A23,'[1]PROGRAMA 123'!$A:$A&amp;'[1]PROGRAMA 123'!$B:$B,'[1]PROGRAMA 123'!C:C,0),_xlfn.XLOOKUP("LYL"&amp;$A23,'[2]PROGRAMA 123'!$A:$A&amp;'[2]PROGRAMA 123'!$B:$B,'[2]PROGRAMA 123'!C:C,0))</f>
        <v>9</v>
      </c>
      <c r="O23" s="103" cm="1">
        <f t="array" ref="O23">IF(RIGHT($A23,2)="10",_xlfn.XLOOKUP("LYL"&amp;$A23,'[1]PROGRAMA 123'!$A:$A&amp;'[1]PROGRAMA 123'!$B:$B,'[1]PROGRAMA 123'!D:D,0),_xlfn.XLOOKUP("LYL"&amp;$A23,'[2]PROGRAMA 123'!$A:$A&amp;'[2]PROGRAMA 123'!$B:$B,'[2]PROGRAMA 123'!D:D,0))</f>
        <v>3</v>
      </c>
      <c r="P23" s="68">
        <f>IFERROR(O23/$N23,0)</f>
        <v>0.33333333333333331</v>
      </c>
      <c r="Q23" s="103" cm="1">
        <f t="array" ref="Q23">IF(RIGHT($A23,2)="10",_xlfn.XLOOKUP("LYL"&amp;$A23,'[1]PROGRAMA 123'!$A:$A&amp;'[1]PROGRAMA 123'!$B:$B,'[1]PROGRAMA 123'!E:E,0),_xlfn.XLOOKUP("LYL"&amp;$A23,'[2]PROGRAMA 123'!$A:$A&amp;'[2]PROGRAMA 123'!$B:$B,'[2]PROGRAMA 123'!E:E,0))</f>
        <v>0</v>
      </c>
      <c r="R23" s="68">
        <f>IFERROR(Q23/$N23,0)</f>
        <v>0</v>
      </c>
      <c r="S23" s="104">
        <f>N23-O23</f>
        <v>6</v>
      </c>
      <c r="T23" s="68">
        <f>IFERROR(S23/$N23,0)</f>
        <v>0.66666666666666663</v>
      </c>
    </row>
    <row r="24" spans="1:23" s="34" customFormat="1" ht="13.5" customHeight="1">
      <c r="A24" s="98">
        <v>202220</v>
      </c>
      <c r="B24" s="103" cm="1">
        <f t="array" ref="B24">IF(RIGHT($A24,2)="10",_xlfn.XLOOKUP("LYL"&amp;$A24,[1]PROGRAMA!$A:$A&amp;[1]PROGRAMA!$B:$B,[1]PROGRAMA!C:C,0),_xlfn.XLOOKUP("LYL"&amp;$A24,[2]PROGRAMA!$A:$A&amp;[2]PROGRAMA!$B:$B,[2]PROGRAMA!C:C,0))</f>
        <v>4</v>
      </c>
      <c r="C24" s="103" cm="1">
        <f t="array" ref="C24">IF(RIGHT($A24,2)="10",_xlfn.XLOOKUP("LYL"&amp;$A24,[1]PROGRAMA!$A:$A&amp;[1]PROGRAMA!$B:$B,[1]PROGRAMA!D:D,0),_xlfn.XLOOKUP("LYL"&amp;$A24,[2]PROGRAMA!$A:$A&amp;[2]PROGRAMA!$B:$B,[2]PROGRAMA!D:D,0))</f>
        <v>0</v>
      </c>
      <c r="D24" s="68">
        <f>IFERROR(C24/$B24,0)</f>
        <v>0</v>
      </c>
      <c r="E24" s="103" cm="1">
        <f t="array" ref="E24">IF(RIGHT($A24,2)="10",_xlfn.XLOOKUP("LYL"&amp;$A24,[1]PROGRAMA!$A:$A&amp;[1]PROGRAMA!$B:$B,[1]PROGRAMA!E:E,0),_xlfn.XLOOKUP("LYL"&amp;$A24,[2]PROGRAMA!$A:$A&amp;[2]PROGRAMA!$B:$B,[2]PROGRAMA!E:E,0))</f>
        <v>0</v>
      </c>
      <c r="F24" s="68">
        <f>IFERROR(E24/$B24,0)</f>
        <v>0</v>
      </c>
      <c r="G24" s="104">
        <f>B24-C24</f>
        <v>4</v>
      </c>
      <c r="H24" s="68">
        <f>IFERROR(G24/$B24,0)</f>
        <v>1</v>
      </c>
      <c r="I24" s="128"/>
      <c r="J24" s="128"/>
      <c r="K24" s="128"/>
      <c r="L24" s="7"/>
      <c r="M24" s="98">
        <v>202220</v>
      </c>
      <c r="N24" s="103" cm="1">
        <f t="array" ref="N24">IF(RIGHT($A24,2)="10",_xlfn.XLOOKUP("LYL"&amp;$A24,'[1]PROGRAMA 123'!$A:$A&amp;'[1]PROGRAMA 123'!$B:$B,'[1]PROGRAMA 123'!C:C,0),_xlfn.XLOOKUP("LYL"&amp;$A24,'[2]PROGRAMA 123'!$A:$A&amp;'[2]PROGRAMA 123'!$B:$B,'[2]PROGRAMA 123'!C:C,0))</f>
        <v>4</v>
      </c>
      <c r="O24" s="103" cm="1">
        <f t="array" ref="O24">IF(RIGHT($A24,2)="10",_xlfn.XLOOKUP("LYL"&amp;$A24,'[1]PROGRAMA 123'!$A:$A&amp;'[1]PROGRAMA 123'!$B:$B,'[1]PROGRAMA 123'!D:D,0),_xlfn.XLOOKUP("LYL"&amp;$A24,'[2]PROGRAMA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IF(RIGHT($A24,2)="10",_xlfn.XLOOKUP("LYL"&amp;$A24,'[1]PROGRAMA 123'!$A:$A&amp;'[1]PROGRAMA 123'!$B:$B,'[1]PROGRAMA 123'!E:E,0),_xlfn.XLOOKUP("LYL"&amp;$A24,'[2]PROGRAMA 123'!$A:$A&amp;'[2]PROGRAMA 123'!$B:$B,'[2]PROGRAMA 123'!E:E,0))</f>
        <v>0</v>
      </c>
      <c r="R24" s="68">
        <f>IFERROR(Q24/$N24,0)</f>
        <v>0</v>
      </c>
      <c r="S24" s="104">
        <f>N24-O24</f>
        <v>4</v>
      </c>
      <c r="T24" s="68">
        <f>IFERROR(S24/$N24,0)</f>
        <v>1</v>
      </c>
    </row>
    <row r="25" spans="1:23" s="34" customFormat="1" ht="13.5" customHeight="1">
      <c r="A25" s="98" t="s">
        <v>239</v>
      </c>
      <c r="B25" s="103">
        <v>5</v>
      </c>
      <c r="C25" s="103">
        <v>0</v>
      </c>
      <c r="D25" s="68">
        <v>0</v>
      </c>
      <c r="E25" s="103">
        <v>0</v>
      </c>
      <c r="F25" s="68">
        <v>0</v>
      </c>
      <c r="G25" s="104">
        <v>5</v>
      </c>
      <c r="H25" s="68">
        <v>1</v>
      </c>
      <c r="I25" s="128"/>
      <c r="J25" s="128"/>
      <c r="K25" s="128"/>
      <c r="L25" s="7"/>
      <c r="M25" s="98" t="s">
        <v>239</v>
      </c>
      <c r="N25" s="103">
        <v>4</v>
      </c>
      <c r="O25" s="103">
        <v>0</v>
      </c>
      <c r="P25" s="68">
        <v>0</v>
      </c>
      <c r="Q25" s="103">
        <v>0</v>
      </c>
      <c r="R25" s="68">
        <v>0</v>
      </c>
      <c r="S25" s="104">
        <v>4</v>
      </c>
      <c r="T25" s="68">
        <v>1</v>
      </c>
    </row>
    <row r="26" spans="1:23" ht="15.75" customHeight="1"/>
    <row r="27" spans="1:23" ht="41.25" hidden="1" customHeight="1">
      <c r="A27" s="239" t="s">
        <v>100</v>
      </c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M27" s="239" t="s">
        <v>114</v>
      </c>
      <c r="N27" s="240"/>
      <c r="O27" s="240"/>
      <c r="P27" s="240"/>
      <c r="Q27" s="240"/>
      <c r="R27" s="240"/>
      <c r="S27" s="240"/>
      <c r="T27" s="240"/>
      <c r="U27" s="240"/>
      <c r="V27" s="240"/>
      <c r="W27" s="240"/>
    </row>
    <row r="28" spans="1:23" ht="33" hidden="1" customHeight="1">
      <c r="A28" s="106" t="s">
        <v>121</v>
      </c>
      <c r="B28" s="106" t="s">
        <v>103</v>
      </c>
      <c r="C28" s="106" t="s">
        <v>104</v>
      </c>
      <c r="D28" s="106" t="s">
        <v>105</v>
      </c>
      <c r="E28" s="106" t="s">
        <v>106</v>
      </c>
      <c r="F28" s="106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30"/>
      <c r="M28" s="106" t="s">
        <v>121</v>
      </c>
      <c r="N28" s="106" t="s">
        <v>103</v>
      </c>
      <c r="O28" s="106" t="s">
        <v>104</v>
      </c>
      <c r="P28" s="106" t="s">
        <v>105</v>
      </c>
      <c r="Q28" s="106" t="s">
        <v>106</v>
      </c>
      <c r="R28" s="106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119" t="str">
        <f>D5</f>
        <v>-</v>
      </c>
      <c r="B29" s="119" t="str">
        <f>E5</f>
        <v>-</v>
      </c>
      <c r="C29" s="119" t="str">
        <f>F5</f>
        <v>-</v>
      </c>
      <c r="D29" s="119" t="str">
        <f>G5</f>
        <v>-</v>
      </c>
      <c r="E29" s="120">
        <f>((B12*D12)+(B13*D13))/(B12+B13)</f>
        <v>0.25</v>
      </c>
      <c r="F29" s="120">
        <f>((B14*D14)+(B15*D15))/(B14+B15)</f>
        <v>0</v>
      </c>
      <c r="G29" s="120">
        <f>D17</f>
        <v>0</v>
      </c>
      <c r="H29" s="120">
        <f>((B18*D18)+(B19*D19))/(B18+B19)</f>
        <v>0.5</v>
      </c>
      <c r="I29" s="32">
        <f>((B20*D20)+(B21*D21))/(B20+B21)</f>
        <v>0</v>
      </c>
      <c r="J29" s="32">
        <f>SUM(C22:C23)/SUM(B22:B23)</f>
        <v>0.30769230769230771</v>
      </c>
      <c r="K29" s="32">
        <f>D24</f>
        <v>0</v>
      </c>
      <c r="L29" s="30"/>
      <c r="M29" s="119" t="str">
        <f>P5</f>
        <v>-</v>
      </c>
      <c r="N29" s="80" t="s">
        <v>124</v>
      </c>
      <c r="O29" s="80" t="s">
        <v>124</v>
      </c>
      <c r="P29" s="80" t="s">
        <v>124</v>
      </c>
      <c r="Q29" s="120">
        <f>((N12*P12)+(N13*P13))/(N12+N13)</f>
        <v>0.14285714285714285</v>
      </c>
      <c r="R29" s="120">
        <f>((N14*P14)+(N15*P15))/(N14+N15)</f>
        <v>0</v>
      </c>
      <c r="S29" s="121">
        <f>P17</f>
        <v>0</v>
      </c>
      <c r="T29" s="120">
        <f>((N18*P18)+(N19*P19))/(N18+N19)</f>
        <v>0.5</v>
      </c>
      <c r="U29" s="32">
        <f>((N20*P20)+(N21*P21))/(N20+N21)</f>
        <v>0</v>
      </c>
      <c r="V29" s="32">
        <f>SUM(O22:O23)/SUM(N22:N23)</f>
        <v>0.3</v>
      </c>
      <c r="W29" s="32">
        <f>P24</f>
        <v>0</v>
      </c>
    </row>
    <row r="30" spans="1:23" hidden="1">
      <c r="A30" s="206" t="s">
        <v>237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237</v>
      </c>
      <c r="N30" s="206"/>
      <c r="O30" s="206"/>
      <c r="P30" s="206"/>
      <c r="Q30" s="206"/>
      <c r="R30" s="206"/>
      <c r="S30" s="206"/>
      <c r="T30" s="28"/>
    </row>
    <row r="31" spans="1:23">
      <c r="N31" s="28"/>
      <c r="O31" s="28"/>
      <c r="P31" s="28"/>
      <c r="Q31" s="28"/>
      <c r="R31" s="28"/>
      <c r="S31" s="28"/>
      <c r="T31" s="28"/>
    </row>
  </sheetData>
  <mergeCells count="9">
    <mergeCell ref="A1:H1"/>
    <mergeCell ref="M1:T1"/>
    <mergeCell ref="M30:S30"/>
    <mergeCell ref="A3:H3"/>
    <mergeCell ref="A2:H2"/>
    <mergeCell ref="M3:T3"/>
    <mergeCell ref="A30:L30"/>
    <mergeCell ref="A27:K27"/>
    <mergeCell ref="M27:W27"/>
  </mergeCells>
  <pageMargins left="0.7" right="0.7" top="0.75" bottom="0.75" header="0.3" footer="0.3"/>
  <pageSetup orientation="portrait" r:id="rId1"/>
  <ignoredErrors>
    <ignoredError sqref="A17 M25 A25" numberStoredAsText="1"/>
    <ignoredError sqref="L23:T24 E23:J24" formula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1" width="11.44140625" style="6"/>
    <col min="12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</row>
    <row r="3" spans="1:20" ht="10.8" thickBot="1">
      <c r="A3" s="216" t="s">
        <v>231</v>
      </c>
      <c r="B3" s="217"/>
      <c r="C3" s="217"/>
      <c r="D3" s="217"/>
      <c r="E3" s="217"/>
      <c r="F3" s="217"/>
      <c r="G3" s="217"/>
      <c r="H3" s="218"/>
      <c r="I3" s="188"/>
      <c r="J3" s="188"/>
      <c r="K3" s="188"/>
      <c r="M3" s="216" t="s">
        <v>232</v>
      </c>
      <c r="N3" s="217"/>
      <c r="O3" s="217"/>
      <c r="P3" s="217"/>
      <c r="Q3" s="217"/>
      <c r="R3" s="217"/>
      <c r="S3" s="217"/>
      <c r="T3" s="218"/>
    </row>
    <row r="4" spans="1:20" ht="51">
      <c r="A4" s="63" t="s">
        <v>0</v>
      </c>
      <c r="B4" s="64" t="s">
        <v>93</v>
      </c>
      <c r="C4" s="64" t="s">
        <v>94</v>
      </c>
      <c r="D4" s="64" t="s">
        <v>95</v>
      </c>
      <c r="E4" s="64" t="s">
        <v>96</v>
      </c>
      <c r="F4" s="64" t="s">
        <v>97</v>
      </c>
      <c r="G4" s="64" t="s">
        <v>98</v>
      </c>
      <c r="H4" s="65" t="s">
        <v>99</v>
      </c>
      <c r="I4" s="136"/>
      <c r="J4" s="136"/>
      <c r="K4" s="136"/>
      <c r="M4" s="63" t="s">
        <v>0</v>
      </c>
      <c r="N4" s="64" t="s">
        <v>93</v>
      </c>
      <c r="O4" s="64" t="s">
        <v>94</v>
      </c>
      <c r="P4" s="64" t="s">
        <v>95</v>
      </c>
      <c r="Q4" s="64" t="s">
        <v>96</v>
      </c>
      <c r="R4" s="64" t="s">
        <v>97</v>
      </c>
      <c r="S4" s="64" t="s">
        <v>98</v>
      </c>
      <c r="T4" s="65" t="s">
        <v>99</v>
      </c>
    </row>
    <row r="5" spans="1:20">
      <c r="A5" s="66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137" t="s">
        <v>124</v>
      </c>
      <c r="I5" s="33"/>
      <c r="J5" s="33"/>
      <c r="K5" s="33"/>
      <c r="M5" s="66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137" t="s">
        <v>124</v>
      </c>
    </row>
    <row r="6" spans="1:20">
      <c r="A6" s="66">
        <v>201320</v>
      </c>
      <c r="B6" s="57">
        <v>57</v>
      </c>
      <c r="C6" s="57">
        <v>12</v>
      </c>
      <c r="D6" s="69">
        <v>0.21052631578947367</v>
      </c>
      <c r="E6" s="57">
        <v>0</v>
      </c>
      <c r="F6" s="69">
        <v>0</v>
      </c>
      <c r="G6" s="57">
        <v>45</v>
      </c>
      <c r="H6" s="140">
        <v>0.78947368421052633</v>
      </c>
      <c r="I6" s="139"/>
      <c r="J6" s="139"/>
      <c r="K6" s="139"/>
      <c r="M6" s="66">
        <v>201320</v>
      </c>
      <c r="N6" s="53">
        <v>23</v>
      </c>
      <c r="O6" s="53">
        <v>8</v>
      </c>
      <c r="P6" s="54">
        <v>0.34782608695652173</v>
      </c>
      <c r="Q6" s="53">
        <v>0</v>
      </c>
      <c r="R6" s="54">
        <v>0</v>
      </c>
      <c r="S6" s="55">
        <v>15</v>
      </c>
      <c r="T6" s="61">
        <v>0.65217391304347827</v>
      </c>
    </row>
    <row r="7" spans="1:20">
      <c r="A7" s="66">
        <v>201410</v>
      </c>
      <c r="B7" s="53">
        <v>59</v>
      </c>
      <c r="C7" s="53">
        <v>4</v>
      </c>
      <c r="D7" s="54">
        <v>6.8000000000000005E-2</v>
      </c>
      <c r="E7" s="53">
        <v>0</v>
      </c>
      <c r="F7" s="54">
        <v>0</v>
      </c>
      <c r="G7" s="55">
        <v>55</v>
      </c>
      <c r="H7" s="61">
        <v>0.93200000000000005</v>
      </c>
      <c r="I7" s="23"/>
      <c r="J7" s="23"/>
      <c r="K7" s="23"/>
      <c r="M7" s="66">
        <v>201410</v>
      </c>
      <c r="N7" s="53">
        <v>41</v>
      </c>
      <c r="O7" s="53">
        <v>2</v>
      </c>
      <c r="P7" s="54">
        <v>4.9000000000000002E-2</v>
      </c>
      <c r="Q7" s="53">
        <v>0</v>
      </c>
      <c r="R7" s="54">
        <v>0</v>
      </c>
      <c r="S7" s="55">
        <v>39</v>
      </c>
      <c r="T7" s="61">
        <v>0.95099999999999996</v>
      </c>
    </row>
    <row r="8" spans="1:20">
      <c r="A8" s="66">
        <v>201420</v>
      </c>
      <c r="B8" s="53">
        <v>67</v>
      </c>
      <c r="C8" s="53">
        <v>15</v>
      </c>
      <c r="D8" s="54">
        <v>0.224</v>
      </c>
      <c r="E8" s="53">
        <v>0</v>
      </c>
      <c r="F8" s="54">
        <v>0</v>
      </c>
      <c r="G8" s="55">
        <v>52</v>
      </c>
      <c r="H8" s="61">
        <v>0.77600000000000002</v>
      </c>
      <c r="I8" s="23"/>
      <c r="J8" s="23"/>
      <c r="K8" s="23"/>
      <c r="M8" s="66">
        <v>201420</v>
      </c>
      <c r="N8" s="53">
        <v>32</v>
      </c>
      <c r="O8" s="53">
        <v>7</v>
      </c>
      <c r="P8" s="54">
        <v>0.219</v>
      </c>
      <c r="Q8" s="53">
        <v>0</v>
      </c>
      <c r="R8" s="54">
        <v>0</v>
      </c>
      <c r="S8" s="55">
        <v>25</v>
      </c>
      <c r="T8" s="61">
        <v>0.78100000000000003</v>
      </c>
    </row>
    <row r="9" spans="1:20">
      <c r="A9" s="66">
        <v>201510</v>
      </c>
      <c r="B9" s="53">
        <v>69</v>
      </c>
      <c r="C9" s="53">
        <v>13</v>
      </c>
      <c r="D9" s="54">
        <v>0.188</v>
      </c>
      <c r="E9" s="53">
        <v>0</v>
      </c>
      <c r="F9" s="54">
        <v>0</v>
      </c>
      <c r="G9" s="55">
        <v>56</v>
      </c>
      <c r="H9" s="61">
        <v>0.81200000000000006</v>
      </c>
      <c r="I9" s="23"/>
      <c r="J9" s="23"/>
      <c r="K9" s="23"/>
      <c r="M9" s="66">
        <v>201510</v>
      </c>
      <c r="N9" s="53">
        <v>58</v>
      </c>
      <c r="O9" s="53">
        <v>11</v>
      </c>
      <c r="P9" s="54">
        <v>0.19</v>
      </c>
      <c r="Q9" s="53">
        <v>0</v>
      </c>
      <c r="R9" s="54">
        <v>0</v>
      </c>
      <c r="S9" s="55">
        <v>47</v>
      </c>
      <c r="T9" s="61">
        <v>0.81</v>
      </c>
    </row>
    <row r="10" spans="1:20">
      <c r="A10" s="66">
        <v>201520</v>
      </c>
      <c r="B10" s="53">
        <v>63</v>
      </c>
      <c r="C10" s="53">
        <v>10</v>
      </c>
      <c r="D10" s="54">
        <v>0.15873015873015872</v>
      </c>
      <c r="E10" s="53">
        <v>0</v>
      </c>
      <c r="F10" s="54">
        <v>0</v>
      </c>
      <c r="G10" s="55">
        <v>53</v>
      </c>
      <c r="H10" s="61">
        <v>0.84126984126984128</v>
      </c>
      <c r="I10" s="23"/>
      <c r="J10" s="23"/>
      <c r="K10" s="23"/>
      <c r="M10" s="66">
        <v>201520</v>
      </c>
      <c r="N10" s="53">
        <v>21</v>
      </c>
      <c r="O10" s="53">
        <v>6</v>
      </c>
      <c r="P10" s="54">
        <v>0.2857142857142857</v>
      </c>
      <c r="Q10" s="53">
        <v>0</v>
      </c>
      <c r="R10" s="54">
        <v>0</v>
      </c>
      <c r="S10" s="55">
        <v>15</v>
      </c>
      <c r="T10" s="61">
        <v>0.7142857142857143</v>
      </c>
    </row>
    <row r="11" spans="1:20">
      <c r="A11" s="66">
        <v>201610</v>
      </c>
      <c r="B11" s="53">
        <v>73</v>
      </c>
      <c r="C11" s="53">
        <v>9</v>
      </c>
      <c r="D11" s="54">
        <v>0.12328767123287671</v>
      </c>
      <c r="E11" s="53">
        <v>0</v>
      </c>
      <c r="F11" s="54">
        <v>0</v>
      </c>
      <c r="G11" s="55">
        <v>64</v>
      </c>
      <c r="H11" s="61">
        <v>0.87671232876712324</v>
      </c>
      <c r="I11" s="23"/>
      <c r="J11" s="23"/>
      <c r="K11" s="23"/>
      <c r="M11" s="66">
        <v>201610</v>
      </c>
      <c r="N11" s="53">
        <v>62</v>
      </c>
      <c r="O11" s="53">
        <v>7</v>
      </c>
      <c r="P11" s="54">
        <v>0.11290322580645161</v>
      </c>
      <c r="Q11" s="53">
        <v>0</v>
      </c>
      <c r="R11" s="54">
        <v>0</v>
      </c>
      <c r="S11" s="55">
        <v>55</v>
      </c>
      <c r="T11" s="61">
        <v>0.88709677419354838</v>
      </c>
    </row>
    <row r="12" spans="1:20">
      <c r="A12" s="66">
        <v>201620</v>
      </c>
      <c r="B12" s="57">
        <v>71</v>
      </c>
      <c r="C12" s="57">
        <v>14</v>
      </c>
      <c r="D12" s="58">
        <v>0.19700000000000001</v>
      </c>
      <c r="E12" s="57">
        <v>0</v>
      </c>
      <c r="F12" s="58">
        <v>0</v>
      </c>
      <c r="G12" s="57">
        <v>57</v>
      </c>
      <c r="H12" s="62">
        <v>0.80300000000000005</v>
      </c>
      <c r="I12" s="125"/>
      <c r="J12" s="125"/>
      <c r="K12" s="125"/>
      <c r="M12" s="66">
        <v>201620</v>
      </c>
      <c r="N12" s="57">
        <v>18</v>
      </c>
      <c r="O12" s="57">
        <v>2</v>
      </c>
      <c r="P12" s="58">
        <v>0.111</v>
      </c>
      <c r="Q12" s="57">
        <v>0</v>
      </c>
      <c r="R12" s="58">
        <v>0</v>
      </c>
      <c r="S12" s="57">
        <v>16</v>
      </c>
      <c r="T12" s="62">
        <v>0.88900000000000001</v>
      </c>
    </row>
    <row r="13" spans="1:20">
      <c r="A13" s="66">
        <v>201710</v>
      </c>
      <c r="B13" s="57">
        <v>70</v>
      </c>
      <c r="C13" s="57">
        <v>8</v>
      </c>
      <c r="D13" s="58">
        <v>0.11428571428571428</v>
      </c>
      <c r="E13" s="57">
        <v>0</v>
      </c>
      <c r="F13" s="58">
        <v>0</v>
      </c>
      <c r="G13" s="57">
        <v>62</v>
      </c>
      <c r="H13" s="62">
        <v>0.88571428571428568</v>
      </c>
      <c r="I13" s="125"/>
      <c r="J13" s="125"/>
      <c r="K13" s="125"/>
      <c r="M13" s="66">
        <v>201710</v>
      </c>
      <c r="N13" s="53">
        <v>49</v>
      </c>
      <c r="O13" s="53">
        <v>4</v>
      </c>
      <c r="P13" s="54">
        <v>8.1632653061224483E-2</v>
      </c>
      <c r="Q13" s="53">
        <v>0</v>
      </c>
      <c r="R13" s="54">
        <v>0</v>
      </c>
      <c r="S13" s="55">
        <v>45</v>
      </c>
      <c r="T13" s="61">
        <v>0.91836734693877553</v>
      </c>
    </row>
    <row r="14" spans="1:20">
      <c r="A14" s="66">
        <v>201720</v>
      </c>
      <c r="B14" s="53">
        <v>62</v>
      </c>
      <c r="C14" s="53">
        <v>8</v>
      </c>
      <c r="D14" s="54">
        <v>0.12903225806451613</v>
      </c>
      <c r="E14" s="53">
        <v>0</v>
      </c>
      <c r="F14" s="54">
        <v>0</v>
      </c>
      <c r="G14" s="55">
        <v>54</v>
      </c>
      <c r="H14" s="61">
        <v>0.87096774193548387</v>
      </c>
      <c r="I14" s="23"/>
      <c r="J14" s="23"/>
      <c r="K14" s="23"/>
      <c r="M14" s="66">
        <v>201720</v>
      </c>
      <c r="N14" s="53">
        <v>17</v>
      </c>
      <c r="O14" s="53">
        <v>4</v>
      </c>
      <c r="P14" s="54">
        <v>0.23529411764705882</v>
      </c>
      <c r="Q14" s="53">
        <v>0</v>
      </c>
      <c r="R14" s="54">
        <v>0</v>
      </c>
      <c r="S14" s="55">
        <v>13</v>
      </c>
      <c r="T14" s="61">
        <v>0.76470588235294112</v>
      </c>
    </row>
    <row r="15" spans="1:20">
      <c r="A15" s="67">
        <v>201810</v>
      </c>
      <c r="B15" s="53">
        <v>70</v>
      </c>
      <c r="C15" s="53">
        <v>9</v>
      </c>
      <c r="D15" s="54">
        <v>0.12857142857142856</v>
      </c>
      <c r="E15" s="53">
        <v>0</v>
      </c>
      <c r="F15" s="54">
        <v>0</v>
      </c>
      <c r="G15" s="55">
        <v>61</v>
      </c>
      <c r="H15" s="61">
        <v>0.87142857142857144</v>
      </c>
      <c r="I15" s="23"/>
      <c r="J15" s="23"/>
      <c r="K15" s="23"/>
      <c r="M15" s="67">
        <v>201810</v>
      </c>
      <c r="N15" s="53">
        <v>45</v>
      </c>
      <c r="O15" s="53">
        <v>5</v>
      </c>
      <c r="P15" s="54">
        <v>0.1111111111111111</v>
      </c>
      <c r="Q15" s="53">
        <v>0</v>
      </c>
      <c r="R15" s="54">
        <v>0</v>
      </c>
      <c r="S15" s="55">
        <v>40</v>
      </c>
      <c r="T15" s="61">
        <v>0.88888888888888884</v>
      </c>
    </row>
    <row r="16" spans="1:20">
      <c r="A16" s="67">
        <v>201820</v>
      </c>
      <c r="B16" s="53">
        <v>65</v>
      </c>
      <c r="C16" s="53">
        <v>5</v>
      </c>
      <c r="D16" s="54">
        <v>7.6923076923076927E-2</v>
      </c>
      <c r="E16" s="53">
        <v>0</v>
      </c>
      <c r="F16" s="54">
        <v>0</v>
      </c>
      <c r="G16" s="55">
        <v>60</v>
      </c>
      <c r="H16" s="61">
        <v>0.92307692307692313</v>
      </c>
      <c r="I16" s="23"/>
      <c r="J16" s="23"/>
      <c r="K16" s="23"/>
      <c r="M16" s="67">
        <v>201820</v>
      </c>
      <c r="N16" s="53">
        <v>10</v>
      </c>
      <c r="O16" s="53">
        <v>2</v>
      </c>
      <c r="P16" s="54">
        <v>0.2</v>
      </c>
      <c r="Q16" s="53">
        <v>0</v>
      </c>
      <c r="R16" s="54">
        <v>0</v>
      </c>
      <c r="S16" s="55">
        <v>8</v>
      </c>
      <c r="T16" s="61">
        <v>0.8</v>
      </c>
    </row>
    <row r="17" spans="1:23">
      <c r="A17" s="67">
        <v>201910</v>
      </c>
      <c r="B17" s="53">
        <v>74</v>
      </c>
      <c r="C17" s="53">
        <v>11</v>
      </c>
      <c r="D17" s="54">
        <v>0.14864864864864871</v>
      </c>
      <c r="E17" s="53">
        <v>0</v>
      </c>
      <c r="F17" s="54">
        <v>0</v>
      </c>
      <c r="G17" s="55">
        <v>63</v>
      </c>
      <c r="H17" s="61">
        <v>0.85135135135135132</v>
      </c>
      <c r="I17" s="23"/>
      <c r="J17" s="23"/>
      <c r="K17" s="23"/>
      <c r="M17" s="67">
        <v>201910</v>
      </c>
      <c r="N17" s="53">
        <v>52</v>
      </c>
      <c r="O17" s="53">
        <v>6</v>
      </c>
      <c r="P17" s="54">
        <v>0.1153846153846154</v>
      </c>
      <c r="Q17" s="53">
        <v>0</v>
      </c>
      <c r="R17" s="54">
        <v>0</v>
      </c>
      <c r="S17" s="55">
        <v>46</v>
      </c>
      <c r="T17" s="61">
        <v>0.88461538461538458</v>
      </c>
    </row>
    <row r="18" spans="1:23">
      <c r="A18" s="67">
        <v>201920</v>
      </c>
      <c r="B18" s="53">
        <v>67</v>
      </c>
      <c r="C18" s="53">
        <v>11</v>
      </c>
      <c r="D18" s="54">
        <v>0.16417910447761189</v>
      </c>
      <c r="E18" s="53">
        <v>0</v>
      </c>
      <c r="F18" s="54">
        <v>0</v>
      </c>
      <c r="G18" s="55">
        <v>56</v>
      </c>
      <c r="H18" s="61">
        <v>0.83582089552238792</v>
      </c>
      <c r="I18" s="23"/>
      <c r="J18" s="23"/>
      <c r="K18" s="23"/>
      <c r="M18" s="67">
        <v>201920</v>
      </c>
      <c r="N18" s="53">
        <v>20</v>
      </c>
      <c r="O18" s="53">
        <v>3</v>
      </c>
      <c r="P18" s="54">
        <v>0.15</v>
      </c>
      <c r="Q18" s="53">
        <v>0</v>
      </c>
      <c r="R18" s="54">
        <v>0</v>
      </c>
      <c r="S18" s="55">
        <v>17</v>
      </c>
      <c r="T18" s="61">
        <v>0.85</v>
      </c>
    </row>
    <row r="19" spans="1:23">
      <c r="A19" s="67">
        <v>202010</v>
      </c>
      <c r="B19" s="53">
        <v>79</v>
      </c>
      <c r="C19" s="53">
        <v>5</v>
      </c>
      <c r="D19" s="54">
        <v>6.3291139240506333E-2</v>
      </c>
      <c r="E19" s="53">
        <v>0</v>
      </c>
      <c r="F19" s="54">
        <v>0</v>
      </c>
      <c r="G19" s="55">
        <v>74</v>
      </c>
      <c r="H19" s="61">
        <v>0.93670886075949367</v>
      </c>
      <c r="I19" s="23"/>
      <c r="J19" s="23"/>
      <c r="K19" s="23"/>
      <c r="M19" s="67">
        <v>202010</v>
      </c>
      <c r="N19" s="53">
        <v>65</v>
      </c>
      <c r="O19" s="53">
        <v>2</v>
      </c>
      <c r="P19" s="54">
        <v>3.0769230769230771E-2</v>
      </c>
      <c r="Q19" s="53">
        <v>0</v>
      </c>
      <c r="R19" s="54">
        <v>0</v>
      </c>
      <c r="S19" s="55">
        <v>63</v>
      </c>
      <c r="T19" s="61">
        <v>0.96923076923076923</v>
      </c>
    </row>
    <row r="20" spans="1:23">
      <c r="A20" s="67">
        <v>202020</v>
      </c>
      <c r="B20" s="53">
        <v>83</v>
      </c>
      <c r="C20" s="53">
        <v>5</v>
      </c>
      <c r="D20" s="54">
        <v>6.0240963855421693E-2</v>
      </c>
      <c r="E20" s="53">
        <v>0</v>
      </c>
      <c r="F20" s="54">
        <v>0</v>
      </c>
      <c r="G20" s="55">
        <v>78</v>
      </c>
      <c r="H20" s="61">
        <v>0.93975903614457834</v>
      </c>
      <c r="I20" s="23"/>
      <c r="J20" s="23"/>
      <c r="K20" s="23"/>
      <c r="M20" s="67">
        <v>202020</v>
      </c>
      <c r="N20" s="53">
        <v>17</v>
      </c>
      <c r="O20" s="53">
        <v>1</v>
      </c>
      <c r="P20" s="54">
        <v>5.8823529411764712E-2</v>
      </c>
      <c r="Q20" s="53">
        <v>0</v>
      </c>
      <c r="R20" s="54">
        <v>0</v>
      </c>
      <c r="S20" s="55">
        <v>16</v>
      </c>
      <c r="T20" s="61">
        <v>0.94117647058823528</v>
      </c>
    </row>
    <row r="21" spans="1:23">
      <c r="A21" s="67">
        <v>202110</v>
      </c>
      <c r="B21" s="53">
        <v>80</v>
      </c>
      <c r="C21" s="53">
        <v>9</v>
      </c>
      <c r="D21" s="54">
        <v>0.1125</v>
      </c>
      <c r="E21" s="53">
        <v>0</v>
      </c>
      <c r="F21" s="54">
        <v>0</v>
      </c>
      <c r="G21" s="55">
        <v>71</v>
      </c>
      <c r="H21" s="61">
        <v>0.88749999999999996</v>
      </c>
      <c r="I21" s="23"/>
      <c r="J21" s="23"/>
      <c r="K21" s="23"/>
      <c r="M21" s="67">
        <v>202110</v>
      </c>
      <c r="N21" s="53">
        <v>31</v>
      </c>
      <c r="O21" s="53">
        <v>4</v>
      </c>
      <c r="P21" s="54">
        <v>0.1290322580645161</v>
      </c>
      <c r="Q21" s="53">
        <v>0</v>
      </c>
      <c r="R21" s="54">
        <v>0</v>
      </c>
      <c r="S21" s="55">
        <v>27</v>
      </c>
      <c r="T21" s="61">
        <v>0.87096774193548387</v>
      </c>
    </row>
    <row r="22" spans="1:23">
      <c r="A22" s="67">
        <v>202120</v>
      </c>
      <c r="B22" s="53">
        <v>75</v>
      </c>
      <c r="C22" s="53">
        <v>4</v>
      </c>
      <c r="D22" s="54">
        <v>5.3333333333333337E-2</v>
      </c>
      <c r="E22" s="53">
        <v>0</v>
      </c>
      <c r="F22" s="54">
        <v>0</v>
      </c>
      <c r="G22" s="55">
        <v>71</v>
      </c>
      <c r="H22" s="61">
        <v>0.94666666666666666</v>
      </c>
      <c r="I22" s="23"/>
      <c r="J22" s="23"/>
      <c r="K22" s="23"/>
      <c r="M22" s="67">
        <v>202120</v>
      </c>
      <c r="N22" s="53">
        <v>43</v>
      </c>
      <c r="O22" s="53">
        <v>4</v>
      </c>
      <c r="P22" s="54">
        <v>9.3023255813953487E-2</v>
      </c>
      <c r="Q22" s="53">
        <v>0</v>
      </c>
      <c r="R22" s="54">
        <v>0</v>
      </c>
      <c r="S22" s="55">
        <v>39</v>
      </c>
      <c r="T22" s="61">
        <v>0.90697674418604646</v>
      </c>
    </row>
    <row r="23" spans="1:23">
      <c r="A23" s="67">
        <v>202210</v>
      </c>
      <c r="B23" s="53">
        <f>IF(RIGHT($A23,2)="10",_xlfn.XLOOKUP($A23,[1]FCH!$B:$B,[1]FCH!C:C,0),_xlfn.XLOOKUP($A23,[2]FCH!$K:$K,[2]FCH!L:L,0))</f>
        <v>276</v>
      </c>
      <c r="C23" s="53">
        <f>IF(RIGHT($A23,2)="10",_xlfn.XLOOKUP($A23,[1]FCH!$B:$B,[1]FCH!D:D,0),_xlfn.XLOOKUP($A23,[2]FCH!$K:$K,[2]FCH!M:M,0))</f>
        <v>34</v>
      </c>
      <c r="D23" s="68">
        <f>IFERROR(C23/$B23,0)</f>
        <v>0.12318840579710146</v>
      </c>
      <c r="E23" s="53">
        <f>IF(RIGHT($A23,2)="10",_xlfn.XLOOKUP($A23,[1]FCH!$B:$B,[1]FCH!F:F,0),_xlfn.XLOOKUP($A23,[2]FCH!$K:$K,[2]FCH!O:O,0))</f>
        <v>0</v>
      </c>
      <c r="F23" s="54">
        <f>E23/B23</f>
        <v>0</v>
      </c>
      <c r="G23" s="55">
        <f>B23-C23</f>
        <v>242</v>
      </c>
      <c r="H23" s="61">
        <f>G23/B23</f>
        <v>0.87681159420289856</v>
      </c>
      <c r="I23" s="23"/>
      <c r="J23" s="23"/>
      <c r="K23" s="23"/>
      <c r="M23" s="67">
        <v>202210</v>
      </c>
      <c r="N23" s="53">
        <f>IF(RIGHT($A23,2)="10",_xlfn.XLOOKUP($A23,'[1]FCH 123'!$B:$B,'[1]FCH 123'!C:C,0),_xlfn.XLOOKUP($A23,'[2]FCH 123'!$K:$K,'[2]FCH 123'!L:L,0))</f>
        <v>180</v>
      </c>
      <c r="O23" s="53">
        <f>IF(RIGHT($A23,2)="10",_xlfn.XLOOKUP($A23,'[1]FCH 123'!$B:$B,'[1]FCH 123'!D:D,0),_xlfn.XLOOKUP($A23,'[2]FCH 123'!$K:$K,'[2]FCH 123'!M:M,0))</f>
        <v>20</v>
      </c>
      <c r="P23" s="54">
        <f>O23/N23</f>
        <v>0.1111111111111111</v>
      </c>
      <c r="Q23" s="53">
        <f>IF(RIGHT($A23,2)="10",_xlfn.XLOOKUP($A23,'[1]FCH 123'!$B:$B,'[1]FCH 123'!F:F,0),_xlfn.XLOOKUP($A23,'[2]FCH 123'!$K:$K,'[2]FCH 123'!O:O,0))</f>
        <v>0</v>
      </c>
      <c r="R23" s="54">
        <f>Q23/N23</f>
        <v>0</v>
      </c>
      <c r="S23" s="55">
        <f>N23-O23</f>
        <v>160</v>
      </c>
      <c r="T23" s="61">
        <f>S23/N23</f>
        <v>0.88888888888888884</v>
      </c>
    </row>
    <row r="24" spans="1:23">
      <c r="A24" s="67">
        <v>202220</v>
      </c>
      <c r="B24" s="53">
        <f>IF(RIGHT($A24,2)="10",_xlfn.XLOOKUP($A24,[1]FCH!$B:$B,[1]FCH!C:C,0),_xlfn.XLOOKUP($A24,[2]FCH!$K:$K,[2]FCH!L:L,0))</f>
        <v>166</v>
      </c>
      <c r="C24" s="53">
        <f>IF(RIGHT($A24,2)="10",_xlfn.XLOOKUP($A24,[1]FCH!$B:$B,[1]FCH!D:D,0),_xlfn.XLOOKUP($A24,[2]FCH!$K:$K,[2]FCH!M:M,0))</f>
        <v>33</v>
      </c>
      <c r="D24" s="68">
        <f>IFERROR(C24/$B24,0)</f>
        <v>0.19879518072289157</v>
      </c>
      <c r="E24" s="53">
        <f>IF(RIGHT($A24,2)="10",_xlfn.XLOOKUP($A24,[1]FCH!$B:$B,[1]FCH!F:F,0),_xlfn.XLOOKUP($A24,[2]FCH!$K:$K,[2]FCH!O:O,0))</f>
        <v>0</v>
      </c>
      <c r="F24" s="54">
        <f>E24/B24</f>
        <v>0</v>
      </c>
      <c r="G24" s="55">
        <f>B24-C24</f>
        <v>133</v>
      </c>
      <c r="H24" s="61">
        <f>G24/B24</f>
        <v>0.8012048192771084</v>
      </c>
      <c r="I24" s="23"/>
      <c r="J24" s="23"/>
      <c r="K24" s="23"/>
      <c r="M24" s="67">
        <v>202220</v>
      </c>
      <c r="N24" s="53">
        <f>IF(RIGHT($A24,2)="10",_xlfn.XLOOKUP($A24,'[1]FCH 123'!$B:$B,'[1]FCH 123'!C:C,0),_xlfn.XLOOKUP($A24,'[2]FCH 123'!$K:$K,'[2]FCH 123'!L:L,0))</f>
        <v>100</v>
      </c>
      <c r="O24" s="53">
        <f>IF(RIGHT($A24,2)="10",_xlfn.XLOOKUP($A24,'[1]FCH 123'!$B:$B,'[1]FCH 123'!D:D,0),_xlfn.XLOOKUP($A24,'[2]FCH 123'!$K:$K,'[2]FCH 123'!M:M,0))</f>
        <v>15</v>
      </c>
      <c r="P24" s="54">
        <f>O24/N24</f>
        <v>0.15</v>
      </c>
      <c r="Q24" s="53">
        <f>IF(RIGHT($A24,2)="10",_xlfn.XLOOKUP($A24,'[1]FCH 123'!$B:$B,'[1]FCH 123'!F:F,0),_xlfn.XLOOKUP($A24,'[2]FCH 123'!$K:$K,'[2]FCH 123'!O:O,0))</f>
        <v>0</v>
      </c>
      <c r="R24" s="54">
        <f>Q24/N24</f>
        <v>0</v>
      </c>
      <c r="S24" s="55">
        <f>N24-O24</f>
        <v>85</v>
      </c>
      <c r="T24" s="61">
        <f>S24/N24</f>
        <v>0.85</v>
      </c>
    </row>
    <row r="25" spans="1:23" ht="10.8" thickBot="1">
      <c r="A25" s="172">
        <v>202310</v>
      </c>
      <c r="B25" s="173">
        <v>78</v>
      </c>
      <c r="C25" s="173">
        <v>5</v>
      </c>
      <c r="D25" s="174">
        <f t="shared" ref="D25" si="0">C25/B25</f>
        <v>6.4102564102564097E-2</v>
      </c>
      <c r="E25" s="173">
        <v>0</v>
      </c>
      <c r="F25" s="181">
        <f t="shared" ref="F25" si="1">E25/B25</f>
        <v>0</v>
      </c>
      <c r="G25" s="180">
        <v>73</v>
      </c>
      <c r="H25" s="182">
        <f t="shared" ref="H25" si="2">(B25-C25-E25)/B25</f>
        <v>0.9358974358974359</v>
      </c>
      <c r="I25" s="23"/>
      <c r="J25" s="23"/>
      <c r="K25" s="23"/>
      <c r="M25" s="172">
        <v>202310</v>
      </c>
      <c r="N25" s="173">
        <v>51</v>
      </c>
      <c r="O25" s="173">
        <v>5</v>
      </c>
      <c r="P25" s="181">
        <f t="shared" ref="P25" si="3">O25/N25</f>
        <v>9.8039215686274508E-2</v>
      </c>
      <c r="Q25" s="173">
        <v>0</v>
      </c>
      <c r="R25" s="181">
        <f t="shared" ref="R25" si="4">Q25/N25</f>
        <v>0</v>
      </c>
      <c r="S25" s="180">
        <v>46</v>
      </c>
      <c r="T25" s="182">
        <f t="shared" ref="T25" si="5">(N25-O25-Q25)/N25</f>
        <v>0.90196078431372551</v>
      </c>
    </row>
    <row r="26" spans="1:23" s="18" customFormat="1">
      <c r="A26" s="25"/>
      <c r="B26" s="22"/>
      <c r="C26" s="22"/>
      <c r="D26" s="23"/>
      <c r="E26" s="22"/>
      <c r="F26" s="23"/>
      <c r="G26" s="24"/>
      <c r="H26" s="23"/>
      <c r="I26" s="23"/>
      <c r="J26" s="23"/>
      <c r="K26" s="23"/>
      <c r="M26" s="25"/>
      <c r="N26" s="26"/>
      <c r="O26" s="26"/>
      <c r="P26" s="27"/>
      <c r="Q26" s="26"/>
      <c r="R26" s="27"/>
      <c r="S26" s="25"/>
      <c r="T26" s="27"/>
    </row>
    <row r="27" spans="1:23" ht="37.5" hidden="1" customHeight="1">
      <c r="A27" s="212" t="s">
        <v>100</v>
      </c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M27" s="220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20.399999999999999" hidden="1">
      <c r="A28" s="171" t="s">
        <v>121</v>
      </c>
      <c r="B28" s="171" t="s">
        <v>103</v>
      </c>
      <c r="C28" s="171" t="s">
        <v>104</v>
      </c>
      <c r="D28" s="171" t="s">
        <v>105</v>
      </c>
      <c r="E28" s="171" t="s">
        <v>106</v>
      </c>
      <c r="F28" s="171" t="s">
        <v>107</v>
      </c>
      <c r="G28" s="171" t="s">
        <v>108</v>
      </c>
      <c r="H28" s="171" t="s">
        <v>109</v>
      </c>
      <c r="I28" s="171" t="s">
        <v>110</v>
      </c>
      <c r="J28" s="171" t="str">
        <f>'1d. Retiro temprano.'!K30</f>
        <v>2023
212-221</v>
      </c>
      <c r="K28" s="171" t="str">
        <f>'1d. Retiro temprano.'!L30</f>
        <v>2024-1***
222</v>
      </c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2" t="str">
        <f>D5</f>
        <v>-</v>
      </c>
      <c r="B29" s="32">
        <f>+((B6*D6)+(B7*D7))/(B6+B7)</f>
        <v>0.13803448275862068</v>
      </c>
      <c r="C29" s="32">
        <f>((B8*D8)+(B9*D9))/(B8+B9)</f>
        <v>0.20573529411764707</v>
      </c>
      <c r="D29" s="32">
        <f>+((B10*D10)+(B11*D11))/(B10+B11)</f>
        <v>0.13970588235294118</v>
      </c>
      <c r="E29" s="32">
        <f>((B12*D12)+(B13*D13))/(B12+B13)</f>
        <v>0.15593617021276598</v>
      </c>
      <c r="F29" s="32">
        <f>((B14*D14)+(B15*D15))/(B14+B15)</f>
        <v>0.12878787878787878</v>
      </c>
      <c r="G29" s="32">
        <f>((B16*D16)+(B17*D17))/(B16+B17)</f>
        <v>0.1151079136690648</v>
      </c>
      <c r="H29" s="32">
        <f>((B18*D18)+(B19*D19))/(B18+B19)</f>
        <v>0.10958904109589039</v>
      </c>
      <c r="I29" s="32">
        <f>((B20*D20)+(B21*D21))/(B20+B21)</f>
        <v>8.5889570552147243E-2</v>
      </c>
      <c r="J29" s="32">
        <f>SUM(C22:C23)/SUM(B22:B23)</f>
        <v>0.10826210826210826</v>
      </c>
      <c r="K29" s="32">
        <f>D24</f>
        <v>0.19879518072289157</v>
      </c>
      <c r="M29" s="32" t="str">
        <f>P5</f>
        <v>-</v>
      </c>
      <c r="N29" s="32">
        <f>+((N6*P6)+(N7*P7))/(N6+N7)</f>
        <v>0.15639062500000001</v>
      </c>
      <c r="O29" s="32">
        <f>((N8*P8)+(N9*P9))/(N8+N9)</f>
        <v>0.20031111111111111</v>
      </c>
      <c r="P29" s="32">
        <f>+((N10*P10)+(N11*P11))/(N10+N11)</f>
        <v>0.15662650602409639</v>
      </c>
      <c r="Q29" s="32">
        <f>((N12*P12)+(N13*P13))/(N12+N13)</f>
        <v>8.9522388059701488E-2</v>
      </c>
      <c r="R29" s="32">
        <f>((N14*P14)+(N15*P15))/(N14+N15)</f>
        <v>0.14516129032258066</v>
      </c>
      <c r="S29" s="32">
        <f>((N16*P16)+(N17*P17))/(N16+N17)</f>
        <v>0.12903225806451613</v>
      </c>
      <c r="T29" s="32">
        <f>((N18*P18)+(N19*P19))/(N18+N19)</f>
        <v>5.8823529411764705E-2</v>
      </c>
      <c r="U29" s="32">
        <f>((N20*P20)+(N21*P21))/(N20+N21)</f>
        <v>0.10416666666666664</v>
      </c>
      <c r="V29" s="32">
        <f>SUM(O22:O23)/SUM(N22:N23)</f>
        <v>0.10762331838565023</v>
      </c>
      <c r="W29" s="32">
        <f>P24</f>
        <v>0.15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1">
    <mergeCell ref="A31:L31"/>
    <mergeCell ref="M30:V30"/>
    <mergeCell ref="M31:W31"/>
    <mergeCell ref="A1:H1"/>
    <mergeCell ref="A2:H2"/>
    <mergeCell ref="M3:T3"/>
    <mergeCell ref="A3:H3"/>
    <mergeCell ref="M1:T1"/>
    <mergeCell ref="A30:J30"/>
    <mergeCell ref="M27:W27"/>
    <mergeCell ref="A27:K27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V27"/>
  <sheetViews>
    <sheetView showGridLines="0" zoomScaleNormal="100" workbookViewId="0">
      <selection sqref="A1:H1"/>
    </sheetView>
  </sheetViews>
  <sheetFormatPr baseColWidth="10" defaultColWidth="11.44140625" defaultRowHeight="10.199999999999999"/>
  <cols>
    <col min="1" max="10" width="11.44140625" style="6"/>
    <col min="11" max="16384" width="11.44140625" style="7"/>
  </cols>
  <sheetData>
    <row r="1" spans="1:19">
      <c r="A1" s="209" t="s">
        <v>238</v>
      </c>
      <c r="B1" s="209"/>
      <c r="C1" s="209"/>
      <c r="D1" s="209"/>
      <c r="E1" s="209"/>
      <c r="F1" s="209"/>
      <c r="G1" s="209"/>
      <c r="H1" s="209"/>
      <c r="I1" s="123"/>
      <c r="J1" s="123"/>
      <c r="L1" s="209" t="s">
        <v>238</v>
      </c>
      <c r="M1" s="209"/>
      <c r="N1" s="209"/>
      <c r="O1" s="209"/>
      <c r="P1" s="209"/>
      <c r="Q1" s="209"/>
      <c r="R1" s="209"/>
      <c r="S1" s="209"/>
    </row>
    <row r="2" spans="1:19" ht="16.5" customHeight="1" thickBot="1">
      <c r="A2" s="215"/>
      <c r="B2" s="215"/>
      <c r="C2" s="215"/>
      <c r="D2" s="215"/>
      <c r="E2" s="215"/>
      <c r="F2" s="215"/>
      <c r="G2" s="215"/>
      <c r="H2" s="215"/>
      <c r="I2" s="11"/>
      <c r="J2" s="11"/>
    </row>
    <row r="3" spans="1:19" ht="10.8" thickBot="1">
      <c r="A3" s="216" t="s">
        <v>149</v>
      </c>
      <c r="B3" s="217"/>
      <c r="C3" s="217"/>
      <c r="D3" s="217"/>
      <c r="E3" s="217"/>
      <c r="F3" s="217"/>
      <c r="G3" s="217"/>
      <c r="H3" s="218"/>
      <c r="I3" s="122"/>
      <c r="J3" s="122"/>
      <c r="K3" s="19"/>
      <c r="L3" s="216" t="s">
        <v>150</v>
      </c>
      <c r="M3" s="217"/>
      <c r="N3" s="217"/>
      <c r="O3" s="217"/>
      <c r="P3" s="217"/>
      <c r="Q3" s="217"/>
      <c r="R3" s="217"/>
      <c r="S3" s="218"/>
    </row>
    <row r="4" spans="1:19" ht="51">
      <c r="A4" s="153" t="s">
        <v>0</v>
      </c>
      <c r="B4" s="164" t="s">
        <v>93</v>
      </c>
      <c r="C4" s="164" t="s">
        <v>94</v>
      </c>
      <c r="D4" s="164" t="s">
        <v>95</v>
      </c>
      <c r="E4" s="164" t="s">
        <v>96</v>
      </c>
      <c r="F4" s="164" t="s">
        <v>97</v>
      </c>
      <c r="G4" s="164" t="s">
        <v>98</v>
      </c>
      <c r="H4" s="165" t="s">
        <v>99</v>
      </c>
      <c r="I4" s="126"/>
      <c r="J4" s="126"/>
      <c r="L4" s="149" t="s">
        <v>0</v>
      </c>
      <c r="M4" s="150" t="s">
        <v>93</v>
      </c>
      <c r="N4" s="150" t="s">
        <v>94</v>
      </c>
      <c r="O4" s="150" t="s">
        <v>95</v>
      </c>
      <c r="P4" s="150" t="s">
        <v>96</v>
      </c>
      <c r="Q4" s="150" t="s">
        <v>97</v>
      </c>
      <c r="R4" s="150" t="s">
        <v>98</v>
      </c>
      <c r="S4" s="151" t="s">
        <v>99</v>
      </c>
    </row>
    <row r="5" spans="1:19" ht="15" customHeight="1">
      <c r="A5" s="129">
        <v>201310</v>
      </c>
      <c r="B5" s="89">
        <v>156</v>
      </c>
      <c r="C5" s="89">
        <v>29</v>
      </c>
      <c r="D5" s="99">
        <f>C5/B5</f>
        <v>0.1858974358974359</v>
      </c>
      <c r="E5" s="89">
        <v>0</v>
      </c>
      <c r="F5" s="99">
        <f>E5/B5</f>
        <v>0</v>
      </c>
      <c r="G5" s="89">
        <v>127</v>
      </c>
      <c r="H5" s="130">
        <f>G5/B5</f>
        <v>0.8141025641025641</v>
      </c>
      <c r="I5" s="133"/>
      <c r="J5" s="133"/>
      <c r="L5" s="129">
        <v>201310</v>
      </c>
      <c r="M5" s="89">
        <v>80</v>
      </c>
      <c r="N5" s="89">
        <v>14</v>
      </c>
      <c r="O5" s="99">
        <f>N5/M5</f>
        <v>0.17499999999999999</v>
      </c>
      <c r="P5" s="89">
        <v>0</v>
      </c>
      <c r="Q5" s="99">
        <f>P5/M5</f>
        <v>0</v>
      </c>
      <c r="R5" s="89">
        <v>66</v>
      </c>
      <c r="S5" s="130">
        <f>R5/M5</f>
        <v>0.82499999999999996</v>
      </c>
    </row>
    <row r="6" spans="1:19">
      <c r="A6" s="129">
        <v>201320</v>
      </c>
      <c r="B6" s="103">
        <v>156</v>
      </c>
      <c r="C6" s="103">
        <v>41</v>
      </c>
      <c r="D6" s="99">
        <f t="shared" ref="D6:D21" si="0">C6/B6</f>
        <v>0.26282051282051283</v>
      </c>
      <c r="E6" s="103">
        <v>0</v>
      </c>
      <c r="F6" s="99">
        <f t="shared" ref="F6:F21" si="1">E6/B6</f>
        <v>0</v>
      </c>
      <c r="G6" s="104">
        <v>115</v>
      </c>
      <c r="H6" s="130">
        <f t="shared" ref="H6:H21" si="2">G6/B6</f>
        <v>0.73717948717948723</v>
      </c>
      <c r="I6" s="128"/>
      <c r="J6" s="128"/>
      <c r="L6" s="129">
        <v>201320</v>
      </c>
      <c r="M6" s="103">
        <v>80</v>
      </c>
      <c r="N6" s="103">
        <v>20</v>
      </c>
      <c r="O6" s="99">
        <f t="shared" ref="O6:O21" si="3">N6/M6</f>
        <v>0.25</v>
      </c>
      <c r="P6" s="103">
        <v>0</v>
      </c>
      <c r="Q6" s="99">
        <f t="shared" ref="Q6:Q21" si="4">P6/M6</f>
        <v>0</v>
      </c>
      <c r="R6" s="104">
        <v>60</v>
      </c>
      <c r="S6" s="130">
        <f t="shared" ref="S6:S21" si="5">R6/M6</f>
        <v>0.75</v>
      </c>
    </row>
    <row r="7" spans="1:19">
      <c r="A7" s="129">
        <v>201410</v>
      </c>
      <c r="B7" s="103">
        <v>121</v>
      </c>
      <c r="C7" s="103">
        <v>48</v>
      </c>
      <c r="D7" s="99">
        <f t="shared" si="0"/>
        <v>0.39669421487603307</v>
      </c>
      <c r="E7" s="103">
        <v>0</v>
      </c>
      <c r="F7" s="99">
        <f t="shared" si="1"/>
        <v>0</v>
      </c>
      <c r="G7" s="103">
        <v>73</v>
      </c>
      <c r="H7" s="130">
        <f t="shared" si="2"/>
        <v>0.60330578512396693</v>
      </c>
      <c r="I7" s="134"/>
      <c r="J7" s="134"/>
      <c r="L7" s="129">
        <v>201410</v>
      </c>
      <c r="M7" s="103">
        <v>82</v>
      </c>
      <c r="N7" s="103">
        <v>28</v>
      </c>
      <c r="O7" s="99">
        <f t="shared" si="3"/>
        <v>0.34146341463414637</v>
      </c>
      <c r="P7" s="103">
        <v>0</v>
      </c>
      <c r="Q7" s="99">
        <f t="shared" si="4"/>
        <v>0</v>
      </c>
      <c r="R7" s="104">
        <v>54</v>
      </c>
      <c r="S7" s="130">
        <f t="shared" si="5"/>
        <v>0.65853658536585369</v>
      </c>
    </row>
    <row r="8" spans="1:19">
      <c r="A8" s="129">
        <v>201420</v>
      </c>
      <c r="B8" s="103">
        <v>177</v>
      </c>
      <c r="C8" s="103">
        <v>46</v>
      </c>
      <c r="D8" s="99">
        <f t="shared" si="0"/>
        <v>0.25988700564971751</v>
      </c>
      <c r="E8" s="103">
        <v>0</v>
      </c>
      <c r="F8" s="99">
        <f t="shared" si="1"/>
        <v>0</v>
      </c>
      <c r="G8" s="104">
        <v>131</v>
      </c>
      <c r="H8" s="130">
        <f t="shared" si="2"/>
        <v>0.74011299435028244</v>
      </c>
      <c r="I8" s="128"/>
      <c r="J8" s="128"/>
      <c r="L8" s="129">
        <v>201420</v>
      </c>
      <c r="M8" s="103">
        <v>94</v>
      </c>
      <c r="N8" s="103">
        <v>25</v>
      </c>
      <c r="O8" s="99">
        <f t="shared" si="3"/>
        <v>0.26595744680851063</v>
      </c>
      <c r="P8" s="103">
        <v>0</v>
      </c>
      <c r="Q8" s="99">
        <f t="shared" si="4"/>
        <v>0</v>
      </c>
      <c r="R8" s="104">
        <v>69</v>
      </c>
      <c r="S8" s="130">
        <f t="shared" si="5"/>
        <v>0.73404255319148937</v>
      </c>
    </row>
    <row r="9" spans="1:19">
      <c r="A9" s="129">
        <v>201510</v>
      </c>
      <c r="B9" s="103">
        <v>210</v>
      </c>
      <c r="C9" s="103">
        <v>62</v>
      </c>
      <c r="D9" s="99">
        <f t="shared" si="0"/>
        <v>0.29523809523809524</v>
      </c>
      <c r="E9" s="103">
        <v>0</v>
      </c>
      <c r="F9" s="99">
        <f t="shared" si="1"/>
        <v>0</v>
      </c>
      <c r="G9" s="104">
        <v>148</v>
      </c>
      <c r="H9" s="130">
        <f t="shared" si="2"/>
        <v>0.70476190476190481</v>
      </c>
      <c r="I9" s="128"/>
      <c r="J9" s="128"/>
      <c r="L9" s="129">
        <v>201510</v>
      </c>
      <c r="M9" s="103">
        <v>183</v>
      </c>
      <c r="N9" s="103">
        <v>52</v>
      </c>
      <c r="O9" s="99">
        <f t="shared" si="3"/>
        <v>0.28415300546448086</v>
      </c>
      <c r="P9" s="103">
        <v>0</v>
      </c>
      <c r="Q9" s="99">
        <f t="shared" si="4"/>
        <v>0</v>
      </c>
      <c r="R9" s="104">
        <v>131</v>
      </c>
      <c r="S9" s="130">
        <f t="shared" si="5"/>
        <v>0.71584699453551914</v>
      </c>
    </row>
    <row r="10" spans="1:19">
      <c r="A10" s="129">
        <v>201520</v>
      </c>
      <c r="B10" s="103">
        <v>184</v>
      </c>
      <c r="C10" s="103">
        <v>44</v>
      </c>
      <c r="D10" s="99">
        <f t="shared" si="0"/>
        <v>0.2391304347826087</v>
      </c>
      <c r="E10" s="103">
        <v>0</v>
      </c>
      <c r="F10" s="99">
        <f t="shared" si="1"/>
        <v>0</v>
      </c>
      <c r="G10" s="104">
        <v>140</v>
      </c>
      <c r="H10" s="130">
        <f t="shared" si="2"/>
        <v>0.76086956521739135</v>
      </c>
      <c r="I10" s="128"/>
      <c r="J10" s="128"/>
      <c r="L10" s="129">
        <v>201520</v>
      </c>
      <c r="M10" s="103">
        <v>92</v>
      </c>
      <c r="N10" s="103">
        <v>22</v>
      </c>
      <c r="O10" s="99">
        <f t="shared" si="3"/>
        <v>0.2391304347826087</v>
      </c>
      <c r="P10" s="103">
        <v>0</v>
      </c>
      <c r="Q10" s="99">
        <f t="shared" si="4"/>
        <v>0</v>
      </c>
      <c r="R10" s="104">
        <v>70</v>
      </c>
      <c r="S10" s="130">
        <f t="shared" si="5"/>
        <v>0.76086956521739135</v>
      </c>
    </row>
    <row r="11" spans="1:19">
      <c r="A11" s="129">
        <v>201610</v>
      </c>
      <c r="B11" s="103">
        <v>329</v>
      </c>
      <c r="C11" s="103">
        <v>95</v>
      </c>
      <c r="D11" s="99">
        <f t="shared" si="0"/>
        <v>0.28875379939209728</v>
      </c>
      <c r="E11" s="103">
        <v>0</v>
      </c>
      <c r="F11" s="99">
        <f t="shared" si="1"/>
        <v>0</v>
      </c>
      <c r="G11" s="104">
        <v>234</v>
      </c>
      <c r="H11" s="130">
        <f t="shared" si="2"/>
        <v>0.71124620060790278</v>
      </c>
      <c r="I11" s="128"/>
      <c r="J11" s="128"/>
      <c r="L11" s="129">
        <v>201610</v>
      </c>
      <c r="M11" s="103">
        <v>291</v>
      </c>
      <c r="N11" s="103">
        <v>76</v>
      </c>
      <c r="O11" s="99">
        <f t="shared" si="3"/>
        <v>0.2611683848797251</v>
      </c>
      <c r="P11" s="103">
        <v>0</v>
      </c>
      <c r="Q11" s="99">
        <f t="shared" si="4"/>
        <v>0</v>
      </c>
      <c r="R11" s="104">
        <v>215</v>
      </c>
      <c r="S11" s="130">
        <f t="shared" si="5"/>
        <v>0.73883161512027495</v>
      </c>
    </row>
    <row r="12" spans="1:19">
      <c r="A12" s="129">
        <v>201620</v>
      </c>
      <c r="B12" s="89">
        <v>267</v>
      </c>
      <c r="C12" s="89">
        <v>60</v>
      </c>
      <c r="D12" s="99">
        <f t="shared" si="0"/>
        <v>0.2247191011235955</v>
      </c>
      <c r="E12" s="89">
        <v>0</v>
      </c>
      <c r="F12" s="99">
        <f t="shared" si="1"/>
        <v>0</v>
      </c>
      <c r="G12" s="89">
        <v>207</v>
      </c>
      <c r="H12" s="130">
        <f t="shared" si="2"/>
        <v>0.7752808988764045</v>
      </c>
      <c r="I12" s="133"/>
      <c r="J12" s="133"/>
      <c r="L12" s="129">
        <v>201620</v>
      </c>
      <c r="M12" s="89">
        <v>116</v>
      </c>
      <c r="N12" s="89">
        <v>24</v>
      </c>
      <c r="O12" s="99">
        <f t="shared" si="3"/>
        <v>0.20689655172413793</v>
      </c>
      <c r="P12" s="89">
        <v>0</v>
      </c>
      <c r="Q12" s="99">
        <f t="shared" si="4"/>
        <v>0</v>
      </c>
      <c r="R12" s="89">
        <v>92</v>
      </c>
      <c r="S12" s="130">
        <f t="shared" si="5"/>
        <v>0.7931034482758621</v>
      </c>
    </row>
    <row r="13" spans="1:19">
      <c r="A13" s="129">
        <v>201710</v>
      </c>
      <c r="B13" s="103">
        <v>282</v>
      </c>
      <c r="C13" s="103">
        <v>52</v>
      </c>
      <c r="D13" s="99">
        <f t="shared" si="0"/>
        <v>0.18439716312056736</v>
      </c>
      <c r="E13" s="103">
        <v>0</v>
      </c>
      <c r="F13" s="99">
        <f t="shared" si="1"/>
        <v>0</v>
      </c>
      <c r="G13" s="104">
        <v>230</v>
      </c>
      <c r="H13" s="130">
        <f t="shared" si="2"/>
        <v>0.81560283687943258</v>
      </c>
      <c r="I13" s="128"/>
      <c r="J13" s="128"/>
      <c r="L13" s="129">
        <v>201710</v>
      </c>
      <c r="M13" s="103">
        <v>240</v>
      </c>
      <c r="N13" s="103">
        <v>42</v>
      </c>
      <c r="O13" s="99">
        <f t="shared" si="3"/>
        <v>0.17499999999999999</v>
      </c>
      <c r="P13" s="103">
        <v>0</v>
      </c>
      <c r="Q13" s="99">
        <f t="shared" si="4"/>
        <v>0</v>
      </c>
      <c r="R13" s="104">
        <v>198</v>
      </c>
      <c r="S13" s="130">
        <f t="shared" si="5"/>
        <v>0.82499999999999996</v>
      </c>
    </row>
    <row r="14" spans="1:19">
      <c r="A14" s="129">
        <v>201720</v>
      </c>
      <c r="B14" s="103">
        <v>159</v>
      </c>
      <c r="C14" s="103">
        <v>34</v>
      </c>
      <c r="D14" s="99">
        <f t="shared" si="0"/>
        <v>0.21383647798742139</v>
      </c>
      <c r="E14" s="103">
        <v>1</v>
      </c>
      <c r="F14" s="99">
        <f t="shared" si="1"/>
        <v>6.2893081761006293E-3</v>
      </c>
      <c r="G14" s="104">
        <v>124</v>
      </c>
      <c r="H14" s="130">
        <f t="shared" si="2"/>
        <v>0.77987421383647804</v>
      </c>
      <c r="I14" s="128"/>
      <c r="J14" s="128"/>
      <c r="L14" s="129">
        <v>201720</v>
      </c>
      <c r="M14" s="103">
        <v>61</v>
      </c>
      <c r="N14" s="103">
        <v>8</v>
      </c>
      <c r="O14" s="99">
        <f t="shared" si="3"/>
        <v>0.13114754098360656</v>
      </c>
      <c r="P14" s="103">
        <v>0</v>
      </c>
      <c r="Q14" s="99">
        <f t="shared" si="4"/>
        <v>0</v>
      </c>
      <c r="R14" s="104">
        <v>53</v>
      </c>
      <c r="S14" s="130">
        <f t="shared" si="5"/>
        <v>0.86885245901639341</v>
      </c>
    </row>
    <row r="15" spans="1:19">
      <c r="A15" s="132">
        <v>201810</v>
      </c>
      <c r="B15" s="103">
        <v>190</v>
      </c>
      <c r="C15" s="103">
        <v>43</v>
      </c>
      <c r="D15" s="99">
        <f t="shared" si="0"/>
        <v>0.22631578947368422</v>
      </c>
      <c r="E15" s="103">
        <v>0</v>
      </c>
      <c r="F15" s="99">
        <f t="shared" si="1"/>
        <v>0</v>
      </c>
      <c r="G15" s="104">
        <v>147</v>
      </c>
      <c r="H15" s="130">
        <f t="shared" si="2"/>
        <v>0.77368421052631575</v>
      </c>
      <c r="I15" s="128"/>
      <c r="J15" s="128"/>
      <c r="L15" s="132">
        <v>201810</v>
      </c>
      <c r="M15" s="103">
        <v>146</v>
      </c>
      <c r="N15" s="103">
        <v>29</v>
      </c>
      <c r="O15" s="99">
        <f t="shared" si="3"/>
        <v>0.19863013698630136</v>
      </c>
      <c r="P15" s="103">
        <v>0</v>
      </c>
      <c r="Q15" s="99">
        <f t="shared" si="4"/>
        <v>0</v>
      </c>
      <c r="R15" s="104">
        <v>117</v>
      </c>
      <c r="S15" s="130">
        <f t="shared" si="5"/>
        <v>0.80136986301369861</v>
      </c>
    </row>
    <row r="16" spans="1:19">
      <c r="A16" s="132">
        <v>201820</v>
      </c>
      <c r="B16" s="103">
        <v>187</v>
      </c>
      <c r="C16" s="103">
        <v>36</v>
      </c>
      <c r="D16" s="99">
        <f t="shared" si="0"/>
        <v>0.19251336898395721</v>
      </c>
      <c r="E16" s="103">
        <v>0</v>
      </c>
      <c r="F16" s="99">
        <f t="shared" si="1"/>
        <v>0</v>
      </c>
      <c r="G16" s="104">
        <v>151</v>
      </c>
      <c r="H16" s="130">
        <f t="shared" si="2"/>
        <v>0.80748663101604279</v>
      </c>
      <c r="I16" s="128"/>
      <c r="J16" s="128"/>
      <c r="L16" s="132">
        <v>201820</v>
      </c>
      <c r="M16" s="103">
        <v>83</v>
      </c>
      <c r="N16" s="103">
        <v>18</v>
      </c>
      <c r="O16" s="99">
        <f t="shared" si="3"/>
        <v>0.21686746987951808</v>
      </c>
      <c r="P16" s="103">
        <v>0</v>
      </c>
      <c r="Q16" s="99">
        <f t="shared" si="4"/>
        <v>0</v>
      </c>
      <c r="R16" s="104">
        <v>65</v>
      </c>
      <c r="S16" s="130">
        <f t="shared" si="5"/>
        <v>0.7831325301204819</v>
      </c>
    </row>
    <row r="17" spans="1:22">
      <c r="A17" s="132">
        <v>201910</v>
      </c>
      <c r="B17" s="103">
        <v>122</v>
      </c>
      <c r="C17" s="103">
        <v>24</v>
      </c>
      <c r="D17" s="99">
        <f t="shared" si="0"/>
        <v>0.19672131147540983</v>
      </c>
      <c r="E17" s="103">
        <v>2</v>
      </c>
      <c r="F17" s="99">
        <f t="shared" si="1"/>
        <v>1.6393442622950821E-2</v>
      </c>
      <c r="G17" s="104">
        <v>96</v>
      </c>
      <c r="H17" s="130">
        <f t="shared" si="2"/>
        <v>0.78688524590163933</v>
      </c>
      <c r="I17" s="128"/>
      <c r="J17" s="128"/>
      <c r="L17" s="132">
        <v>201910</v>
      </c>
      <c r="M17" s="103">
        <v>90</v>
      </c>
      <c r="N17" s="103">
        <v>18</v>
      </c>
      <c r="O17" s="99">
        <f t="shared" si="3"/>
        <v>0.2</v>
      </c>
      <c r="P17" s="103">
        <v>0</v>
      </c>
      <c r="Q17" s="99">
        <f t="shared" si="4"/>
        <v>0</v>
      </c>
      <c r="R17" s="104">
        <v>72</v>
      </c>
      <c r="S17" s="130">
        <f t="shared" si="5"/>
        <v>0.8</v>
      </c>
    </row>
    <row r="18" spans="1:22">
      <c r="A18" s="132">
        <v>201920</v>
      </c>
      <c r="B18" s="103">
        <v>144</v>
      </c>
      <c r="C18" s="103">
        <v>27</v>
      </c>
      <c r="D18" s="99">
        <f t="shared" si="0"/>
        <v>0.1875</v>
      </c>
      <c r="E18" s="103">
        <v>1</v>
      </c>
      <c r="F18" s="99">
        <f t="shared" si="1"/>
        <v>6.9444444444444441E-3</v>
      </c>
      <c r="G18" s="104">
        <v>116</v>
      </c>
      <c r="H18" s="130">
        <f t="shared" si="2"/>
        <v>0.80555555555555558</v>
      </c>
      <c r="I18" s="128"/>
      <c r="J18" s="128"/>
      <c r="L18" s="132">
        <v>201920</v>
      </c>
      <c r="M18" s="103">
        <v>62</v>
      </c>
      <c r="N18" s="103">
        <v>11</v>
      </c>
      <c r="O18" s="99">
        <f t="shared" si="3"/>
        <v>0.17741935483870969</v>
      </c>
      <c r="P18" s="103">
        <v>0</v>
      </c>
      <c r="Q18" s="99">
        <f t="shared" si="4"/>
        <v>0</v>
      </c>
      <c r="R18" s="104">
        <v>51</v>
      </c>
      <c r="S18" s="130">
        <f t="shared" si="5"/>
        <v>0.82258064516129037</v>
      </c>
    </row>
    <row r="19" spans="1:22">
      <c r="A19" s="132">
        <v>202010</v>
      </c>
      <c r="B19" s="103">
        <v>170</v>
      </c>
      <c r="C19" s="103">
        <v>23</v>
      </c>
      <c r="D19" s="99">
        <f t="shared" si="0"/>
        <v>0.13529411764705881</v>
      </c>
      <c r="E19" s="103">
        <v>0</v>
      </c>
      <c r="F19" s="99">
        <f t="shared" si="1"/>
        <v>0</v>
      </c>
      <c r="G19" s="104">
        <v>147</v>
      </c>
      <c r="H19" s="130">
        <f t="shared" si="2"/>
        <v>0.86470588235294121</v>
      </c>
      <c r="I19" s="128"/>
      <c r="J19" s="128"/>
      <c r="L19" s="132">
        <v>202010</v>
      </c>
      <c r="M19" s="103">
        <v>126</v>
      </c>
      <c r="N19" s="103">
        <v>12</v>
      </c>
      <c r="O19" s="99">
        <f t="shared" si="3"/>
        <v>9.5238095238095233E-2</v>
      </c>
      <c r="P19" s="103">
        <v>0</v>
      </c>
      <c r="Q19" s="99">
        <f t="shared" si="4"/>
        <v>0</v>
      </c>
      <c r="R19" s="104">
        <v>114</v>
      </c>
      <c r="S19" s="130">
        <f t="shared" si="5"/>
        <v>0.90476190476190477</v>
      </c>
    </row>
    <row r="20" spans="1:22">
      <c r="A20" s="132">
        <v>202020</v>
      </c>
      <c r="B20" s="103">
        <v>157</v>
      </c>
      <c r="C20" s="103">
        <v>27</v>
      </c>
      <c r="D20" s="99">
        <f t="shared" si="0"/>
        <v>0.17197452229299362</v>
      </c>
      <c r="E20" s="163">
        <v>0</v>
      </c>
      <c r="F20" s="99">
        <f t="shared" si="1"/>
        <v>0</v>
      </c>
      <c r="G20" s="104">
        <v>130</v>
      </c>
      <c r="H20" s="130">
        <f t="shared" si="2"/>
        <v>0.82802547770700641</v>
      </c>
      <c r="I20" s="128"/>
      <c r="J20" s="128"/>
      <c r="L20" s="132">
        <v>202020</v>
      </c>
      <c r="M20" s="103">
        <v>55</v>
      </c>
      <c r="N20" s="103">
        <v>10</v>
      </c>
      <c r="O20" s="99">
        <f t="shared" si="3"/>
        <v>0.18181818181818182</v>
      </c>
      <c r="P20" s="163">
        <v>0</v>
      </c>
      <c r="Q20" s="99">
        <f t="shared" si="4"/>
        <v>0</v>
      </c>
      <c r="R20" s="104">
        <v>45</v>
      </c>
      <c r="S20" s="130">
        <f t="shared" si="5"/>
        <v>0.81818181818181823</v>
      </c>
    </row>
    <row r="21" spans="1:22">
      <c r="A21" s="132">
        <v>202110</v>
      </c>
      <c r="B21" s="103">
        <v>118</v>
      </c>
      <c r="C21" s="103">
        <v>13</v>
      </c>
      <c r="D21" s="99">
        <f t="shared" si="0"/>
        <v>0.11016949152542373</v>
      </c>
      <c r="E21" s="103">
        <v>0</v>
      </c>
      <c r="F21" s="99">
        <f t="shared" si="1"/>
        <v>0</v>
      </c>
      <c r="G21" s="104">
        <v>105</v>
      </c>
      <c r="H21" s="130">
        <f t="shared" si="2"/>
        <v>0.88983050847457623</v>
      </c>
      <c r="I21" s="128"/>
      <c r="J21" s="128"/>
      <c r="L21" s="132">
        <v>202110</v>
      </c>
      <c r="M21" s="103">
        <v>74</v>
      </c>
      <c r="N21" s="103">
        <v>5</v>
      </c>
      <c r="O21" s="99">
        <f t="shared" si="3"/>
        <v>6.7567567567567571E-2</v>
      </c>
      <c r="P21" s="103">
        <v>0</v>
      </c>
      <c r="Q21" s="99">
        <f t="shared" si="4"/>
        <v>0</v>
      </c>
      <c r="R21" s="104">
        <v>69</v>
      </c>
      <c r="S21" s="130">
        <f t="shared" si="5"/>
        <v>0.93243243243243246</v>
      </c>
    </row>
    <row r="22" spans="1:22">
      <c r="A22" s="21"/>
      <c r="B22" s="22"/>
      <c r="C22" s="22"/>
      <c r="D22" s="23"/>
      <c r="E22" s="22"/>
      <c r="F22" s="23"/>
      <c r="G22" s="24"/>
      <c r="H22" s="23"/>
      <c r="I22" s="23"/>
      <c r="J22" s="23"/>
      <c r="L22" s="25"/>
      <c r="M22" s="22"/>
      <c r="N22" s="22"/>
      <c r="O22" s="23"/>
      <c r="P22" s="22"/>
      <c r="Q22" s="23"/>
      <c r="R22" s="24"/>
      <c r="S22" s="23"/>
    </row>
    <row r="23" spans="1:22" ht="29.25" customHeight="1">
      <c r="A23" s="219" t="s">
        <v>100</v>
      </c>
      <c r="B23" s="220"/>
      <c r="C23" s="220"/>
      <c r="D23" s="220"/>
      <c r="E23" s="220"/>
      <c r="F23" s="220"/>
      <c r="G23" s="220"/>
      <c r="H23" s="220"/>
      <c r="I23" s="220"/>
      <c r="J23" s="220"/>
      <c r="L23" s="219" t="s">
        <v>114</v>
      </c>
      <c r="M23" s="220"/>
      <c r="N23" s="220"/>
      <c r="O23" s="220"/>
      <c r="P23" s="220"/>
      <c r="Q23" s="220"/>
      <c r="R23" s="220"/>
      <c r="S23" s="220"/>
      <c r="T23" s="220"/>
      <c r="U23" s="220"/>
    </row>
    <row r="24" spans="1:22" ht="20.399999999999999">
      <c r="A24" s="135" t="s">
        <v>117</v>
      </c>
      <c r="B24" s="97" t="s">
        <v>103</v>
      </c>
      <c r="C24" s="97" t="s">
        <v>104</v>
      </c>
      <c r="D24" s="97" t="s">
        <v>105</v>
      </c>
      <c r="E24" s="97" t="s">
        <v>106</v>
      </c>
      <c r="F24" s="97" t="s">
        <v>107</v>
      </c>
      <c r="G24" s="97" t="s">
        <v>108</v>
      </c>
      <c r="H24" s="90" t="s">
        <v>109</v>
      </c>
      <c r="I24" s="90" t="s">
        <v>110</v>
      </c>
      <c r="L24" s="135" t="s">
        <v>117</v>
      </c>
      <c r="M24" s="97" t="s">
        <v>103</v>
      </c>
      <c r="N24" s="97" t="s">
        <v>104</v>
      </c>
      <c r="O24" s="97" t="s">
        <v>105</v>
      </c>
      <c r="P24" s="97" t="s">
        <v>106</v>
      </c>
      <c r="Q24" s="97" t="s">
        <v>107</v>
      </c>
      <c r="R24" s="97" t="s">
        <v>108</v>
      </c>
      <c r="S24" s="90" t="s">
        <v>109</v>
      </c>
      <c r="T24" s="90" t="s">
        <v>110</v>
      </c>
      <c r="U24" s="6"/>
    </row>
    <row r="25" spans="1:22" ht="10.8" thickBot="1">
      <c r="A25" s="20">
        <f>D5</f>
        <v>0.1858974358974359</v>
      </c>
      <c r="B25" s="15">
        <f>+((B6*D6)+(B7*D7))/(B6+B7)</f>
        <v>0.32129963898916969</v>
      </c>
      <c r="C25" s="16">
        <f>((B8*D8)+(B9*D9))/(B8+B9)</f>
        <v>0.27906976744186046</v>
      </c>
      <c r="D25" s="16">
        <f>+((B10*D10)+(B11*D11))/(B10+B11)</f>
        <v>0.27095516569200778</v>
      </c>
      <c r="E25" s="16">
        <f>((B12*D12)+(B13*D13))/(B12+B13)</f>
        <v>0.2040072859744991</v>
      </c>
      <c r="F25" s="16">
        <f>((B14*D14)+(B15*D15))/(B14+B15)</f>
        <v>0.22063037249283668</v>
      </c>
      <c r="G25" s="16">
        <f>((B16*D16)+(B17*D17))/(B16+B17)</f>
        <v>0.1941747572815534</v>
      </c>
      <c r="H25" s="16">
        <f>((B18*D18)+(B19*D19))/(B18+B19)</f>
        <v>0.15923566878980891</v>
      </c>
      <c r="I25" s="16">
        <f>((B20*D20)+(B21*D21))/(B20+B21)</f>
        <v>0.14545454545454545</v>
      </c>
      <c r="L25" s="20">
        <f>O5</f>
        <v>0.17499999999999999</v>
      </c>
      <c r="M25" s="15">
        <f>+((M6*O6)+(M7*O7))/(M6+M7)</f>
        <v>0.29629629629629628</v>
      </c>
      <c r="N25" s="16">
        <f>((M8*O8)+(M9*O9))/(M8+M9)</f>
        <v>0.27797833935018051</v>
      </c>
      <c r="O25" s="16">
        <f>+((M10*O10)+(M11*O11))/(M10+M11)</f>
        <v>0.25587467362924282</v>
      </c>
      <c r="P25" s="16">
        <f>((M12*O12)+(M13*O13))/(M12+M13)</f>
        <v>0.1853932584269663</v>
      </c>
      <c r="Q25" s="16">
        <f>((M14*O14)+(M15*O15))/(M14+M15)</f>
        <v>0.17874396135265699</v>
      </c>
      <c r="R25" s="16">
        <f>((M16*O16)+(M17*O17))/(M16+M17)</f>
        <v>0.20809248554913296</v>
      </c>
      <c r="S25" s="16">
        <f>((M18*O18)+(M19*O19))/(M18+M19)</f>
        <v>0.12234042553191489</v>
      </c>
      <c r="T25" s="16">
        <f>((M20*O20)+(M21*O21))/(M20+M21)</f>
        <v>0.11627906976744186</v>
      </c>
      <c r="U25" s="6"/>
    </row>
    <row r="26" spans="1:22" ht="15" customHeight="1">
      <c r="A26" s="215" t="s">
        <v>118</v>
      </c>
      <c r="B26" s="215"/>
      <c r="C26" s="215"/>
      <c r="D26" s="215"/>
      <c r="E26" s="215"/>
      <c r="F26" s="215"/>
      <c r="G26" s="215"/>
      <c r="H26" s="215"/>
      <c r="I26" s="215"/>
      <c r="J26" s="215"/>
      <c r="K26" s="18"/>
      <c r="L26" s="215" t="s">
        <v>118</v>
      </c>
      <c r="M26" s="215"/>
      <c r="N26" s="215"/>
      <c r="O26" s="215"/>
      <c r="P26" s="215"/>
      <c r="Q26" s="215"/>
      <c r="R26" s="215"/>
      <c r="S26" s="215"/>
      <c r="T26" s="215"/>
      <c r="U26" s="215"/>
      <c r="V26" s="18"/>
    </row>
    <row r="27" spans="1:22">
      <c r="A27" s="206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</row>
  </sheetData>
  <mergeCells count="11">
    <mergeCell ref="A1:H1"/>
    <mergeCell ref="A3:H3"/>
    <mergeCell ref="L1:S1"/>
    <mergeCell ref="A23:J23"/>
    <mergeCell ref="L23:U23"/>
    <mergeCell ref="A27:K27"/>
    <mergeCell ref="L26:U26"/>
    <mergeCell ref="L27:V27"/>
    <mergeCell ref="L3:S3"/>
    <mergeCell ref="A2:H2"/>
    <mergeCell ref="A26:J26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Y28"/>
  <sheetViews>
    <sheetView showGridLines="0" topLeftCell="C1" zoomScaleNormal="100" workbookViewId="0">
      <selection sqref="A1:H1"/>
    </sheetView>
  </sheetViews>
  <sheetFormatPr baseColWidth="10" defaultColWidth="11.44140625" defaultRowHeight="10.199999999999999"/>
  <cols>
    <col min="1" max="1" width="14.33203125" style="6" hidden="1" customWidth="1"/>
    <col min="2" max="2" width="27.44140625" style="6" hidden="1" customWidth="1"/>
    <col min="3" max="3" width="12.109375" style="6" customWidth="1"/>
    <col min="4" max="13" width="11.44140625" style="6"/>
    <col min="14" max="14" width="8.44140625" style="7" customWidth="1"/>
    <col min="15" max="16384" width="11.44140625" style="7"/>
  </cols>
  <sheetData>
    <row r="1" spans="1:22">
      <c r="D1" s="209" t="s">
        <v>238</v>
      </c>
      <c r="E1" s="209"/>
      <c r="F1" s="209"/>
      <c r="G1" s="209"/>
      <c r="H1" s="209"/>
      <c r="I1" s="209"/>
      <c r="J1" s="209"/>
      <c r="K1" s="209"/>
      <c r="L1" s="123"/>
      <c r="M1" s="123"/>
      <c r="O1" s="209" t="s">
        <v>238</v>
      </c>
      <c r="P1" s="209"/>
      <c r="Q1" s="209"/>
      <c r="R1" s="209"/>
      <c r="S1" s="209"/>
      <c r="T1" s="209"/>
      <c r="U1" s="209"/>
      <c r="V1" s="209"/>
    </row>
    <row r="2" spans="1:22">
      <c r="D2" s="215"/>
      <c r="E2" s="215"/>
      <c r="F2" s="215"/>
      <c r="G2" s="215"/>
      <c r="H2" s="215"/>
      <c r="I2" s="215"/>
      <c r="J2" s="215"/>
      <c r="K2" s="215"/>
      <c r="L2" s="11"/>
      <c r="M2" s="11"/>
    </row>
    <row r="3" spans="1:22">
      <c r="D3" s="208" t="s">
        <v>163</v>
      </c>
      <c r="E3" s="208"/>
      <c r="F3" s="208"/>
      <c r="G3" s="208"/>
      <c r="H3" s="208"/>
      <c r="I3" s="208"/>
      <c r="J3" s="208"/>
      <c r="K3" s="208"/>
      <c r="L3" s="122"/>
      <c r="M3" s="122"/>
      <c r="O3" s="208" t="s">
        <v>164</v>
      </c>
      <c r="P3" s="208"/>
      <c r="Q3" s="208"/>
      <c r="R3" s="208"/>
      <c r="S3" s="208"/>
      <c r="T3" s="208"/>
      <c r="U3" s="208"/>
      <c r="V3" s="208"/>
    </row>
    <row r="4" spans="1:22" ht="10.8" thickBot="1"/>
    <row r="5" spans="1:22" ht="51">
      <c r="A5" s="1" t="s">
        <v>165</v>
      </c>
      <c r="B5" s="1" t="s">
        <v>166</v>
      </c>
      <c r="C5" s="1"/>
      <c r="D5" s="63" t="s">
        <v>0</v>
      </c>
      <c r="E5" s="64" t="s">
        <v>93</v>
      </c>
      <c r="F5" s="64" t="s">
        <v>94</v>
      </c>
      <c r="G5" s="64" t="s">
        <v>95</v>
      </c>
      <c r="H5" s="64" t="s">
        <v>96</v>
      </c>
      <c r="I5" s="64" t="s">
        <v>97</v>
      </c>
      <c r="J5" s="64" t="s">
        <v>98</v>
      </c>
      <c r="K5" s="65" t="s">
        <v>99</v>
      </c>
      <c r="L5" s="136"/>
      <c r="M5" s="136"/>
      <c r="O5" s="63" t="s">
        <v>0</v>
      </c>
      <c r="P5" s="64" t="s">
        <v>93</v>
      </c>
      <c r="Q5" s="64" t="s">
        <v>94</v>
      </c>
      <c r="R5" s="64" t="s">
        <v>95</v>
      </c>
      <c r="S5" s="64" t="s">
        <v>96</v>
      </c>
      <c r="T5" s="64" t="s">
        <v>97</v>
      </c>
      <c r="U5" s="64" t="s">
        <v>98</v>
      </c>
      <c r="V5" s="65" t="s">
        <v>99</v>
      </c>
    </row>
    <row r="6" spans="1:22" ht="20.399999999999999">
      <c r="A6" s="13" t="s">
        <v>167</v>
      </c>
      <c r="B6" s="10" t="s">
        <v>168</v>
      </c>
      <c r="C6" s="10"/>
      <c r="D6" s="66">
        <v>201310</v>
      </c>
      <c r="E6" s="57">
        <v>83</v>
      </c>
      <c r="F6" s="57">
        <v>28</v>
      </c>
      <c r="G6" s="58">
        <v>0.33734939759036142</v>
      </c>
      <c r="H6" s="57">
        <v>0</v>
      </c>
      <c r="I6" s="58">
        <v>0</v>
      </c>
      <c r="J6" s="57">
        <v>55</v>
      </c>
      <c r="K6" s="62">
        <v>0.66265060240963858</v>
      </c>
      <c r="L6" s="125"/>
      <c r="M6" s="125"/>
      <c r="O6" s="66">
        <v>201310</v>
      </c>
      <c r="P6" s="57">
        <v>55</v>
      </c>
      <c r="Q6" s="57">
        <v>22</v>
      </c>
      <c r="R6" s="58">
        <v>0.4</v>
      </c>
      <c r="S6" s="57">
        <v>0</v>
      </c>
      <c r="T6" s="58">
        <v>0</v>
      </c>
      <c r="U6" s="57">
        <v>33</v>
      </c>
      <c r="V6" s="62">
        <v>0.6</v>
      </c>
    </row>
    <row r="7" spans="1:22">
      <c r="A7" s="13" t="s">
        <v>169</v>
      </c>
      <c r="B7" s="13" t="s">
        <v>170</v>
      </c>
      <c r="C7" s="13"/>
      <c r="D7" s="66">
        <v>201320</v>
      </c>
      <c r="E7" s="53">
        <v>83</v>
      </c>
      <c r="F7" s="53">
        <v>30</v>
      </c>
      <c r="G7" s="54">
        <v>0.36144578313253012</v>
      </c>
      <c r="H7" s="53">
        <v>0</v>
      </c>
      <c r="I7" s="54">
        <v>0</v>
      </c>
      <c r="J7" s="55">
        <v>53</v>
      </c>
      <c r="K7" s="61">
        <v>0.63855421686746983</v>
      </c>
      <c r="L7" s="23"/>
      <c r="M7" s="23"/>
      <c r="O7" s="66">
        <v>201320</v>
      </c>
      <c r="P7" s="53">
        <v>53</v>
      </c>
      <c r="Q7" s="53">
        <v>18</v>
      </c>
      <c r="R7" s="54">
        <v>0.33962264150943394</v>
      </c>
      <c r="S7" s="53">
        <v>0</v>
      </c>
      <c r="T7" s="54">
        <v>0</v>
      </c>
      <c r="U7" s="55">
        <v>35</v>
      </c>
      <c r="V7" s="61">
        <v>0.660377358490566</v>
      </c>
    </row>
    <row r="8" spans="1:22">
      <c r="A8" s="13" t="s">
        <v>171</v>
      </c>
      <c r="B8" s="13" t="s">
        <v>172</v>
      </c>
      <c r="C8" s="13"/>
      <c r="D8" s="66">
        <v>201410</v>
      </c>
      <c r="E8" s="53">
        <v>70</v>
      </c>
      <c r="F8" s="53">
        <v>26</v>
      </c>
      <c r="G8" s="54">
        <v>0.371</v>
      </c>
      <c r="H8" s="53">
        <v>0</v>
      </c>
      <c r="I8" s="54">
        <v>0</v>
      </c>
      <c r="J8" s="55">
        <v>44</v>
      </c>
      <c r="K8" s="61">
        <v>0.629</v>
      </c>
      <c r="L8" s="23"/>
      <c r="M8" s="23"/>
      <c r="O8" s="66">
        <v>201410</v>
      </c>
      <c r="P8" s="53">
        <v>57</v>
      </c>
      <c r="Q8" s="53">
        <v>20</v>
      </c>
      <c r="R8" s="54">
        <v>0.35099999999999998</v>
      </c>
      <c r="S8" s="53">
        <v>0</v>
      </c>
      <c r="T8" s="54">
        <v>0</v>
      </c>
      <c r="U8" s="55">
        <v>37</v>
      </c>
      <c r="V8" s="61">
        <v>0.64900000000000002</v>
      </c>
    </row>
    <row r="9" spans="1:22">
      <c r="A9" s="13" t="s">
        <v>173</v>
      </c>
      <c r="B9" s="13" t="s">
        <v>174</v>
      </c>
      <c r="C9" s="13"/>
      <c r="D9" s="66">
        <v>201420</v>
      </c>
      <c r="E9" s="53">
        <v>108</v>
      </c>
      <c r="F9" s="53">
        <v>45</v>
      </c>
      <c r="G9" s="54">
        <v>0.41699999999999998</v>
      </c>
      <c r="H9" s="53">
        <v>0</v>
      </c>
      <c r="I9" s="54">
        <v>0</v>
      </c>
      <c r="J9" s="55">
        <v>63</v>
      </c>
      <c r="K9" s="61">
        <v>0.58299999999999996</v>
      </c>
      <c r="L9" s="23"/>
      <c r="M9" s="23"/>
      <c r="O9" s="66">
        <v>201420</v>
      </c>
      <c r="P9" s="53">
        <v>72</v>
      </c>
      <c r="Q9" s="53">
        <v>25</v>
      </c>
      <c r="R9" s="54">
        <v>0.34699999999999998</v>
      </c>
      <c r="S9" s="53">
        <v>0</v>
      </c>
      <c r="T9" s="54">
        <v>0</v>
      </c>
      <c r="U9" s="55">
        <v>47</v>
      </c>
      <c r="V9" s="61">
        <v>0.65300000000000002</v>
      </c>
    </row>
    <row r="10" spans="1:22">
      <c r="A10" s="13" t="s">
        <v>175</v>
      </c>
      <c r="B10" s="13" t="s">
        <v>176</v>
      </c>
      <c r="C10" s="13"/>
      <c r="D10" s="66">
        <v>201510</v>
      </c>
      <c r="E10" s="53">
        <v>119</v>
      </c>
      <c r="F10" s="53">
        <v>33</v>
      </c>
      <c r="G10" s="54">
        <v>0.27700000000000002</v>
      </c>
      <c r="H10" s="53">
        <v>0</v>
      </c>
      <c r="I10" s="54">
        <v>0</v>
      </c>
      <c r="J10" s="55">
        <v>86</v>
      </c>
      <c r="K10" s="61">
        <v>0.72299999999999998</v>
      </c>
      <c r="L10" s="23"/>
      <c r="M10" s="23"/>
      <c r="O10" s="66">
        <v>201510</v>
      </c>
      <c r="P10" s="53">
        <v>106</v>
      </c>
      <c r="Q10" s="53">
        <v>31</v>
      </c>
      <c r="R10" s="54">
        <v>0.29199999999999998</v>
      </c>
      <c r="S10" s="53">
        <v>0</v>
      </c>
      <c r="T10" s="54">
        <v>0</v>
      </c>
      <c r="U10" s="55">
        <v>75</v>
      </c>
      <c r="V10" s="61">
        <v>0.70799999999999996</v>
      </c>
    </row>
    <row r="11" spans="1:22">
      <c r="A11" s="13" t="s">
        <v>177</v>
      </c>
      <c r="B11" s="13" t="s">
        <v>178</v>
      </c>
      <c r="C11" s="13"/>
      <c r="D11" s="66">
        <v>201520</v>
      </c>
      <c r="E11" s="53">
        <v>58</v>
      </c>
      <c r="F11" s="53">
        <v>20</v>
      </c>
      <c r="G11" s="54">
        <v>0.34482758620689657</v>
      </c>
      <c r="H11" s="53">
        <v>0</v>
      </c>
      <c r="I11" s="54">
        <v>0</v>
      </c>
      <c r="J11" s="55">
        <v>38</v>
      </c>
      <c r="K11" s="61">
        <v>0.65517241379310343</v>
      </c>
      <c r="L11" s="23"/>
      <c r="M11" s="23"/>
      <c r="O11" s="66">
        <v>201520</v>
      </c>
      <c r="P11" s="53">
        <v>34</v>
      </c>
      <c r="Q11" s="53">
        <v>11</v>
      </c>
      <c r="R11" s="54">
        <v>0.3235294117647059</v>
      </c>
      <c r="S11" s="53">
        <v>0</v>
      </c>
      <c r="T11" s="54">
        <v>0</v>
      </c>
      <c r="U11" s="55">
        <v>23</v>
      </c>
      <c r="V11" s="61">
        <v>0.67647058823529416</v>
      </c>
    </row>
    <row r="12" spans="1:22">
      <c r="A12" s="13" t="s">
        <v>179</v>
      </c>
      <c r="B12" s="13" t="s">
        <v>180</v>
      </c>
      <c r="C12" s="13"/>
      <c r="D12" s="66">
        <v>201610</v>
      </c>
      <c r="E12" s="53">
        <v>111</v>
      </c>
      <c r="F12" s="53">
        <v>31</v>
      </c>
      <c r="G12" s="54">
        <v>0.27927927927927926</v>
      </c>
      <c r="H12" s="53">
        <v>0</v>
      </c>
      <c r="I12" s="54">
        <v>0</v>
      </c>
      <c r="J12" s="55">
        <v>80</v>
      </c>
      <c r="K12" s="61">
        <v>0.72072072072072069</v>
      </c>
      <c r="L12" s="23"/>
      <c r="M12" s="23"/>
      <c r="O12" s="66">
        <v>201610</v>
      </c>
      <c r="P12" s="53">
        <v>97</v>
      </c>
      <c r="Q12" s="53">
        <v>27</v>
      </c>
      <c r="R12" s="54">
        <v>0.27835051546391754</v>
      </c>
      <c r="S12" s="53">
        <v>0</v>
      </c>
      <c r="T12" s="54">
        <v>0</v>
      </c>
      <c r="U12" s="55">
        <v>70</v>
      </c>
      <c r="V12" s="61">
        <v>0.72164948453608246</v>
      </c>
    </row>
    <row r="13" spans="1:22">
      <c r="A13" s="13" t="s">
        <v>181</v>
      </c>
      <c r="B13" s="11" t="s">
        <v>182</v>
      </c>
      <c r="C13" s="11"/>
      <c r="D13" s="66">
        <v>201620</v>
      </c>
      <c r="E13" s="57">
        <v>89</v>
      </c>
      <c r="F13" s="57">
        <v>30</v>
      </c>
      <c r="G13" s="58">
        <v>0.33700000000000002</v>
      </c>
      <c r="H13" s="57">
        <v>0</v>
      </c>
      <c r="I13" s="58">
        <v>0</v>
      </c>
      <c r="J13" s="57">
        <v>59</v>
      </c>
      <c r="K13" s="62">
        <v>0.66300000000000003</v>
      </c>
      <c r="L13" s="125"/>
      <c r="M13" s="125"/>
      <c r="O13" s="66">
        <v>201620</v>
      </c>
      <c r="P13" s="57">
        <v>39</v>
      </c>
      <c r="Q13" s="57">
        <v>15</v>
      </c>
      <c r="R13" s="58">
        <v>0.38500000000000001</v>
      </c>
      <c r="S13" s="57">
        <v>0</v>
      </c>
      <c r="T13" s="58">
        <v>0</v>
      </c>
      <c r="U13" s="57">
        <v>24</v>
      </c>
      <c r="V13" s="62">
        <v>0.61499999999999999</v>
      </c>
    </row>
    <row r="14" spans="1:22">
      <c r="A14" s="13" t="s">
        <v>183</v>
      </c>
      <c r="B14" s="13" t="s">
        <v>184</v>
      </c>
      <c r="C14" s="13"/>
      <c r="D14" s="66">
        <v>201710</v>
      </c>
      <c r="E14" s="53">
        <v>120</v>
      </c>
      <c r="F14" s="53">
        <v>32</v>
      </c>
      <c r="G14" s="54">
        <v>0.26666666666666666</v>
      </c>
      <c r="H14" s="53">
        <v>0</v>
      </c>
      <c r="I14" s="54">
        <v>0</v>
      </c>
      <c r="J14" s="55">
        <v>88</v>
      </c>
      <c r="K14" s="61">
        <v>0.73333333333333328</v>
      </c>
      <c r="L14" s="23"/>
      <c r="M14" s="23"/>
      <c r="O14" s="66">
        <v>201710</v>
      </c>
      <c r="P14" s="53">
        <v>99</v>
      </c>
      <c r="Q14" s="53">
        <v>23</v>
      </c>
      <c r="R14" s="68">
        <v>0.23232323232323232</v>
      </c>
      <c r="S14" s="53">
        <v>0</v>
      </c>
      <c r="T14" s="68">
        <v>0</v>
      </c>
      <c r="U14" s="53">
        <v>76</v>
      </c>
      <c r="V14" s="108">
        <v>0.76767676767676762</v>
      </c>
    </row>
    <row r="15" spans="1:22">
      <c r="A15" s="13" t="s">
        <v>185</v>
      </c>
      <c r="B15" s="13" t="s">
        <v>184</v>
      </c>
      <c r="C15" s="13"/>
      <c r="D15" s="66">
        <v>201720</v>
      </c>
      <c r="E15" s="53">
        <v>73</v>
      </c>
      <c r="F15" s="53">
        <v>13</v>
      </c>
      <c r="G15" s="54">
        <v>0.17808219178082191</v>
      </c>
      <c r="H15" s="53">
        <v>0</v>
      </c>
      <c r="I15" s="54">
        <v>0</v>
      </c>
      <c r="J15" s="55">
        <v>60</v>
      </c>
      <c r="K15" s="61">
        <v>0.82191780821917804</v>
      </c>
      <c r="L15" s="23"/>
      <c r="M15" s="23"/>
      <c r="O15" s="66">
        <v>201720</v>
      </c>
      <c r="P15" s="53">
        <v>77</v>
      </c>
      <c r="Q15" s="53">
        <v>7</v>
      </c>
      <c r="R15" s="54">
        <v>9.0909090909090912E-2</v>
      </c>
      <c r="S15" s="53">
        <v>0</v>
      </c>
      <c r="T15" s="54">
        <v>0</v>
      </c>
      <c r="U15" s="55">
        <v>70</v>
      </c>
      <c r="V15" s="61">
        <v>0.90909090909090906</v>
      </c>
    </row>
    <row r="16" spans="1:22">
      <c r="A16" s="11" t="s">
        <v>186</v>
      </c>
      <c r="B16" s="11" t="s">
        <v>187</v>
      </c>
      <c r="C16" s="11"/>
      <c r="D16" s="67">
        <v>201810</v>
      </c>
      <c r="E16" s="53">
        <v>92</v>
      </c>
      <c r="F16" s="53">
        <v>20</v>
      </c>
      <c r="G16" s="54">
        <v>0.21739130434782608</v>
      </c>
      <c r="H16" s="53">
        <v>0</v>
      </c>
      <c r="I16" s="54">
        <v>0</v>
      </c>
      <c r="J16" s="55">
        <v>72</v>
      </c>
      <c r="K16" s="61">
        <v>0.78260869565217395</v>
      </c>
      <c r="L16" s="23"/>
      <c r="M16" s="23"/>
      <c r="O16" s="67">
        <v>201810</v>
      </c>
      <c r="P16" s="53">
        <v>73</v>
      </c>
      <c r="Q16" s="53">
        <v>13</v>
      </c>
      <c r="R16" s="54">
        <v>0.17808219178082191</v>
      </c>
      <c r="S16" s="53">
        <v>0</v>
      </c>
      <c r="T16" s="54">
        <v>0</v>
      </c>
      <c r="U16" s="55">
        <v>60</v>
      </c>
      <c r="V16" s="61">
        <v>0.82191780821917804</v>
      </c>
    </row>
    <row r="17" spans="1:25">
      <c r="A17" s="13" t="s">
        <v>188</v>
      </c>
      <c r="B17" s="11" t="s">
        <v>189</v>
      </c>
      <c r="C17" s="11"/>
      <c r="D17" s="67">
        <v>201820</v>
      </c>
      <c r="E17" s="53">
        <v>63</v>
      </c>
      <c r="F17" s="53">
        <v>12</v>
      </c>
      <c r="G17" s="54">
        <v>0.19047619047619047</v>
      </c>
      <c r="H17" s="53">
        <v>0</v>
      </c>
      <c r="I17" s="54">
        <v>0</v>
      </c>
      <c r="J17" s="55">
        <v>51</v>
      </c>
      <c r="K17" s="61">
        <v>0.80952380952380953</v>
      </c>
      <c r="L17" s="23"/>
      <c r="M17" s="23"/>
      <c r="O17" s="67">
        <v>201820</v>
      </c>
      <c r="P17" s="53">
        <v>28</v>
      </c>
      <c r="Q17" s="53">
        <v>6</v>
      </c>
      <c r="R17" s="54">
        <v>0.21428571428571427</v>
      </c>
      <c r="S17" s="53">
        <v>0</v>
      </c>
      <c r="T17" s="54">
        <v>0</v>
      </c>
      <c r="U17" s="55">
        <v>22</v>
      </c>
      <c r="V17" s="61">
        <v>0.7857142857142857</v>
      </c>
    </row>
    <row r="18" spans="1:25" s="18" customFormat="1">
      <c r="A18" s="13" t="s">
        <v>190</v>
      </c>
      <c r="B18" s="11" t="s">
        <v>189</v>
      </c>
      <c r="C18" s="11"/>
      <c r="D18" s="67">
        <v>201910</v>
      </c>
      <c r="E18" s="53">
        <v>65</v>
      </c>
      <c r="F18" s="53">
        <v>8</v>
      </c>
      <c r="G18" s="54">
        <v>0.1230769230769231</v>
      </c>
      <c r="H18" s="53">
        <v>0</v>
      </c>
      <c r="I18" s="54">
        <v>0</v>
      </c>
      <c r="J18" s="55">
        <v>57</v>
      </c>
      <c r="K18" s="61">
        <v>0.87692307692307692</v>
      </c>
      <c r="L18" s="23"/>
      <c r="M18" s="23"/>
      <c r="O18" s="67">
        <v>201910</v>
      </c>
      <c r="P18" s="53">
        <v>46</v>
      </c>
      <c r="Q18" s="53">
        <v>7</v>
      </c>
      <c r="R18" s="54">
        <v>0.1521739130434783</v>
      </c>
      <c r="S18" s="53">
        <v>0</v>
      </c>
      <c r="T18" s="54">
        <v>0</v>
      </c>
      <c r="U18" s="55">
        <v>39</v>
      </c>
      <c r="V18" s="61">
        <v>0.84782608695652173</v>
      </c>
    </row>
    <row r="19" spans="1:25" s="18" customFormat="1">
      <c r="A19" s="13"/>
      <c r="B19" s="11"/>
      <c r="C19" s="11"/>
      <c r="D19" s="67">
        <v>201920</v>
      </c>
      <c r="E19" s="53">
        <v>59</v>
      </c>
      <c r="F19" s="53">
        <v>14</v>
      </c>
      <c r="G19" s="54">
        <v>0.23728813559322029</v>
      </c>
      <c r="H19" s="53">
        <v>0</v>
      </c>
      <c r="I19" s="54">
        <v>0</v>
      </c>
      <c r="J19" s="55">
        <v>45</v>
      </c>
      <c r="K19" s="61">
        <v>0.76271186440677963</v>
      </c>
      <c r="L19" s="23"/>
      <c r="M19" s="23"/>
      <c r="O19" s="67">
        <v>201920</v>
      </c>
      <c r="P19" s="53">
        <v>35</v>
      </c>
      <c r="Q19" s="53">
        <v>8</v>
      </c>
      <c r="R19" s="54">
        <v>0.2286</v>
      </c>
      <c r="S19" s="53">
        <v>0</v>
      </c>
      <c r="T19" s="54">
        <v>0</v>
      </c>
      <c r="U19" s="55">
        <v>27</v>
      </c>
      <c r="V19" s="61">
        <v>0.77139999999999997</v>
      </c>
    </row>
    <row r="20" spans="1:25" s="18" customFormat="1">
      <c r="A20" s="13"/>
      <c r="B20" s="11"/>
      <c r="C20" s="11"/>
      <c r="D20" s="67">
        <v>202010</v>
      </c>
      <c r="E20" s="53">
        <v>72</v>
      </c>
      <c r="F20" s="53">
        <v>6</v>
      </c>
      <c r="G20" s="54">
        <v>8.3333333333333329E-2</v>
      </c>
      <c r="H20" s="53">
        <v>0</v>
      </c>
      <c r="I20" s="54">
        <v>0</v>
      </c>
      <c r="J20" s="55">
        <v>66</v>
      </c>
      <c r="K20" s="61">
        <v>0.91666666666666663</v>
      </c>
      <c r="L20" s="23"/>
      <c r="M20" s="23"/>
      <c r="O20" s="67">
        <v>202010</v>
      </c>
      <c r="P20" s="53">
        <v>62</v>
      </c>
      <c r="Q20" s="53">
        <v>5</v>
      </c>
      <c r="R20" s="54">
        <v>8.0645161290322578E-2</v>
      </c>
      <c r="S20" s="53">
        <v>0</v>
      </c>
      <c r="T20" s="54">
        <v>0</v>
      </c>
      <c r="U20" s="55">
        <v>57</v>
      </c>
      <c r="V20" s="61">
        <v>0.91935483870967749</v>
      </c>
    </row>
    <row r="21" spans="1:25" s="18" customFormat="1">
      <c r="A21" s="13"/>
      <c r="B21" s="11"/>
      <c r="C21" s="11"/>
      <c r="D21" s="67">
        <v>202020</v>
      </c>
      <c r="E21" s="53">
        <v>76</v>
      </c>
      <c r="F21" s="53">
        <v>9</v>
      </c>
      <c r="G21" s="54">
        <v>0.11842105263157894</v>
      </c>
      <c r="H21" s="53">
        <v>0</v>
      </c>
      <c r="I21" s="54">
        <v>0</v>
      </c>
      <c r="J21" s="55">
        <v>67</v>
      </c>
      <c r="K21" s="61">
        <v>0.88157894736842102</v>
      </c>
      <c r="L21" s="23"/>
      <c r="M21" s="23"/>
      <c r="O21" s="67">
        <v>202020</v>
      </c>
      <c r="P21" s="53">
        <v>41</v>
      </c>
      <c r="Q21" s="53">
        <v>2</v>
      </c>
      <c r="R21" s="54">
        <v>4.878048780487805E-2</v>
      </c>
      <c r="S21" s="53">
        <v>0</v>
      </c>
      <c r="T21" s="54">
        <v>0</v>
      </c>
      <c r="U21" s="55">
        <v>39</v>
      </c>
      <c r="V21" s="61">
        <v>0.95121951219512191</v>
      </c>
    </row>
    <row r="22" spans="1:25">
      <c r="A22" s="13"/>
      <c r="B22" s="11"/>
      <c r="C22" s="11"/>
      <c r="D22" s="66">
        <v>202110</v>
      </c>
      <c r="E22" s="57">
        <v>75</v>
      </c>
      <c r="F22" s="57">
        <v>9</v>
      </c>
      <c r="G22" s="58">
        <f>F22/E22</f>
        <v>0.12</v>
      </c>
      <c r="H22" s="57">
        <v>0</v>
      </c>
      <c r="I22" s="58">
        <f>H22/E22</f>
        <v>0</v>
      </c>
      <c r="J22" s="57">
        <v>66</v>
      </c>
      <c r="K22" s="62">
        <f>J22/E22</f>
        <v>0.88</v>
      </c>
      <c r="L22" s="125"/>
      <c r="M22" s="125"/>
      <c r="O22" s="66">
        <v>202110</v>
      </c>
      <c r="P22" s="57">
        <v>59</v>
      </c>
      <c r="Q22" s="57">
        <v>6</v>
      </c>
      <c r="R22" s="58">
        <v>0.10169491525423729</v>
      </c>
      <c r="S22" s="57">
        <v>0</v>
      </c>
      <c r="T22" s="58">
        <v>0</v>
      </c>
      <c r="U22" s="57">
        <v>53</v>
      </c>
      <c r="V22" s="62">
        <v>0.89830508474576276</v>
      </c>
    </row>
    <row r="23" spans="1:25" ht="10.8" thickBot="1">
      <c r="A23" s="7"/>
      <c r="B23" s="7"/>
      <c r="C23" s="7"/>
      <c r="E23" s="7"/>
      <c r="F23" s="7"/>
      <c r="G23" s="7"/>
      <c r="H23" s="7"/>
      <c r="I23" s="7"/>
      <c r="J23" s="7"/>
      <c r="K23" s="7"/>
      <c r="L23" s="7"/>
      <c r="M23" s="7"/>
      <c r="O23" s="6"/>
      <c r="P23" s="6"/>
      <c r="Q23" s="6"/>
      <c r="R23" s="6"/>
      <c r="S23" s="6"/>
      <c r="T23" s="6"/>
      <c r="U23" s="6"/>
      <c r="V23" s="6"/>
    </row>
    <row r="24" spans="1:25" ht="41.25" customHeight="1">
      <c r="A24" s="7"/>
      <c r="B24" s="7"/>
      <c r="C24" s="7"/>
      <c r="D24" s="241" t="s">
        <v>100</v>
      </c>
      <c r="E24" s="242"/>
      <c r="F24" s="242"/>
      <c r="G24" s="242"/>
      <c r="H24" s="242"/>
      <c r="I24" s="242"/>
      <c r="J24" s="242"/>
      <c r="K24" s="242"/>
      <c r="L24" s="243"/>
      <c r="O24" s="241" t="s">
        <v>114</v>
      </c>
      <c r="P24" s="242"/>
      <c r="Q24" s="242"/>
      <c r="R24" s="242"/>
      <c r="S24" s="242"/>
      <c r="T24" s="242"/>
      <c r="U24" s="242"/>
      <c r="V24" s="242"/>
      <c r="W24" s="243"/>
      <c r="X24" s="6"/>
    </row>
    <row r="25" spans="1:25" ht="20.399999999999999">
      <c r="D25" s="91" t="s">
        <v>117</v>
      </c>
      <c r="E25" s="90" t="s">
        <v>103</v>
      </c>
      <c r="F25" s="90" t="s">
        <v>104</v>
      </c>
      <c r="G25" s="90" t="s">
        <v>105</v>
      </c>
      <c r="H25" s="90" t="s">
        <v>106</v>
      </c>
      <c r="I25" s="90" t="s">
        <v>107</v>
      </c>
      <c r="J25" s="90" t="s">
        <v>108</v>
      </c>
      <c r="K25" s="90" t="s">
        <v>109</v>
      </c>
      <c r="L25" s="90" t="s">
        <v>110</v>
      </c>
      <c r="O25" s="91" t="s">
        <v>121</v>
      </c>
      <c r="P25" s="90" t="s">
        <v>103</v>
      </c>
      <c r="Q25" s="90" t="s">
        <v>104</v>
      </c>
      <c r="R25" s="90" t="s">
        <v>105</v>
      </c>
      <c r="S25" s="90" t="s">
        <v>106</v>
      </c>
      <c r="T25" s="90" t="s">
        <v>107</v>
      </c>
      <c r="U25" s="90" t="s">
        <v>108</v>
      </c>
      <c r="V25" s="90" t="s">
        <v>109</v>
      </c>
      <c r="W25" s="90" t="s">
        <v>110</v>
      </c>
      <c r="X25" s="6"/>
    </row>
    <row r="26" spans="1:25" ht="10.8" thickBot="1">
      <c r="D26" s="20">
        <f>G6</f>
        <v>0.33734939759036142</v>
      </c>
      <c r="E26" s="15">
        <f>+((E7*G7)+(E8*G8))/(E7+E8)</f>
        <v>0.36581699346405228</v>
      </c>
      <c r="F26" s="16">
        <f>((E9*G9)+(E10*G10))/(E9+E10)</f>
        <v>0.34360792951541846</v>
      </c>
      <c r="G26" s="16">
        <f>+((E11*G11)+(E12*G12))/(E11+E12)</f>
        <v>0.30177514792899407</v>
      </c>
      <c r="H26" s="16">
        <f>((E13*G13)+(E14*G14))/(E13+E14)</f>
        <v>0.29661722488038278</v>
      </c>
      <c r="I26" s="16">
        <f>((E15*G15)+(E16*G16))/(E15+E16)</f>
        <v>0.2</v>
      </c>
      <c r="J26" s="16">
        <f>((E17*G17)+(E18*G18))/(E17+E18)</f>
        <v>0.15625</v>
      </c>
      <c r="K26" s="16">
        <f>((E19*G19)+(E20*G20))/(E19+E20)</f>
        <v>0.15267175572519082</v>
      </c>
      <c r="L26" s="16">
        <f>((E21*G21)+(E22*G22))/(E21+E22)</f>
        <v>0.11920529801324503</v>
      </c>
      <c r="O26" s="138">
        <f>R6</f>
        <v>0.4</v>
      </c>
      <c r="P26" s="15">
        <f>+((P7*R7)+(P8*R8))/(P7+P8)</f>
        <v>0.34551818181818178</v>
      </c>
      <c r="Q26" s="16">
        <f>((P9*R9)+(P10*R10))/(P9+P10)</f>
        <v>0.31424719101123594</v>
      </c>
      <c r="R26" s="16">
        <f>+((P11*R11)+(P12*R12))/(P11+P12)</f>
        <v>0.29007633587786258</v>
      </c>
      <c r="S26" s="16">
        <f>((P13*R13)+(P14*R14))/(P13+P14)</f>
        <v>0.27547101449275363</v>
      </c>
      <c r="T26" s="16">
        <f>((P15*R15)+(P16*R16))/(P15+P16)</f>
        <v>0.13333333333333333</v>
      </c>
      <c r="U26" s="16">
        <f>((P17*R17)+(P18*R18))/(P17+P18)</f>
        <v>0.17567567567567571</v>
      </c>
      <c r="V26" s="16">
        <f>((P19*R19)+(P20*R20))/(P19+P20)</f>
        <v>0.13403092783505155</v>
      </c>
      <c r="W26" s="16">
        <f>((P21*R21)+(P22*R22))/(P21+P22)</f>
        <v>0.08</v>
      </c>
      <c r="X26" s="6"/>
    </row>
    <row r="27" spans="1:25">
      <c r="D27" s="215" t="s">
        <v>118</v>
      </c>
      <c r="E27" s="215"/>
      <c r="F27" s="215"/>
      <c r="G27" s="215"/>
      <c r="H27" s="215"/>
      <c r="I27" s="215"/>
      <c r="J27" s="215"/>
      <c r="K27" s="215"/>
      <c r="L27" s="215"/>
      <c r="M27" s="215"/>
      <c r="N27" s="18"/>
      <c r="O27" s="215" t="s">
        <v>118</v>
      </c>
      <c r="P27" s="215"/>
      <c r="Q27" s="215"/>
      <c r="R27" s="215"/>
      <c r="S27" s="215"/>
      <c r="T27" s="215"/>
      <c r="U27" s="215"/>
      <c r="V27" s="215"/>
      <c r="W27" s="215"/>
      <c r="X27" s="215"/>
      <c r="Y27" s="18"/>
    </row>
    <row r="28" spans="1:25"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</row>
  </sheetData>
  <mergeCells count="11">
    <mergeCell ref="D28:N28"/>
    <mergeCell ref="O27:X27"/>
    <mergeCell ref="O28:Y28"/>
    <mergeCell ref="D3:K3"/>
    <mergeCell ref="D1:K1"/>
    <mergeCell ref="D2:K2"/>
    <mergeCell ref="O3:V3"/>
    <mergeCell ref="O1:V1"/>
    <mergeCell ref="D24:L24"/>
    <mergeCell ref="O24:W24"/>
    <mergeCell ref="D27:M27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V28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44140625" style="6"/>
    <col min="2" max="7" width="11.44140625" style="7"/>
    <col min="8" max="10" width="11.44140625" style="6"/>
    <col min="11" max="16384" width="11.44140625" style="7"/>
  </cols>
  <sheetData>
    <row r="1" spans="1:19">
      <c r="A1" s="209" t="s">
        <v>238</v>
      </c>
      <c r="B1" s="209"/>
      <c r="C1" s="209"/>
      <c r="D1" s="209"/>
      <c r="E1" s="209"/>
      <c r="F1" s="209"/>
      <c r="G1" s="209"/>
      <c r="H1" s="209"/>
      <c r="I1" s="123"/>
      <c r="J1" s="123"/>
      <c r="L1" s="209" t="s">
        <v>238</v>
      </c>
      <c r="M1" s="209"/>
      <c r="N1" s="209"/>
      <c r="O1" s="209"/>
      <c r="P1" s="209"/>
      <c r="Q1" s="209"/>
      <c r="R1" s="209"/>
      <c r="S1" s="209"/>
    </row>
    <row r="2" spans="1:19">
      <c r="A2" s="215"/>
      <c r="B2" s="215"/>
      <c r="C2" s="215"/>
      <c r="D2" s="215"/>
      <c r="E2" s="215"/>
      <c r="F2" s="215"/>
      <c r="G2" s="215"/>
      <c r="H2" s="215"/>
      <c r="I2" s="11"/>
      <c r="J2" s="11"/>
    </row>
    <row r="3" spans="1:19">
      <c r="A3" s="208" t="s">
        <v>197</v>
      </c>
      <c r="B3" s="208"/>
      <c r="C3" s="208"/>
      <c r="D3" s="208"/>
      <c r="E3" s="208"/>
      <c r="F3" s="208"/>
      <c r="G3" s="208"/>
      <c r="H3" s="208"/>
      <c r="I3" s="122"/>
      <c r="J3" s="122"/>
      <c r="K3" s="19"/>
      <c r="L3" s="208" t="s">
        <v>198</v>
      </c>
      <c r="M3" s="208"/>
      <c r="N3" s="208"/>
      <c r="O3" s="208"/>
      <c r="P3" s="208"/>
      <c r="Q3" s="208"/>
      <c r="R3" s="208"/>
      <c r="S3" s="208"/>
    </row>
    <row r="4" spans="1:19" ht="10.8" thickBot="1">
      <c r="A4" s="19"/>
      <c r="B4" s="19"/>
      <c r="C4" s="19"/>
      <c r="D4" s="19"/>
      <c r="E4" s="19"/>
      <c r="F4" s="19"/>
      <c r="G4" s="19"/>
      <c r="H4" s="19"/>
      <c r="I4" s="19"/>
      <c r="J4" s="19"/>
      <c r="L4" s="19"/>
      <c r="M4" s="19"/>
      <c r="N4" s="19"/>
      <c r="O4" s="19"/>
      <c r="P4" s="19"/>
      <c r="Q4" s="19"/>
      <c r="R4" s="19"/>
      <c r="S4" s="19"/>
    </row>
    <row r="5" spans="1:19" ht="51">
      <c r="A5" s="63" t="s">
        <v>0</v>
      </c>
      <c r="B5" s="64" t="s">
        <v>93</v>
      </c>
      <c r="C5" s="64" t="s">
        <v>94</v>
      </c>
      <c r="D5" s="64" t="s">
        <v>95</v>
      </c>
      <c r="E5" s="64" t="s">
        <v>96</v>
      </c>
      <c r="F5" s="64" t="s">
        <v>97</v>
      </c>
      <c r="G5" s="64" t="s">
        <v>98</v>
      </c>
      <c r="H5" s="65" t="s">
        <v>99</v>
      </c>
      <c r="I5" s="136"/>
      <c r="J5" s="136"/>
      <c r="L5" s="63" t="s">
        <v>0</v>
      </c>
      <c r="M5" s="64" t="s">
        <v>93</v>
      </c>
      <c r="N5" s="64" t="s">
        <v>94</v>
      </c>
      <c r="O5" s="64" t="s">
        <v>95</v>
      </c>
      <c r="P5" s="64" t="s">
        <v>96</v>
      </c>
      <c r="Q5" s="64" t="s">
        <v>97</v>
      </c>
      <c r="R5" s="64" t="s">
        <v>98</v>
      </c>
      <c r="S5" s="65" t="s">
        <v>99</v>
      </c>
    </row>
    <row r="6" spans="1:19" ht="15.75" customHeight="1">
      <c r="A6" s="66">
        <v>201310</v>
      </c>
      <c r="B6" s="57">
        <v>72</v>
      </c>
      <c r="C6" s="57">
        <v>17</v>
      </c>
      <c r="D6" s="58">
        <f>C6/B6</f>
        <v>0.2361111111111111</v>
      </c>
      <c r="E6" s="57">
        <v>0</v>
      </c>
      <c r="F6" s="58">
        <f>E6/B6</f>
        <v>0</v>
      </c>
      <c r="G6" s="57">
        <v>55</v>
      </c>
      <c r="H6" s="62">
        <f>G6/B6</f>
        <v>0.76388888888888884</v>
      </c>
      <c r="I6" s="125"/>
      <c r="J6" s="125"/>
      <c r="L6" s="66">
        <v>201310</v>
      </c>
      <c r="M6" s="57">
        <v>32</v>
      </c>
      <c r="N6" s="57">
        <v>7</v>
      </c>
      <c r="O6" s="57">
        <v>0.21875</v>
      </c>
      <c r="P6" s="57">
        <v>0</v>
      </c>
      <c r="Q6" s="57">
        <v>0</v>
      </c>
      <c r="R6" s="57">
        <v>25</v>
      </c>
      <c r="S6" s="137">
        <v>0.78125</v>
      </c>
    </row>
    <row r="7" spans="1:19">
      <c r="A7" s="66">
        <v>201320</v>
      </c>
      <c r="B7" s="53">
        <v>72</v>
      </c>
      <c r="C7" s="53">
        <v>24</v>
      </c>
      <c r="D7" s="58">
        <f t="shared" ref="D7:D22" si="0">C7/B7</f>
        <v>0.33333333333333331</v>
      </c>
      <c r="E7" s="53">
        <v>0</v>
      </c>
      <c r="F7" s="58">
        <f t="shared" ref="F7:F22" si="1">E7/B7</f>
        <v>0</v>
      </c>
      <c r="G7" s="55">
        <v>48</v>
      </c>
      <c r="H7" s="62">
        <f t="shared" ref="H7:H22" si="2">G7/B7</f>
        <v>0.66666666666666663</v>
      </c>
      <c r="I7" s="23"/>
      <c r="J7" s="23"/>
      <c r="L7" s="66">
        <v>201320</v>
      </c>
      <c r="M7" s="53">
        <v>32</v>
      </c>
      <c r="N7" s="53">
        <v>9</v>
      </c>
      <c r="O7" s="54">
        <v>0.28125</v>
      </c>
      <c r="P7" s="53">
        <v>0</v>
      </c>
      <c r="Q7" s="54">
        <v>0</v>
      </c>
      <c r="R7" s="55">
        <v>23</v>
      </c>
      <c r="S7" s="61">
        <v>0.71875</v>
      </c>
    </row>
    <row r="8" spans="1:19">
      <c r="A8" s="66">
        <v>201410</v>
      </c>
      <c r="B8" s="53">
        <v>77</v>
      </c>
      <c r="C8" s="53">
        <v>19</v>
      </c>
      <c r="D8" s="58">
        <f t="shared" si="0"/>
        <v>0.24675324675324675</v>
      </c>
      <c r="E8" s="53">
        <v>0</v>
      </c>
      <c r="F8" s="58">
        <f t="shared" si="1"/>
        <v>0</v>
      </c>
      <c r="G8" s="55">
        <v>58</v>
      </c>
      <c r="H8" s="62">
        <f t="shared" si="2"/>
        <v>0.75324675324675328</v>
      </c>
      <c r="I8" s="23"/>
      <c r="J8" s="23"/>
      <c r="L8" s="66">
        <v>201410</v>
      </c>
      <c r="M8" s="53">
        <v>58</v>
      </c>
      <c r="N8" s="53">
        <v>16</v>
      </c>
      <c r="O8" s="54">
        <v>0.27600000000000002</v>
      </c>
      <c r="P8" s="53">
        <v>0</v>
      </c>
      <c r="Q8" s="54">
        <v>0</v>
      </c>
      <c r="R8" s="55">
        <v>42</v>
      </c>
      <c r="S8" s="61">
        <v>0.72399999999999998</v>
      </c>
    </row>
    <row r="9" spans="1:19">
      <c r="A9" s="66">
        <v>201420</v>
      </c>
      <c r="B9" s="53">
        <v>102</v>
      </c>
      <c r="C9" s="53">
        <v>20</v>
      </c>
      <c r="D9" s="58">
        <f t="shared" si="0"/>
        <v>0.19607843137254902</v>
      </c>
      <c r="E9" s="53">
        <v>0</v>
      </c>
      <c r="F9" s="58">
        <f t="shared" si="1"/>
        <v>0</v>
      </c>
      <c r="G9" s="55">
        <v>82</v>
      </c>
      <c r="H9" s="62">
        <f t="shared" si="2"/>
        <v>0.80392156862745101</v>
      </c>
      <c r="I9" s="23"/>
      <c r="J9" s="23"/>
      <c r="L9" s="66">
        <v>201420</v>
      </c>
      <c r="M9" s="53">
        <v>53</v>
      </c>
      <c r="N9" s="53">
        <v>13</v>
      </c>
      <c r="O9" s="54">
        <v>0.245</v>
      </c>
      <c r="P9" s="53">
        <v>0</v>
      </c>
      <c r="Q9" s="54">
        <v>0</v>
      </c>
      <c r="R9" s="55">
        <v>40</v>
      </c>
      <c r="S9" s="61">
        <v>0.755</v>
      </c>
    </row>
    <row r="10" spans="1:19">
      <c r="A10" s="66">
        <v>201510</v>
      </c>
      <c r="B10" s="53">
        <v>198</v>
      </c>
      <c r="C10" s="53">
        <v>34</v>
      </c>
      <c r="D10" s="58">
        <f t="shared" si="0"/>
        <v>0.17171717171717171</v>
      </c>
      <c r="E10" s="53">
        <v>0</v>
      </c>
      <c r="F10" s="58">
        <f t="shared" si="1"/>
        <v>0</v>
      </c>
      <c r="G10" s="55">
        <v>164</v>
      </c>
      <c r="H10" s="62">
        <f t="shared" si="2"/>
        <v>0.82828282828282829</v>
      </c>
      <c r="I10" s="23"/>
      <c r="J10" s="23"/>
      <c r="L10" s="66">
        <v>201510</v>
      </c>
      <c r="M10" s="53">
        <v>166</v>
      </c>
      <c r="N10" s="53">
        <v>27</v>
      </c>
      <c r="O10" s="54">
        <v>0.16300000000000001</v>
      </c>
      <c r="P10" s="53">
        <v>0</v>
      </c>
      <c r="Q10" s="54">
        <v>0</v>
      </c>
      <c r="R10" s="55">
        <v>139</v>
      </c>
      <c r="S10" s="61">
        <v>0.83699999999999997</v>
      </c>
    </row>
    <row r="11" spans="1:19">
      <c r="A11" s="66">
        <v>201520</v>
      </c>
      <c r="B11" s="53">
        <v>81</v>
      </c>
      <c r="C11" s="53">
        <v>22</v>
      </c>
      <c r="D11" s="58">
        <f t="shared" si="0"/>
        <v>0.27160493827160492</v>
      </c>
      <c r="E11" s="53">
        <v>0</v>
      </c>
      <c r="F11" s="58">
        <f t="shared" si="1"/>
        <v>0</v>
      </c>
      <c r="G11" s="55">
        <v>59</v>
      </c>
      <c r="H11" s="62">
        <f t="shared" si="2"/>
        <v>0.72839506172839508</v>
      </c>
      <c r="I11" s="23"/>
      <c r="J11" s="23"/>
      <c r="L11" s="66">
        <v>201520</v>
      </c>
      <c r="M11" s="53">
        <v>38</v>
      </c>
      <c r="N11" s="53">
        <v>12</v>
      </c>
      <c r="O11" s="54">
        <v>0.31578947368421051</v>
      </c>
      <c r="P11" s="53">
        <v>0</v>
      </c>
      <c r="Q11" s="54">
        <v>0</v>
      </c>
      <c r="R11" s="55">
        <v>26</v>
      </c>
      <c r="S11" s="61">
        <v>0.68421052631578949</v>
      </c>
    </row>
    <row r="12" spans="1:19">
      <c r="A12" s="66">
        <v>201610</v>
      </c>
      <c r="B12" s="53">
        <v>202</v>
      </c>
      <c r="C12" s="53">
        <v>43</v>
      </c>
      <c r="D12" s="58">
        <f t="shared" si="0"/>
        <v>0.21287128712871287</v>
      </c>
      <c r="E12" s="53">
        <v>0</v>
      </c>
      <c r="F12" s="58">
        <f t="shared" si="1"/>
        <v>0</v>
      </c>
      <c r="G12" s="55">
        <v>159</v>
      </c>
      <c r="H12" s="62">
        <f t="shared" si="2"/>
        <v>0.78712871287128716</v>
      </c>
      <c r="I12" s="23"/>
      <c r="J12" s="23"/>
      <c r="L12" s="66">
        <v>201610</v>
      </c>
      <c r="M12" s="53">
        <v>174</v>
      </c>
      <c r="N12" s="53">
        <v>38</v>
      </c>
      <c r="O12" s="54">
        <v>0.21839080459770116</v>
      </c>
      <c r="P12" s="53">
        <v>0</v>
      </c>
      <c r="Q12" s="54">
        <v>0</v>
      </c>
      <c r="R12" s="55">
        <v>136</v>
      </c>
      <c r="S12" s="61">
        <v>0.7816091954022989</v>
      </c>
    </row>
    <row r="13" spans="1:19">
      <c r="A13" s="66">
        <v>201620</v>
      </c>
      <c r="B13" s="57">
        <v>132</v>
      </c>
      <c r="C13" s="57">
        <v>35</v>
      </c>
      <c r="D13" s="58">
        <f t="shared" si="0"/>
        <v>0.26515151515151514</v>
      </c>
      <c r="E13" s="57">
        <v>0</v>
      </c>
      <c r="F13" s="58">
        <f t="shared" si="1"/>
        <v>0</v>
      </c>
      <c r="G13" s="57">
        <v>97</v>
      </c>
      <c r="H13" s="62">
        <f t="shared" si="2"/>
        <v>0.73484848484848486</v>
      </c>
      <c r="I13" s="125"/>
      <c r="J13" s="125"/>
      <c r="L13" s="66">
        <v>201620</v>
      </c>
      <c r="M13" s="57">
        <v>76</v>
      </c>
      <c r="N13" s="57">
        <v>25</v>
      </c>
      <c r="O13" s="58">
        <v>0.32900000000000001</v>
      </c>
      <c r="P13" s="57">
        <v>0</v>
      </c>
      <c r="Q13" s="58">
        <v>0</v>
      </c>
      <c r="R13" s="57">
        <v>51</v>
      </c>
      <c r="S13" s="62">
        <v>0.67100000000000004</v>
      </c>
    </row>
    <row r="14" spans="1:19">
      <c r="A14" s="66">
        <v>201710</v>
      </c>
      <c r="B14" s="53">
        <v>203</v>
      </c>
      <c r="C14" s="53">
        <v>45</v>
      </c>
      <c r="D14" s="58">
        <f t="shared" si="0"/>
        <v>0.22167487684729065</v>
      </c>
      <c r="E14" s="53">
        <v>0</v>
      </c>
      <c r="F14" s="58">
        <f t="shared" si="1"/>
        <v>0</v>
      </c>
      <c r="G14" s="55">
        <v>158</v>
      </c>
      <c r="H14" s="62">
        <f t="shared" si="2"/>
        <v>0.77832512315270941</v>
      </c>
      <c r="I14" s="23"/>
      <c r="J14" s="23"/>
      <c r="L14" s="66">
        <v>201710</v>
      </c>
      <c r="M14" s="53">
        <v>137</v>
      </c>
      <c r="N14" s="53">
        <v>27</v>
      </c>
      <c r="O14" s="54">
        <v>0.19708029197080293</v>
      </c>
      <c r="P14" s="53">
        <v>0</v>
      </c>
      <c r="Q14" s="54">
        <v>0</v>
      </c>
      <c r="R14" s="55">
        <v>110</v>
      </c>
      <c r="S14" s="61">
        <v>0.8029197080291971</v>
      </c>
    </row>
    <row r="15" spans="1:19">
      <c r="A15" s="66">
        <v>201720</v>
      </c>
      <c r="B15" s="53">
        <v>150</v>
      </c>
      <c r="C15" s="53">
        <v>21</v>
      </c>
      <c r="D15" s="58">
        <f t="shared" si="0"/>
        <v>0.14000000000000001</v>
      </c>
      <c r="E15" s="53">
        <v>0</v>
      </c>
      <c r="F15" s="58">
        <f t="shared" si="1"/>
        <v>0</v>
      </c>
      <c r="G15" s="55">
        <v>129</v>
      </c>
      <c r="H15" s="62">
        <f t="shared" si="2"/>
        <v>0.86</v>
      </c>
      <c r="I15" s="23"/>
      <c r="J15" s="23"/>
      <c r="L15" s="66">
        <v>201720</v>
      </c>
      <c r="M15" s="53">
        <v>77</v>
      </c>
      <c r="N15" s="53">
        <v>7</v>
      </c>
      <c r="O15" s="54">
        <v>9.0909090909090912E-2</v>
      </c>
      <c r="P15" s="53">
        <v>0</v>
      </c>
      <c r="Q15" s="54">
        <v>0</v>
      </c>
      <c r="R15" s="55">
        <v>70</v>
      </c>
      <c r="S15" s="61">
        <v>0.90909090909090906</v>
      </c>
    </row>
    <row r="16" spans="1:19">
      <c r="A16" s="67">
        <v>201810</v>
      </c>
      <c r="B16" s="53">
        <v>151</v>
      </c>
      <c r="C16" s="53">
        <v>24</v>
      </c>
      <c r="D16" s="58">
        <f t="shared" si="0"/>
        <v>0.15894039735099338</v>
      </c>
      <c r="E16" s="53">
        <v>0</v>
      </c>
      <c r="F16" s="58">
        <f t="shared" si="1"/>
        <v>0</v>
      </c>
      <c r="G16" s="55">
        <v>127</v>
      </c>
      <c r="H16" s="62">
        <f t="shared" si="2"/>
        <v>0.84105960264900659</v>
      </c>
      <c r="I16" s="23"/>
      <c r="J16" s="23"/>
      <c r="L16" s="67">
        <v>201810</v>
      </c>
      <c r="M16" s="53">
        <v>91</v>
      </c>
      <c r="N16" s="53">
        <v>15</v>
      </c>
      <c r="O16" s="54">
        <v>0.16483516483516483</v>
      </c>
      <c r="P16" s="53">
        <v>0</v>
      </c>
      <c r="Q16" s="54">
        <v>0</v>
      </c>
      <c r="R16" s="55">
        <v>76</v>
      </c>
      <c r="S16" s="61">
        <v>0.8351648351648352</v>
      </c>
    </row>
    <row r="17" spans="1:22">
      <c r="A17" s="67">
        <v>201820</v>
      </c>
      <c r="B17" s="53">
        <v>143</v>
      </c>
      <c r="C17" s="53">
        <v>25</v>
      </c>
      <c r="D17" s="58">
        <f t="shared" si="0"/>
        <v>0.17482517482517482</v>
      </c>
      <c r="E17" s="53">
        <v>0</v>
      </c>
      <c r="F17" s="58">
        <f t="shared" si="1"/>
        <v>0</v>
      </c>
      <c r="G17" s="55">
        <v>118</v>
      </c>
      <c r="H17" s="62">
        <f t="shared" si="2"/>
        <v>0.82517482517482521</v>
      </c>
      <c r="I17" s="23"/>
      <c r="J17" s="23"/>
      <c r="L17" s="67">
        <v>201820</v>
      </c>
      <c r="M17" s="53">
        <v>60</v>
      </c>
      <c r="N17" s="53">
        <v>11</v>
      </c>
      <c r="O17" s="54">
        <v>0.18333333333333332</v>
      </c>
      <c r="P17" s="53">
        <v>0</v>
      </c>
      <c r="Q17" s="54">
        <v>0</v>
      </c>
      <c r="R17" s="55">
        <v>49</v>
      </c>
      <c r="S17" s="61">
        <v>0.81666666666666665</v>
      </c>
    </row>
    <row r="18" spans="1:22" s="36" customFormat="1" ht="15" customHeight="1">
      <c r="A18" s="67">
        <v>201910</v>
      </c>
      <c r="B18" s="53">
        <v>131</v>
      </c>
      <c r="C18" s="53">
        <v>32</v>
      </c>
      <c r="D18" s="58">
        <f t="shared" si="0"/>
        <v>0.24427480916030533</v>
      </c>
      <c r="E18" s="53">
        <v>0</v>
      </c>
      <c r="F18" s="58">
        <f t="shared" si="1"/>
        <v>0</v>
      </c>
      <c r="G18" s="55">
        <v>99</v>
      </c>
      <c r="H18" s="62">
        <f t="shared" si="2"/>
        <v>0.75572519083969469</v>
      </c>
      <c r="I18" s="23"/>
      <c r="J18" s="23"/>
      <c r="L18" s="67">
        <v>201910</v>
      </c>
      <c r="M18" s="53">
        <v>71</v>
      </c>
      <c r="N18" s="53">
        <v>18</v>
      </c>
      <c r="O18" s="54">
        <v>0.25352112676056338</v>
      </c>
      <c r="P18" s="53">
        <v>0</v>
      </c>
      <c r="Q18" s="54">
        <v>0</v>
      </c>
      <c r="R18" s="55">
        <v>53</v>
      </c>
      <c r="S18" s="61">
        <v>0.74647887323943662</v>
      </c>
    </row>
    <row r="19" spans="1:22" s="36" customFormat="1" ht="15" customHeight="1">
      <c r="A19" s="67">
        <v>201920</v>
      </c>
      <c r="B19" s="53">
        <v>87</v>
      </c>
      <c r="C19" s="53">
        <v>16</v>
      </c>
      <c r="D19" s="58">
        <f t="shared" si="0"/>
        <v>0.18390804597701149</v>
      </c>
      <c r="E19" s="53">
        <v>1</v>
      </c>
      <c r="F19" s="58">
        <f t="shared" si="1"/>
        <v>1.1494252873563218E-2</v>
      </c>
      <c r="G19" s="55">
        <v>70</v>
      </c>
      <c r="H19" s="62">
        <f t="shared" si="2"/>
        <v>0.8045977011494253</v>
      </c>
      <c r="I19" s="23"/>
      <c r="J19" s="23"/>
      <c r="L19" s="67">
        <v>201920</v>
      </c>
      <c r="M19" s="53">
        <v>29</v>
      </c>
      <c r="N19" s="53">
        <v>5</v>
      </c>
      <c r="O19" s="54">
        <v>0.1724</v>
      </c>
      <c r="P19" s="53">
        <v>0</v>
      </c>
      <c r="Q19" s="54">
        <v>0</v>
      </c>
      <c r="R19" s="55">
        <v>24</v>
      </c>
      <c r="S19" s="61">
        <v>0.8276</v>
      </c>
    </row>
    <row r="20" spans="1:22" s="36" customFormat="1" ht="15" customHeight="1">
      <c r="A20" s="67">
        <v>202010</v>
      </c>
      <c r="B20" s="53">
        <v>130</v>
      </c>
      <c r="C20" s="53">
        <v>24</v>
      </c>
      <c r="D20" s="58">
        <f t="shared" si="0"/>
        <v>0.18461538461538463</v>
      </c>
      <c r="E20" s="53">
        <v>0</v>
      </c>
      <c r="F20" s="58">
        <f t="shared" si="1"/>
        <v>0</v>
      </c>
      <c r="G20" s="55">
        <v>106</v>
      </c>
      <c r="H20" s="62">
        <f t="shared" si="2"/>
        <v>0.81538461538461537</v>
      </c>
      <c r="I20" s="23"/>
      <c r="J20" s="23"/>
      <c r="L20" s="67">
        <v>202010</v>
      </c>
      <c r="M20" s="53">
        <v>71</v>
      </c>
      <c r="N20" s="53">
        <v>12</v>
      </c>
      <c r="O20" s="54">
        <v>0.16901408450704231</v>
      </c>
      <c r="P20" s="53">
        <v>0</v>
      </c>
      <c r="Q20" s="54">
        <v>0</v>
      </c>
      <c r="R20" s="55">
        <v>59</v>
      </c>
      <c r="S20" s="61">
        <v>0.83098591549295775</v>
      </c>
    </row>
    <row r="21" spans="1:22" s="36" customFormat="1" ht="15" customHeight="1">
      <c r="A21" s="67">
        <v>202020</v>
      </c>
      <c r="B21" s="53">
        <v>275</v>
      </c>
      <c r="C21" s="53">
        <v>29</v>
      </c>
      <c r="D21" s="58">
        <f t="shared" si="0"/>
        <v>0.10545454545454545</v>
      </c>
      <c r="E21" s="53">
        <v>0</v>
      </c>
      <c r="F21" s="58">
        <f t="shared" si="1"/>
        <v>0</v>
      </c>
      <c r="G21" s="55">
        <v>246</v>
      </c>
      <c r="H21" s="62">
        <f t="shared" si="2"/>
        <v>0.89454545454545453</v>
      </c>
      <c r="I21" s="23"/>
      <c r="J21" s="23"/>
      <c r="L21" s="67">
        <v>202020</v>
      </c>
      <c r="M21" s="53">
        <v>133</v>
      </c>
      <c r="N21" s="53">
        <v>7</v>
      </c>
      <c r="O21" s="54">
        <v>5.2631578947368418E-2</v>
      </c>
      <c r="P21" s="53">
        <v>0</v>
      </c>
      <c r="Q21" s="54">
        <v>0</v>
      </c>
      <c r="R21" s="55">
        <v>126</v>
      </c>
      <c r="S21" s="61">
        <v>0.94736842105263153</v>
      </c>
    </row>
    <row r="22" spans="1:22" s="36" customFormat="1" ht="15" customHeight="1">
      <c r="A22" s="67">
        <v>202110</v>
      </c>
      <c r="B22" s="53">
        <v>120</v>
      </c>
      <c r="C22" s="53">
        <v>22</v>
      </c>
      <c r="D22" s="58">
        <f t="shared" si="0"/>
        <v>0.18333333333333332</v>
      </c>
      <c r="E22" s="53">
        <v>0</v>
      </c>
      <c r="F22" s="58">
        <f t="shared" si="1"/>
        <v>0</v>
      </c>
      <c r="G22" s="55">
        <v>98</v>
      </c>
      <c r="H22" s="62">
        <f t="shared" si="2"/>
        <v>0.81666666666666665</v>
      </c>
      <c r="I22" s="23"/>
      <c r="J22" s="23"/>
      <c r="L22" s="67">
        <v>202110</v>
      </c>
      <c r="M22" s="53">
        <v>63</v>
      </c>
      <c r="N22" s="53">
        <v>10</v>
      </c>
      <c r="O22" s="54">
        <f>N22/M22</f>
        <v>0.15873015873015872</v>
      </c>
      <c r="P22" s="53">
        <v>0</v>
      </c>
      <c r="Q22" s="54">
        <f>P22/M22</f>
        <v>0</v>
      </c>
      <c r="R22" s="55">
        <v>53</v>
      </c>
      <c r="S22" s="61">
        <f>R22/M22</f>
        <v>0.84126984126984128</v>
      </c>
    </row>
    <row r="23" spans="1:22">
      <c r="H23" s="7"/>
      <c r="I23" s="7"/>
      <c r="J23" s="7"/>
      <c r="L23" s="6"/>
      <c r="M23" s="6"/>
      <c r="N23" s="6"/>
      <c r="O23" s="6"/>
      <c r="P23" s="6"/>
      <c r="Q23" s="6"/>
      <c r="R23" s="6"/>
      <c r="S23" s="6"/>
    </row>
    <row r="24" spans="1:22" ht="42.75" customHeight="1">
      <c r="A24" s="219" t="s">
        <v>100</v>
      </c>
      <c r="B24" s="220"/>
      <c r="C24" s="220"/>
      <c r="D24" s="220"/>
      <c r="E24" s="220"/>
      <c r="F24" s="220"/>
      <c r="G24" s="220"/>
      <c r="H24" s="220"/>
      <c r="I24" s="220"/>
      <c r="J24" s="220"/>
      <c r="L24" s="219" t="s">
        <v>114</v>
      </c>
      <c r="M24" s="220"/>
      <c r="N24" s="220"/>
      <c r="O24" s="220"/>
      <c r="P24" s="220"/>
      <c r="Q24" s="220"/>
      <c r="R24" s="220"/>
      <c r="S24" s="220"/>
      <c r="T24" s="220"/>
      <c r="U24" s="220"/>
    </row>
    <row r="25" spans="1:22" ht="20.399999999999999">
      <c r="A25" s="91" t="s">
        <v>117</v>
      </c>
      <c r="B25" s="90" t="s">
        <v>103</v>
      </c>
      <c r="C25" s="90" t="s">
        <v>104</v>
      </c>
      <c r="D25" s="90" t="s">
        <v>105</v>
      </c>
      <c r="E25" s="90" t="s">
        <v>106</v>
      </c>
      <c r="F25" s="90" t="s">
        <v>107</v>
      </c>
      <c r="G25" s="90" t="s">
        <v>108</v>
      </c>
      <c r="H25" s="90" t="s">
        <v>109</v>
      </c>
      <c r="I25" s="90" t="s">
        <v>110</v>
      </c>
      <c r="J25" s="7"/>
      <c r="L25" s="91" t="s">
        <v>117</v>
      </c>
      <c r="M25" s="90" t="s">
        <v>103</v>
      </c>
      <c r="N25" s="90" t="s">
        <v>104</v>
      </c>
      <c r="O25" s="90" t="s">
        <v>105</v>
      </c>
      <c r="P25" s="90" t="s">
        <v>106</v>
      </c>
      <c r="Q25" s="90" t="s">
        <v>107</v>
      </c>
      <c r="R25" s="90" t="s">
        <v>108</v>
      </c>
      <c r="S25" s="90" t="s">
        <v>109</v>
      </c>
      <c r="T25" s="90" t="s">
        <v>110</v>
      </c>
    </row>
    <row r="26" spans="1:22" ht="10.8" thickBot="1">
      <c r="A26" s="20">
        <f>D6</f>
        <v>0.2361111111111111</v>
      </c>
      <c r="B26" s="15">
        <f>+((B7*D7)+(B8*D8))/(B7+B8)</f>
        <v>0.28859060402684567</v>
      </c>
      <c r="C26" s="16">
        <f>((B9*D9)+(B10*D10))/(B9+B10)</f>
        <v>0.18</v>
      </c>
      <c r="D26" s="16">
        <f>+((B11*D11)+(B12*D12))/(B11+B12)</f>
        <v>0.22968197879858657</v>
      </c>
      <c r="E26" s="16">
        <f>((B13*D13)+(B14*D14))/(B13+B14)</f>
        <v>0.23880597014925373</v>
      </c>
      <c r="F26" s="16">
        <f>((B15*D15)+(B16*D16))/(B15+B16)</f>
        <v>0.14950166112956811</v>
      </c>
      <c r="G26" s="16">
        <f>((B17*D17)+(B18*D18))/(B17+B18)</f>
        <v>0.20802919708029197</v>
      </c>
      <c r="H26" s="16">
        <f>((B19*D19)+(B20*D20))/(B19+B20)</f>
        <v>0.18433179723502305</v>
      </c>
      <c r="I26" s="16">
        <f>((B21*D21)+(B22*D22))/(B21+B22)</f>
        <v>0.12911392405063291</v>
      </c>
      <c r="J26" s="7"/>
      <c r="L26" s="20">
        <f>O6</f>
        <v>0.21875</v>
      </c>
      <c r="M26" s="15">
        <f>+((M7*O7)+(M8*O8))/(M7+M8)</f>
        <v>0.27786666666666671</v>
      </c>
      <c r="N26" s="16">
        <f>((M9*O9)+(M10*O10))/(M9+M10)</f>
        <v>0.18284474885844748</v>
      </c>
      <c r="O26" s="16">
        <f>+((M11*O11)+(M12*O12))/(M11+M12)</f>
        <v>0.23584905660377359</v>
      </c>
      <c r="P26" s="16">
        <f>((M13*O13)+(M14*O14))/(M13+M14)</f>
        <v>0.24415023474178407</v>
      </c>
      <c r="Q26" s="16">
        <f>((M15*O15)+(M16*O16))/(M15+M16)</f>
        <v>0.13095238095238096</v>
      </c>
      <c r="R26" s="16">
        <f>((M17*O17)+(M18*O18))/(M17+M18)</f>
        <v>0.22137404580152673</v>
      </c>
      <c r="S26" s="16">
        <f>((M19*O19)+(M20*O20))/(M19+M20)</f>
        <v>0.16999600000000004</v>
      </c>
      <c r="T26" s="16">
        <f>((M21*O21)+(M22*O22))/(M21+M22)</f>
        <v>8.673469387755102E-2</v>
      </c>
    </row>
    <row r="27" spans="1:22">
      <c r="A27" s="215" t="s">
        <v>118</v>
      </c>
      <c r="B27" s="215"/>
      <c r="C27" s="215"/>
      <c r="D27" s="215"/>
      <c r="E27" s="215"/>
      <c r="F27" s="215"/>
      <c r="G27" s="215"/>
      <c r="H27" s="215"/>
      <c r="I27" s="215"/>
      <c r="J27" s="215"/>
      <c r="K27" s="18"/>
      <c r="L27" s="215" t="s">
        <v>118</v>
      </c>
      <c r="M27" s="215"/>
      <c r="N27" s="215"/>
      <c r="O27" s="215"/>
      <c r="P27" s="215"/>
      <c r="Q27" s="215"/>
      <c r="R27" s="215"/>
      <c r="S27" s="215"/>
      <c r="T27" s="215"/>
      <c r="U27" s="215"/>
      <c r="V27" s="18"/>
    </row>
    <row r="28" spans="1:22">
      <c r="A28" s="206"/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</row>
  </sheetData>
  <mergeCells count="11">
    <mergeCell ref="A28:K28"/>
    <mergeCell ref="L27:U27"/>
    <mergeCell ref="L28:V28"/>
    <mergeCell ref="A3:H3"/>
    <mergeCell ref="A1:H1"/>
    <mergeCell ref="A2:H2"/>
    <mergeCell ref="L3:S3"/>
    <mergeCell ref="L1:S1"/>
    <mergeCell ref="L24:U24"/>
    <mergeCell ref="A24:J24"/>
    <mergeCell ref="A27:J2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W25"/>
  <sheetViews>
    <sheetView showGridLines="0" topLeftCell="C4" workbookViewId="0">
      <selection sqref="A1:H1"/>
    </sheetView>
  </sheetViews>
  <sheetFormatPr baseColWidth="10" defaultColWidth="11.44140625" defaultRowHeight="10.199999999999999"/>
  <cols>
    <col min="1" max="1" width="14.33203125" style="17" hidden="1" customWidth="1"/>
    <col min="2" max="2" width="32.5546875" style="7" hidden="1" customWidth="1"/>
    <col min="3" max="12" width="11.44140625" style="6"/>
    <col min="13" max="13" width="5.5546875" style="7" customWidth="1"/>
    <col min="14" max="16384" width="11.44140625" style="7"/>
  </cols>
  <sheetData>
    <row r="1" spans="1:21" ht="10.8" thickBot="1">
      <c r="C1" s="209" t="s">
        <v>238</v>
      </c>
      <c r="D1" s="209"/>
      <c r="E1" s="209"/>
      <c r="F1" s="209"/>
      <c r="G1" s="209"/>
      <c r="H1" s="209"/>
      <c r="I1" s="209"/>
      <c r="J1" s="209"/>
      <c r="K1" s="123"/>
      <c r="L1" s="123"/>
      <c r="N1" s="209" t="s">
        <v>238</v>
      </c>
      <c r="O1" s="209"/>
      <c r="P1" s="209"/>
      <c r="Q1" s="209"/>
      <c r="R1" s="209"/>
      <c r="S1" s="209"/>
      <c r="T1" s="209"/>
      <c r="U1" s="209"/>
    </row>
    <row r="2" spans="1:21" ht="10.8" thickBot="1">
      <c r="C2" s="216" t="s">
        <v>215</v>
      </c>
      <c r="D2" s="217"/>
      <c r="E2" s="217"/>
      <c r="F2" s="217"/>
      <c r="G2" s="217"/>
      <c r="H2" s="217"/>
      <c r="I2" s="217"/>
      <c r="J2" s="218"/>
      <c r="K2" s="122"/>
      <c r="L2" s="122"/>
      <c r="N2" s="216" t="s">
        <v>216</v>
      </c>
      <c r="O2" s="217"/>
      <c r="P2" s="217"/>
      <c r="Q2" s="217"/>
      <c r="R2" s="217"/>
      <c r="S2" s="217"/>
      <c r="T2" s="217"/>
      <c r="U2" s="218"/>
    </row>
    <row r="3" spans="1:21" ht="51">
      <c r="A3" s="14" t="s">
        <v>165</v>
      </c>
      <c r="B3" s="1" t="s">
        <v>166</v>
      </c>
      <c r="C3" s="63" t="s">
        <v>0</v>
      </c>
      <c r="D3" s="64" t="s">
        <v>93</v>
      </c>
      <c r="E3" s="64" t="s">
        <v>94</v>
      </c>
      <c r="F3" s="64" t="s">
        <v>95</v>
      </c>
      <c r="G3" s="64" t="s">
        <v>96</v>
      </c>
      <c r="H3" s="64" t="s">
        <v>97</v>
      </c>
      <c r="I3" s="64" t="s">
        <v>98</v>
      </c>
      <c r="J3" s="65" t="s">
        <v>99</v>
      </c>
      <c r="K3" s="136"/>
      <c r="L3" s="136"/>
      <c r="N3" s="166" t="s">
        <v>0</v>
      </c>
      <c r="O3" s="167" t="s">
        <v>93</v>
      </c>
      <c r="P3" s="167" t="s">
        <v>94</v>
      </c>
      <c r="Q3" s="167" t="s">
        <v>95</v>
      </c>
      <c r="R3" s="167" t="s">
        <v>96</v>
      </c>
      <c r="S3" s="167" t="s">
        <v>97</v>
      </c>
      <c r="T3" s="167" t="s">
        <v>98</v>
      </c>
      <c r="U3" s="168" t="s">
        <v>99</v>
      </c>
    </row>
    <row r="4" spans="1:21">
      <c r="A4" s="13" t="s">
        <v>167</v>
      </c>
      <c r="B4" s="10" t="s">
        <v>168</v>
      </c>
      <c r="C4" s="66">
        <v>201310</v>
      </c>
      <c r="D4" s="57" t="s">
        <v>124</v>
      </c>
      <c r="E4" s="57" t="s">
        <v>124</v>
      </c>
      <c r="F4" s="57" t="s">
        <v>124</v>
      </c>
      <c r="G4" s="57" t="s">
        <v>124</v>
      </c>
      <c r="H4" s="57" t="s">
        <v>124</v>
      </c>
      <c r="I4" s="57" t="s">
        <v>124</v>
      </c>
      <c r="J4" s="137" t="s">
        <v>124</v>
      </c>
      <c r="K4" s="33"/>
      <c r="L4" s="33"/>
      <c r="N4" s="142">
        <v>201310</v>
      </c>
      <c r="O4" s="70" t="s">
        <v>124</v>
      </c>
      <c r="P4" s="70" t="s">
        <v>124</v>
      </c>
      <c r="Q4" s="70" t="s">
        <v>124</v>
      </c>
      <c r="R4" s="70" t="s">
        <v>124</v>
      </c>
      <c r="S4" s="70" t="s">
        <v>124</v>
      </c>
      <c r="T4" s="70" t="s">
        <v>124</v>
      </c>
      <c r="U4" s="143" t="s">
        <v>124</v>
      </c>
    </row>
    <row r="5" spans="1:21">
      <c r="A5" s="13" t="s">
        <v>169</v>
      </c>
      <c r="B5" s="13" t="s">
        <v>170</v>
      </c>
      <c r="C5" s="66">
        <v>201320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57" t="s">
        <v>124</v>
      </c>
      <c r="J5" s="137" t="s">
        <v>124</v>
      </c>
      <c r="K5" s="33"/>
      <c r="L5" s="33"/>
      <c r="N5" s="142">
        <v>201320</v>
      </c>
      <c r="O5" s="70" t="s">
        <v>124</v>
      </c>
      <c r="P5" s="70" t="s">
        <v>124</v>
      </c>
      <c r="Q5" s="70" t="s">
        <v>124</v>
      </c>
      <c r="R5" s="70" t="s">
        <v>124</v>
      </c>
      <c r="S5" s="70" t="s">
        <v>124</v>
      </c>
      <c r="T5" s="70" t="s">
        <v>124</v>
      </c>
      <c r="U5" s="143" t="s">
        <v>124</v>
      </c>
    </row>
    <row r="6" spans="1:21">
      <c r="A6" s="13" t="s">
        <v>171</v>
      </c>
      <c r="B6" s="13" t="s">
        <v>217</v>
      </c>
      <c r="C6" s="66">
        <v>201410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57" t="s">
        <v>124</v>
      </c>
      <c r="J6" s="137" t="s">
        <v>124</v>
      </c>
      <c r="K6" s="33"/>
      <c r="L6" s="33"/>
      <c r="N6" s="142">
        <v>201410</v>
      </c>
      <c r="O6" s="70" t="s">
        <v>124</v>
      </c>
      <c r="P6" s="70" t="s">
        <v>124</v>
      </c>
      <c r="Q6" s="70" t="s">
        <v>124</v>
      </c>
      <c r="R6" s="70" t="s">
        <v>124</v>
      </c>
      <c r="S6" s="70" t="s">
        <v>124</v>
      </c>
      <c r="T6" s="70" t="s">
        <v>124</v>
      </c>
      <c r="U6" s="143" t="s">
        <v>124</v>
      </c>
    </row>
    <row r="7" spans="1:21">
      <c r="A7" s="13" t="s">
        <v>173</v>
      </c>
      <c r="B7" s="13" t="s">
        <v>174</v>
      </c>
      <c r="C7" s="66">
        <v>201420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57" t="s">
        <v>124</v>
      </c>
      <c r="J7" s="137" t="s">
        <v>124</v>
      </c>
      <c r="K7" s="33"/>
      <c r="L7" s="33"/>
      <c r="N7" s="142">
        <v>201420</v>
      </c>
      <c r="O7" s="70" t="s">
        <v>124</v>
      </c>
      <c r="P7" s="70" t="s">
        <v>124</v>
      </c>
      <c r="Q7" s="70" t="s">
        <v>124</v>
      </c>
      <c r="R7" s="70" t="s">
        <v>124</v>
      </c>
      <c r="S7" s="70" t="s">
        <v>124</v>
      </c>
      <c r="T7" s="70" t="s">
        <v>124</v>
      </c>
      <c r="U7" s="143" t="s">
        <v>124</v>
      </c>
    </row>
    <row r="8" spans="1:21">
      <c r="A8" s="13" t="s">
        <v>175</v>
      </c>
      <c r="B8" s="13" t="s">
        <v>176</v>
      </c>
      <c r="C8" s="66">
        <v>201510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57" t="s">
        <v>124</v>
      </c>
      <c r="J8" s="137" t="s">
        <v>124</v>
      </c>
      <c r="K8" s="33"/>
      <c r="L8" s="33"/>
      <c r="N8" s="142">
        <v>201510</v>
      </c>
      <c r="O8" s="70" t="s">
        <v>124</v>
      </c>
      <c r="P8" s="70" t="s">
        <v>124</v>
      </c>
      <c r="Q8" s="70" t="s">
        <v>124</v>
      </c>
      <c r="R8" s="70" t="s">
        <v>124</v>
      </c>
      <c r="S8" s="70" t="s">
        <v>124</v>
      </c>
      <c r="T8" s="70" t="s">
        <v>124</v>
      </c>
      <c r="U8" s="143" t="s">
        <v>124</v>
      </c>
    </row>
    <row r="9" spans="1:21">
      <c r="A9" s="13" t="s">
        <v>177</v>
      </c>
      <c r="B9" s="13" t="s">
        <v>178</v>
      </c>
      <c r="C9" s="66">
        <v>201520</v>
      </c>
      <c r="D9" s="53">
        <v>4</v>
      </c>
      <c r="E9" s="53">
        <v>1</v>
      </c>
      <c r="F9" s="54">
        <v>0.25</v>
      </c>
      <c r="G9" s="53">
        <v>0</v>
      </c>
      <c r="H9" s="54">
        <v>0</v>
      </c>
      <c r="I9" s="55">
        <v>3</v>
      </c>
      <c r="J9" s="61">
        <v>0.75</v>
      </c>
      <c r="K9" s="23"/>
      <c r="L9" s="23"/>
      <c r="N9" s="142">
        <v>201520</v>
      </c>
      <c r="O9" s="71">
        <v>4</v>
      </c>
      <c r="P9" s="71">
        <v>1</v>
      </c>
      <c r="Q9" s="72">
        <v>0.25</v>
      </c>
      <c r="R9" s="71">
        <v>0</v>
      </c>
      <c r="S9" s="72">
        <v>0</v>
      </c>
      <c r="T9" s="73">
        <v>3</v>
      </c>
      <c r="U9" s="144">
        <v>0.75</v>
      </c>
    </row>
    <row r="10" spans="1:21">
      <c r="A10" s="13" t="s">
        <v>179</v>
      </c>
      <c r="B10" s="13" t="s">
        <v>180</v>
      </c>
      <c r="C10" s="66">
        <v>201610</v>
      </c>
      <c r="D10" s="53">
        <v>37</v>
      </c>
      <c r="E10" s="53">
        <v>2</v>
      </c>
      <c r="F10" s="54">
        <v>5.4054054054054057E-2</v>
      </c>
      <c r="G10" s="53">
        <v>0</v>
      </c>
      <c r="H10" s="54">
        <v>0</v>
      </c>
      <c r="I10" s="55">
        <v>35</v>
      </c>
      <c r="J10" s="61">
        <v>0.94594594594594594</v>
      </c>
      <c r="K10" s="23"/>
      <c r="L10" s="23"/>
      <c r="N10" s="142">
        <v>201610</v>
      </c>
      <c r="O10" s="70">
        <v>37</v>
      </c>
      <c r="P10" s="70">
        <v>2</v>
      </c>
      <c r="Q10" s="74">
        <v>5.4054054054054057E-2</v>
      </c>
      <c r="R10" s="70">
        <v>0</v>
      </c>
      <c r="S10" s="74">
        <v>0</v>
      </c>
      <c r="T10" s="70">
        <v>35</v>
      </c>
      <c r="U10" s="145">
        <v>0.94594594594594594</v>
      </c>
    </row>
    <row r="11" spans="1:21">
      <c r="A11" s="13" t="s">
        <v>181</v>
      </c>
      <c r="B11" s="11" t="s">
        <v>182</v>
      </c>
      <c r="C11" s="66">
        <v>201620</v>
      </c>
      <c r="D11" s="57">
        <v>10</v>
      </c>
      <c r="E11" s="57">
        <v>2</v>
      </c>
      <c r="F11" s="58">
        <v>0.2</v>
      </c>
      <c r="G11" s="57">
        <v>0</v>
      </c>
      <c r="H11" s="58">
        <v>0</v>
      </c>
      <c r="I11" s="57">
        <v>8</v>
      </c>
      <c r="J11" s="62">
        <v>0.8</v>
      </c>
      <c r="K11" s="125"/>
      <c r="L11" s="125"/>
      <c r="N11" s="142">
        <v>201620</v>
      </c>
      <c r="O11" s="70">
        <v>9</v>
      </c>
      <c r="P11" s="70">
        <v>1</v>
      </c>
      <c r="Q11" s="74">
        <v>0.111</v>
      </c>
      <c r="R11" s="70">
        <v>0</v>
      </c>
      <c r="S11" s="74">
        <v>0</v>
      </c>
      <c r="T11" s="70">
        <v>8</v>
      </c>
      <c r="U11" s="145">
        <v>0.88900000000000001</v>
      </c>
    </row>
    <row r="12" spans="1:21">
      <c r="A12" s="13" t="s">
        <v>183</v>
      </c>
      <c r="B12" s="13" t="s">
        <v>218</v>
      </c>
      <c r="C12" s="66">
        <v>201710</v>
      </c>
      <c r="D12" s="53">
        <v>25</v>
      </c>
      <c r="E12" s="53">
        <v>5</v>
      </c>
      <c r="F12" s="54">
        <v>0.2</v>
      </c>
      <c r="G12" s="53">
        <v>0</v>
      </c>
      <c r="H12" s="54">
        <v>0</v>
      </c>
      <c r="I12" s="55">
        <v>20</v>
      </c>
      <c r="J12" s="61">
        <v>0.8</v>
      </c>
      <c r="K12" s="23"/>
      <c r="L12" s="23"/>
      <c r="N12" s="142">
        <v>201710</v>
      </c>
      <c r="O12" s="71">
        <v>24</v>
      </c>
      <c r="P12" s="71">
        <v>4</v>
      </c>
      <c r="Q12" s="72">
        <v>0.16666666666666666</v>
      </c>
      <c r="R12" s="71">
        <v>0</v>
      </c>
      <c r="S12" s="72">
        <v>0</v>
      </c>
      <c r="T12" s="73">
        <v>20</v>
      </c>
      <c r="U12" s="144">
        <v>0.83333333333333337</v>
      </c>
    </row>
    <row r="13" spans="1:21">
      <c r="A13" s="13" t="s">
        <v>185</v>
      </c>
      <c r="B13" s="13" t="s">
        <v>218</v>
      </c>
      <c r="C13" s="66">
        <v>201720</v>
      </c>
      <c r="D13" s="53">
        <v>16</v>
      </c>
      <c r="E13" s="53">
        <v>4</v>
      </c>
      <c r="F13" s="54">
        <v>0.25</v>
      </c>
      <c r="G13" s="53">
        <v>0</v>
      </c>
      <c r="H13" s="54">
        <v>0</v>
      </c>
      <c r="I13" s="55">
        <v>12</v>
      </c>
      <c r="J13" s="61">
        <v>0.75</v>
      </c>
      <c r="K13" s="23"/>
      <c r="L13" s="23"/>
      <c r="N13" s="142">
        <v>201720</v>
      </c>
      <c r="O13" s="71">
        <v>12</v>
      </c>
      <c r="P13" s="71">
        <v>4</v>
      </c>
      <c r="Q13" s="72">
        <v>0.33333333333333331</v>
      </c>
      <c r="R13" s="71">
        <v>0</v>
      </c>
      <c r="S13" s="72">
        <v>0</v>
      </c>
      <c r="T13" s="73">
        <v>8</v>
      </c>
      <c r="U13" s="144">
        <v>0.66666666666666663</v>
      </c>
    </row>
    <row r="14" spans="1:21">
      <c r="A14" s="11" t="s">
        <v>186</v>
      </c>
      <c r="B14" s="11" t="s">
        <v>187</v>
      </c>
      <c r="C14" s="67">
        <v>201810</v>
      </c>
      <c r="D14" s="53">
        <v>29</v>
      </c>
      <c r="E14" s="53">
        <v>4</v>
      </c>
      <c r="F14" s="54">
        <v>0.13793103448275862</v>
      </c>
      <c r="G14" s="53">
        <v>0</v>
      </c>
      <c r="H14" s="54">
        <v>0</v>
      </c>
      <c r="I14" s="55">
        <v>25</v>
      </c>
      <c r="J14" s="61">
        <v>0.86206896551724133</v>
      </c>
      <c r="K14" s="23"/>
      <c r="L14" s="23"/>
      <c r="N14" s="146">
        <v>201810</v>
      </c>
      <c r="O14" s="71">
        <v>23</v>
      </c>
      <c r="P14" s="71">
        <v>2</v>
      </c>
      <c r="Q14" s="72">
        <v>8.6956521739130432E-2</v>
      </c>
      <c r="R14" s="71">
        <v>0</v>
      </c>
      <c r="S14" s="72">
        <v>0</v>
      </c>
      <c r="T14" s="73">
        <v>21</v>
      </c>
      <c r="U14" s="144">
        <v>0.91304347826086951</v>
      </c>
    </row>
    <row r="15" spans="1:21">
      <c r="A15" s="13" t="s">
        <v>188</v>
      </c>
      <c r="B15" s="11" t="s">
        <v>189</v>
      </c>
      <c r="C15" s="67">
        <v>201820</v>
      </c>
      <c r="D15" s="53">
        <v>16</v>
      </c>
      <c r="E15" s="53">
        <v>4</v>
      </c>
      <c r="F15" s="54">
        <v>0.25</v>
      </c>
      <c r="G15" s="53">
        <v>0</v>
      </c>
      <c r="H15" s="54">
        <v>0</v>
      </c>
      <c r="I15" s="55">
        <v>12</v>
      </c>
      <c r="J15" s="61">
        <v>0.75</v>
      </c>
      <c r="K15" s="23"/>
      <c r="L15" s="23"/>
      <c r="N15" s="146">
        <v>201820</v>
      </c>
      <c r="O15" s="71">
        <v>14</v>
      </c>
      <c r="P15" s="71">
        <v>4</v>
      </c>
      <c r="Q15" s="72">
        <v>0.2857142857142857</v>
      </c>
      <c r="R15" s="71">
        <v>0</v>
      </c>
      <c r="S15" s="72">
        <v>0</v>
      </c>
      <c r="T15" s="73">
        <v>10</v>
      </c>
      <c r="U15" s="144">
        <v>0.7142857142857143</v>
      </c>
    </row>
    <row r="16" spans="1:21" s="18" customFormat="1">
      <c r="A16" s="13" t="s">
        <v>190</v>
      </c>
      <c r="B16" s="11" t="s">
        <v>189</v>
      </c>
      <c r="C16" s="67">
        <v>201910</v>
      </c>
      <c r="D16" s="53">
        <v>23</v>
      </c>
      <c r="E16" s="53">
        <v>3</v>
      </c>
      <c r="F16" s="54">
        <v>0.13043478260869559</v>
      </c>
      <c r="G16" s="53">
        <v>0</v>
      </c>
      <c r="H16" s="54">
        <v>0</v>
      </c>
      <c r="I16" s="55">
        <v>20</v>
      </c>
      <c r="J16" s="61">
        <v>0.86956521739130432</v>
      </c>
      <c r="K16" s="23"/>
      <c r="L16" s="23"/>
      <c r="N16" s="67">
        <v>201910</v>
      </c>
      <c r="O16" s="53">
        <v>17</v>
      </c>
      <c r="P16" s="53">
        <v>3</v>
      </c>
      <c r="Q16" s="54">
        <v>0.17647058823529421</v>
      </c>
      <c r="R16" s="53">
        <v>0</v>
      </c>
      <c r="S16" s="54">
        <v>0</v>
      </c>
      <c r="T16" s="55">
        <v>14</v>
      </c>
      <c r="U16" s="61">
        <v>0.82352941176470584</v>
      </c>
    </row>
    <row r="17" spans="1:23" s="18" customFormat="1">
      <c r="A17" s="13"/>
      <c r="B17" s="11"/>
      <c r="C17" s="67">
        <v>201920</v>
      </c>
      <c r="D17" s="53">
        <v>16</v>
      </c>
      <c r="E17" s="53">
        <v>3</v>
      </c>
      <c r="F17" s="54">
        <v>0.1875</v>
      </c>
      <c r="G17" s="53">
        <v>0</v>
      </c>
      <c r="H17" s="54">
        <v>0</v>
      </c>
      <c r="I17" s="55">
        <v>13</v>
      </c>
      <c r="J17" s="61">
        <v>0.8125</v>
      </c>
      <c r="K17" s="23"/>
      <c r="L17" s="23"/>
      <c r="N17" s="67">
        <v>201920</v>
      </c>
      <c r="O17" s="53">
        <v>13</v>
      </c>
      <c r="P17" s="53">
        <v>2</v>
      </c>
      <c r="Q17" s="54">
        <v>0.15379999999999999</v>
      </c>
      <c r="R17" s="53">
        <v>0</v>
      </c>
      <c r="S17" s="54">
        <v>0</v>
      </c>
      <c r="T17" s="55">
        <v>11</v>
      </c>
      <c r="U17" s="61">
        <v>0.84619999999999995</v>
      </c>
    </row>
    <row r="18" spans="1:23" s="18" customFormat="1">
      <c r="A18" s="13"/>
      <c r="B18" s="11"/>
      <c r="C18" s="67">
        <v>202010</v>
      </c>
      <c r="D18" s="53">
        <v>41</v>
      </c>
      <c r="E18" s="53">
        <v>10</v>
      </c>
      <c r="F18" s="54">
        <v>0.24390243902439021</v>
      </c>
      <c r="G18" s="53">
        <v>0</v>
      </c>
      <c r="H18" s="54">
        <v>0</v>
      </c>
      <c r="I18" s="55">
        <v>31</v>
      </c>
      <c r="J18" s="61">
        <v>0.75609756097560976</v>
      </c>
      <c r="K18" s="23"/>
      <c r="L18" s="23"/>
      <c r="N18" s="67">
        <v>202010</v>
      </c>
      <c r="O18" s="53">
        <v>31</v>
      </c>
      <c r="P18" s="53">
        <v>8</v>
      </c>
      <c r="Q18" s="54">
        <v>0.25806451612903231</v>
      </c>
      <c r="R18" s="53">
        <v>0</v>
      </c>
      <c r="S18" s="54">
        <v>0</v>
      </c>
      <c r="T18" s="55">
        <v>23</v>
      </c>
      <c r="U18" s="61">
        <v>0.74193548387096786</v>
      </c>
    </row>
    <row r="19" spans="1:23" s="18" customFormat="1">
      <c r="A19" s="13"/>
      <c r="B19" s="11"/>
      <c r="C19" s="67">
        <v>202020</v>
      </c>
      <c r="D19" s="53">
        <v>11</v>
      </c>
      <c r="E19" s="53">
        <v>2</v>
      </c>
      <c r="F19" s="54">
        <v>0.1818181818181818</v>
      </c>
      <c r="G19" s="53">
        <v>0</v>
      </c>
      <c r="H19" s="54">
        <v>0</v>
      </c>
      <c r="I19" s="55">
        <v>9</v>
      </c>
      <c r="J19" s="61">
        <v>0.81818181818181823</v>
      </c>
      <c r="K19" s="23"/>
      <c r="L19" s="23"/>
      <c r="N19" s="67">
        <v>202020</v>
      </c>
      <c r="O19" s="53">
        <v>7</v>
      </c>
      <c r="P19" s="53">
        <v>1</v>
      </c>
      <c r="Q19" s="54">
        <v>0.14285714285714279</v>
      </c>
      <c r="R19" s="53">
        <v>0</v>
      </c>
      <c r="S19" s="54">
        <v>0</v>
      </c>
      <c r="T19" s="55">
        <v>6</v>
      </c>
      <c r="U19" s="61">
        <v>0.8571428571428571</v>
      </c>
    </row>
    <row r="20" spans="1:23" s="18" customFormat="1">
      <c r="A20" s="13"/>
      <c r="B20" s="11"/>
      <c r="C20" s="67">
        <v>202110</v>
      </c>
      <c r="D20" s="53">
        <v>23</v>
      </c>
      <c r="E20" s="53">
        <v>4</v>
      </c>
      <c r="F20" s="54">
        <f>E20/D20</f>
        <v>0.17391304347826086</v>
      </c>
      <c r="G20" s="53">
        <v>0</v>
      </c>
      <c r="H20" s="54">
        <v>0</v>
      </c>
      <c r="I20" s="55">
        <v>19</v>
      </c>
      <c r="J20" s="61">
        <f>I20/D20</f>
        <v>0.82608695652173914</v>
      </c>
      <c r="K20" s="23"/>
      <c r="L20" s="23"/>
      <c r="N20" s="67">
        <v>202110</v>
      </c>
      <c r="O20" s="53">
        <v>18</v>
      </c>
      <c r="P20" s="53">
        <v>3</v>
      </c>
      <c r="Q20" s="54">
        <v>0.16666666666666671</v>
      </c>
      <c r="R20" s="53">
        <v>0</v>
      </c>
      <c r="S20" s="54">
        <v>0</v>
      </c>
      <c r="T20" s="55">
        <v>15</v>
      </c>
      <c r="U20" s="61">
        <v>0.83333333333333337</v>
      </c>
    </row>
    <row r="21" spans="1:23" ht="10.8" thickBot="1">
      <c r="C21" s="7"/>
      <c r="D21" s="7"/>
      <c r="E21" s="7"/>
      <c r="F21" s="7"/>
      <c r="G21" s="7"/>
      <c r="H21" s="7"/>
      <c r="I21" s="7"/>
      <c r="J21" s="7"/>
      <c r="K21" s="7"/>
      <c r="L21" s="7"/>
      <c r="N21" s="6"/>
      <c r="O21" s="6"/>
      <c r="P21" s="6"/>
      <c r="Q21" s="6"/>
      <c r="R21" s="6"/>
      <c r="S21" s="6"/>
      <c r="T21" s="6"/>
      <c r="U21" s="6"/>
    </row>
    <row r="22" spans="1:23" ht="30" customHeight="1">
      <c r="C22" s="241" t="s">
        <v>100</v>
      </c>
      <c r="D22" s="242"/>
      <c r="E22" s="242"/>
      <c r="F22" s="242"/>
      <c r="G22" s="242"/>
      <c r="H22" s="242"/>
      <c r="I22" s="242"/>
      <c r="J22" s="242"/>
      <c r="K22" s="243"/>
      <c r="N22" s="245" t="s">
        <v>114</v>
      </c>
      <c r="O22" s="246"/>
      <c r="P22" s="246"/>
      <c r="Q22" s="246"/>
      <c r="R22" s="246"/>
      <c r="S22" s="246"/>
      <c r="T22" s="246"/>
      <c r="U22" s="246"/>
      <c r="V22" s="247"/>
      <c r="W22" s="6"/>
    </row>
    <row r="23" spans="1:23" ht="20.399999999999999">
      <c r="C23" s="91" t="s">
        <v>121</v>
      </c>
      <c r="D23" s="90" t="s">
        <v>103</v>
      </c>
      <c r="E23" s="90" t="s">
        <v>104</v>
      </c>
      <c r="F23" s="90" t="s">
        <v>105</v>
      </c>
      <c r="G23" s="90" t="s">
        <v>106</v>
      </c>
      <c r="H23" s="90" t="s">
        <v>107</v>
      </c>
      <c r="I23" s="90" t="s">
        <v>108</v>
      </c>
      <c r="J23" s="90" t="s">
        <v>109</v>
      </c>
      <c r="K23" s="90" t="s">
        <v>110</v>
      </c>
      <c r="N23" s="91" t="s">
        <v>121</v>
      </c>
      <c r="O23" s="90" t="s">
        <v>103</v>
      </c>
      <c r="P23" s="90" t="s">
        <v>104</v>
      </c>
      <c r="Q23" s="90" t="s">
        <v>105</v>
      </c>
      <c r="R23" s="90" t="s">
        <v>106</v>
      </c>
      <c r="S23" s="90" t="s">
        <v>107</v>
      </c>
      <c r="T23" s="90" t="s">
        <v>108</v>
      </c>
      <c r="U23" s="90" t="s">
        <v>109</v>
      </c>
      <c r="V23" s="90" t="s">
        <v>110</v>
      </c>
      <c r="W23" s="6"/>
    </row>
    <row r="24" spans="1:23" ht="10.8" thickBot="1">
      <c r="C24" s="20" t="str">
        <f>F4</f>
        <v>-</v>
      </c>
      <c r="D24" s="15" t="str">
        <f t="shared" ref="D24:E24" si="0">G4</f>
        <v>-</v>
      </c>
      <c r="E24" s="15" t="str">
        <f t="shared" si="0"/>
        <v>-</v>
      </c>
      <c r="F24" s="16">
        <f>+((D9*F9)+(D10*F10))/(D9+D10)</f>
        <v>7.3170731707317069E-2</v>
      </c>
      <c r="G24" s="16">
        <f>((D11*F11)+(D12*F12))/(D11+D12)</f>
        <v>0.2</v>
      </c>
      <c r="H24" s="16">
        <f>((D13*F13)+(D14*F14))/(D13+D14)</f>
        <v>0.17777777777777778</v>
      </c>
      <c r="I24" s="16">
        <f>((D15*F15)+(D16*F16))/(D15+D16)</f>
        <v>0.17948717948717943</v>
      </c>
      <c r="J24" s="16">
        <f>((D17*F17)+(D18*F18))/(D17+D18)</f>
        <v>0.22807017543859645</v>
      </c>
      <c r="K24" s="16">
        <f>((D19*F19)+(D20*F20))/(D19+D20)</f>
        <v>0.17647058823529413</v>
      </c>
      <c r="N24" s="138" t="str">
        <f>Q4</f>
        <v>-</v>
      </c>
      <c r="O24" s="141" t="s">
        <v>124</v>
      </c>
      <c r="P24" s="141" t="s">
        <v>124</v>
      </c>
      <c r="Q24" s="16">
        <f>+((O9*Q9)+(O10*Q10))/(O9+O10)</f>
        <v>7.3170731707317069E-2</v>
      </c>
      <c r="R24" s="16">
        <f>((O11*Q11)+(O12*Q12))/(O11+O12)</f>
        <v>0.15148484848484847</v>
      </c>
      <c r="S24" s="16">
        <f>((O13*Q13)+(O14*Q14))/(O13+O14)</f>
        <v>0.17142857142857143</v>
      </c>
      <c r="T24" s="16">
        <f>((O15*Q15)+(O16*Q16))/(O15+O16)</f>
        <v>0.22580645161290328</v>
      </c>
      <c r="U24" s="16">
        <f>((O17*Q17)+(O18*Q18))/(O17+O18)</f>
        <v>0.22725909090909094</v>
      </c>
      <c r="V24" s="16">
        <f>((O19*Q19)+(O20*Q20))/(O19+O20)</f>
        <v>0.16</v>
      </c>
      <c r="W24" s="6"/>
    </row>
    <row r="25" spans="1:23"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44"/>
      <c r="O25" s="244"/>
      <c r="P25" s="244"/>
      <c r="Q25" s="244"/>
      <c r="R25" s="244"/>
      <c r="S25" s="244"/>
      <c r="T25" s="244"/>
      <c r="W25" s="6"/>
    </row>
  </sheetData>
  <mergeCells count="8">
    <mergeCell ref="N25:T25"/>
    <mergeCell ref="C1:J1"/>
    <mergeCell ref="N2:U2"/>
    <mergeCell ref="C2:J2"/>
    <mergeCell ref="N1:U1"/>
    <mergeCell ref="C22:K22"/>
    <mergeCell ref="N22:V22"/>
    <mergeCell ref="C25:M2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776053EC8F9C42A12EAAED5F468CAA" ma:contentTypeVersion="4" ma:contentTypeDescription="Crear nuevo documento." ma:contentTypeScope="" ma:versionID="0df84d26fb94931a08839e1e65799299">
  <xsd:schema xmlns:xsd="http://www.w3.org/2001/XMLSchema" xmlns:xs="http://www.w3.org/2001/XMLSchema" xmlns:p="http://schemas.microsoft.com/office/2006/metadata/properties" xmlns:ns2="a8b478c2-4b44-484d-a78c-4bb45b2e49a4" targetNamespace="http://schemas.microsoft.com/office/2006/metadata/properties" ma:root="true" ma:fieldsID="e0a4c92173fab36a938cbaf9af054a14" ns2:_="">
    <xsd:import namespace="a8b478c2-4b44-484d-a78c-4bb45b2e4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478c2-4b44-484d-a78c-4bb45b2e4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7851BC-084E-4C76-B76D-2F11F44C8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b478c2-4b44-484d-a78c-4bb45b2e4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C87F76-4A8B-4543-A1C8-ABF99D425E33}">
  <ds:schemaRefs>
    <ds:schemaRef ds:uri="http://schemas.microsoft.com/office/2006/metadata/properties"/>
    <ds:schemaRef ds:uri="http://schemas.microsoft.com/office/infopath/2007/PartnerControls"/>
    <ds:schemaRef ds:uri="6465a897-220e-4d08-bac8-e09f367cb1a1"/>
    <ds:schemaRef ds:uri="a8b97500-76df-41d2-bba1-3d105f5ba320"/>
  </ds:schemaRefs>
</ds:datastoreItem>
</file>

<file path=customXml/itemProps3.xml><?xml version="1.0" encoding="utf-8"?>
<ds:datastoreItem xmlns:ds="http://schemas.openxmlformats.org/officeDocument/2006/customXml" ds:itemID="{3E5207E6-3D80-4D74-B37A-3BCF2E64C5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42</vt:i4>
      </vt:variant>
    </vt:vector>
  </HeadingPairs>
  <TitlesOfParts>
    <vt:vector size="42" baseType="lpstr">
      <vt:lpstr>Icesi sin ADN 1-2-3 (cálculo me</vt:lpstr>
      <vt:lpstr>Icesi sin ADN (cálculo metas)</vt:lpstr>
      <vt:lpstr>1d. Retiro temprano.</vt:lpstr>
      <vt:lpstr>3c.Retiro temprano 1, 2 y 3 </vt:lpstr>
      <vt:lpstr>FNE</vt:lpstr>
      <vt:lpstr>EA</vt:lpstr>
      <vt:lpstr>EE</vt:lpstr>
      <vt:lpstr>ADD</vt:lpstr>
      <vt:lpstr>ANT</vt:lpstr>
      <vt:lpstr>ECO</vt:lpstr>
      <vt:lpstr>ENI</vt:lpstr>
      <vt:lpstr>MIP</vt:lpstr>
      <vt:lpstr>COFI</vt:lpstr>
      <vt:lpstr>FIN</vt:lpstr>
      <vt:lpstr>FIDCA</vt:lpstr>
      <vt:lpstr>IND</vt:lpstr>
      <vt:lpstr>SIS</vt:lpstr>
      <vt:lpstr>TEL</vt:lpstr>
      <vt:lpstr>DMI</vt:lpstr>
      <vt:lpstr>DIS</vt:lpstr>
      <vt:lpstr>IBQ</vt:lpstr>
      <vt:lpstr>BIO</vt:lpstr>
      <vt:lpstr>QUI</vt:lpstr>
      <vt:lpstr>QUF</vt:lpstr>
      <vt:lpstr>FCH</vt:lpstr>
      <vt:lpstr>DER</vt:lpstr>
      <vt:lpstr>CIP</vt:lpstr>
      <vt:lpstr>PSI</vt:lpstr>
      <vt:lpstr>SOC</vt:lpstr>
      <vt:lpstr>MUS</vt:lpstr>
      <vt:lpstr>COM</vt:lpstr>
      <vt:lpstr>LBP</vt:lpstr>
      <vt:lpstr>LAT</vt:lpstr>
      <vt:lpstr>LEI</vt:lpstr>
      <vt:lpstr>LCS</vt:lpstr>
      <vt:lpstr>LCN</vt:lpstr>
      <vt:lpstr>LYL</vt:lpstr>
      <vt:lpstr>FCS</vt:lpstr>
      <vt:lpstr>FING</vt:lpstr>
      <vt:lpstr>FCN</vt:lpstr>
      <vt:lpstr>FDCS</vt:lpstr>
      <vt:lpstr>ECE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10</dc:creator>
  <cp:keywords/>
  <dc:description/>
  <cp:lastModifiedBy>Santiago Arboleda Velasco</cp:lastModifiedBy>
  <cp:revision/>
  <dcterms:created xsi:type="dcterms:W3CDTF">2020-05-19T19:47:39Z</dcterms:created>
  <dcterms:modified xsi:type="dcterms:W3CDTF">2025-11-11T23:43:09Z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0x01010067776053EC8F9C42A12EAAED5F468CAA</vt:lpwstr>
  </property>
  <property fmtid="{D5CDD505-2E9C-101B-9397-08002B2CF9AE}" pid="3" name="MediaServiceImageTags">
    <vt:lpwstr/>
  </property>
</Properties>
</file>